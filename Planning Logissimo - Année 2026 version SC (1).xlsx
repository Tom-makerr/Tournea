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hreadedComments/threadedComment1.xml" ContentType="application/vnd.ms-excel.threadedcomments+xml"/>
  <Override PartName="/xl/comments6.xml" ContentType="application/vnd.openxmlformats-officedocument.spreadsheetml.comments+xml"/>
  <Override PartName="/xl/drawings/drawing4.xml" ContentType="application/vnd.openxmlformats-officedocument.drawing+xml"/>
  <Override PartName="/xl/comments7.xml" ContentType="application/vnd.openxmlformats-officedocument.spreadsheetml.comments+xml"/>
  <Override PartName="/xl/drawings/drawing5.xml" ContentType="application/vnd.openxmlformats-officedocument.drawing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6.xml" ContentType="application/vnd.openxmlformats-officedocument.drawing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drawings/drawing7.xml" ContentType="application/vnd.openxmlformats-officedocument.drawing+xml"/>
  <Override PartName="/xl/comments1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/Users/tomlabourdette/Downloads/"/>
    </mc:Choice>
  </mc:AlternateContent>
  <xr:revisionPtr revIDLastSave="101" documentId="13_ncr:1_{4B083451-23C7-D743-B130-6808A5D65C9D}" xr6:coauthVersionLast="47" xr6:coauthVersionMax="47" xr10:uidLastSave="{BA68F1DD-C471-4FB7-B4F9-BE645FD14799}"/>
  <bookViews>
    <workbookView xWindow="0" yWindow="660" windowWidth="29400" windowHeight="18460" tabRatio="500" activeTab="5" xr2:uid="{00000000-000D-0000-FFFF-FFFF00000000}"/>
  </bookViews>
  <sheets>
    <sheet name="TABLEAU DE BORD" sheetId="1" r:id="rId1"/>
    <sheet name="01-26" sheetId="2" r:id="rId2"/>
    <sheet name="02-26" sheetId="3" r:id="rId3"/>
    <sheet name="03-26" sheetId="4" r:id="rId4"/>
    <sheet name="04-26" sheetId="5" r:id="rId5"/>
    <sheet name="05-26" sheetId="6" r:id="rId6"/>
    <sheet name="06-26" sheetId="7" r:id="rId7"/>
    <sheet name="07-26" sheetId="8" r:id="rId8"/>
    <sheet name="08-26" sheetId="9" r:id="rId9"/>
    <sheet name="09-26" sheetId="10" r:id="rId10"/>
    <sheet name="10-26" sheetId="11" r:id="rId11"/>
    <sheet name="11-26" sheetId="12" r:id="rId12"/>
    <sheet name="12-26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X12" i="1" l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12" i="1"/>
  <c r="U11" i="1"/>
  <c r="T11" i="1"/>
  <c r="S11" i="1"/>
  <c r="R11" i="1"/>
  <c r="W11" i="1"/>
  <c r="E41" i="13"/>
  <c r="AM38" i="13"/>
  <c r="AL38" i="13"/>
  <c r="AK38" i="13"/>
  <c r="AJ38" i="13"/>
  <c r="AI38" i="13"/>
  <c r="AN38" i="13" s="1"/>
  <c r="AF38" i="13"/>
  <c r="AE38" i="13"/>
  <c r="AD38" i="13"/>
  <c r="AC38" i="13"/>
  <c r="AB38" i="13"/>
  <c r="AG38" i="13" s="1"/>
  <c r="Y38" i="13"/>
  <c r="X38" i="13"/>
  <c r="W38" i="13"/>
  <c r="V38" i="13"/>
  <c r="U38" i="13"/>
  <c r="Z38" i="13" s="1"/>
  <c r="R38" i="13"/>
  <c r="Q38" i="13"/>
  <c r="P38" i="13"/>
  <c r="S38" i="13" s="1"/>
  <c r="O38" i="13"/>
  <c r="N38" i="13"/>
  <c r="K38" i="13"/>
  <c r="J38" i="13"/>
  <c r="I38" i="13"/>
  <c r="H38" i="13"/>
  <c r="G38" i="13"/>
  <c r="L38" i="13" s="1"/>
  <c r="AM37" i="13"/>
  <c r="AL37" i="13"/>
  <c r="AK37" i="13"/>
  <c r="AJ37" i="13"/>
  <c r="AI37" i="13"/>
  <c r="AN37" i="13" s="1"/>
  <c r="AF37" i="13"/>
  <c r="AE37" i="13"/>
  <c r="AD37" i="13"/>
  <c r="AC37" i="13"/>
  <c r="AB37" i="13"/>
  <c r="AG37" i="13" s="1"/>
  <c r="Y37" i="13"/>
  <c r="X37" i="13"/>
  <c r="W37" i="13"/>
  <c r="V37" i="13"/>
  <c r="U37" i="13"/>
  <c r="Z37" i="13" s="1"/>
  <c r="S37" i="13"/>
  <c r="R37" i="13"/>
  <c r="Q37" i="13"/>
  <c r="P37" i="13"/>
  <c r="O37" i="13"/>
  <c r="N37" i="13"/>
  <c r="K37" i="13"/>
  <c r="J37" i="13"/>
  <c r="I37" i="13"/>
  <c r="H37" i="13"/>
  <c r="G37" i="13"/>
  <c r="L37" i="13" s="1"/>
  <c r="AM36" i="13"/>
  <c r="AL36" i="13"/>
  <c r="AK36" i="13"/>
  <c r="AJ36" i="13"/>
  <c r="AI36" i="13"/>
  <c r="AN36" i="13" s="1"/>
  <c r="AF36" i="13"/>
  <c r="AE36" i="13"/>
  <c r="AD36" i="13"/>
  <c r="AC36" i="13"/>
  <c r="AB36" i="13"/>
  <c r="AG36" i="13" s="1"/>
  <c r="Y36" i="13"/>
  <c r="X36" i="13"/>
  <c r="W36" i="13"/>
  <c r="Z36" i="13" s="1"/>
  <c r="V36" i="13"/>
  <c r="U36" i="13"/>
  <c r="R36" i="13"/>
  <c r="Q36" i="13"/>
  <c r="P36" i="13"/>
  <c r="O36" i="13"/>
  <c r="N36" i="13"/>
  <c r="S36" i="13" s="1"/>
  <c r="K36" i="13"/>
  <c r="J36" i="13"/>
  <c r="I36" i="13"/>
  <c r="H36" i="13"/>
  <c r="G36" i="13"/>
  <c r="L36" i="13" s="1"/>
  <c r="AM35" i="13"/>
  <c r="AL35" i="13"/>
  <c r="AK35" i="13"/>
  <c r="AJ35" i="13"/>
  <c r="AI35" i="13"/>
  <c r="AN35" i="13" s="1"/>
  <c r="AF35" i="13"/>
  <c r="AE35" i="13"/>
  <c r="AD35" i="13"/>
  <c r="AC35" i="13"/>
  <c r="AB35" i="13"/>
  <c r="AG35" i="13" s="1"/>
  <c r="Z35" i="13"/>
  <c r="Y35" i="13"/>
  <c r="X35" i="13"/>
  <c r="W35" i="13"/>
  <c r="V35" i="13"/>
  <c r="U35" i="13"/>
  <c r="R35" i="13"/>
  <c r="Q35" i="13"/>
  <c r="P35" i="13"/>
  <c r="O35" i="13"/>
  <c r="N35" i="13"/>
  <c r="S35" i="13" s="1"/>
  <c r="K35" i="13"/>
  <c r="J35" i="13"/>
  <c r="I35" i="13"/>
  <c r="H35" i="13"/>
  <c r="G35" i="13"/>
  <c r="L35" i="13" s="1"/>
  <c r="E35" i="13" s="1"/>
  <c r="AM34" i="13"/>
  <c r="AL34" i="13"/>
  <c r="AK34" i="13"/>
  <c r="AJ34" i="13"/>
  <c r="AI34" i="13"/>
  <c r="AN34" i="13" s="1"/>
  <c r="AF34" i="13"/>
  <c r="AE34" i="13"/>
  <c r="AD34" i="13"/>
  <c r="AG34" i="13" s="1"/>
  <c r="AC34" i="13"/>
  <c r="AB34" i="13"/>
  <c r="Y34" i="13"/>
  <c r="X34" i="13"/>
  <c r="W34" i="13"/>
  <c r="V34" i="13"/>
  <c r="U34" i="13"/>
  <c r="Z34" i="13" s="1"/>
  <c r="R34" i="13"/>
  <c r="Q34" i="13"/>
  <c r="P34" i="13"/>
  <c r="O34" i="13"/>
  <c r="N34" i="13"/>
  <c r="S34" i="13" s="1"/>
  <c r="K34" i="13"/>
  <c r="J34" i="13"/>
  <c r="I34" i="13"/>
  <c r="H34" i="13"/>
  <c r="G34" i="13"/>
  <c r="L34" i="13" s="1"/>
  <c r="AM33" i="13"/>
  <c r="AL33" i="13"/>
  <c r="AL39" i="13" s="1"/>
  <c r="AK33" i="13"/>
  <c r="AK39" i="13" s="1"/>
  <c r="AJ33" i="13"/>
  <c r="AJ39" i="13" s="1"/>
  <c r="AI33" i="13"/>
  <c r="AI39" i="13" s="1"/>
  <c r="AG33" i="13"/>
  <c r="AF33" i="13"/>
  <c r="AE33" i="13"/>
  <c r="AE39" i="13" s="1"/>
  <c r="AD33" i="13"/>
  <c r="AD39" i="13" s="1"/>
  <c r="AC33" i="13"/>
  <c r="AC39" i="13" s="1"/>
  <c r="AB33" i="13"/>
  <c r="AB39" i="13" s="1"/>
  <c r="Y33" i="13"/>
  <c r="Y39" i="13" s="1"/>
  <c r="X33" i="13"/>
  <c r="X39" i="13" s="1"/>
  <c r="W33" i="13"/>
  <c r="W39" i="13" s="1"/>
  <c r="V33" i="13"/>
  <c r="V39" i="13" s="1"/>
  <c r="U33" i="13"/>
  <c r="Z33" i="13" s="1"/>
  <c r="R33" i="13"/>
  <c r="R39" i="13" s="1"/>
  <c r="Q33" i="13"/>
  <c r="Q39" i="13" s="1"/>
  <c r="P33" i="13"/>
  <c r="P39" i="13" s="1"/>
  <c r="O33" i="13"/>
  <c r="O39" i="13" s="1"/>
  <c r="N33" i="13"/>
  <c r="N39" i="13" s="1"/>
  <c r="K33" i="13"/>
  <c r="K39" i="13" s="1"/>
  <c r="J33" i="13"/>
  <c r="J39" i="13" s="1"/>
  <c r="I33" i="13"/>
  <c r="I39" i="13" s="1"/>
  <c r="H33" i="13"/>
  <c r="H39" i="13" s="1"/>
  <c r="G33" i="13"/>
  <c r="L33" i="13" s="1"/>
  <c r="AM32" i="13"/>
  <c r="AL32" i="13"/>
  <c r="AL40" i="13" s="1"/>
  <c r="AL42" i="13" s="1"/>
  <c r="AK32" i="13"/>
  <c r="AK40" i="13" s="1"/>
  <c r="AK42" i="13" s="1"/>
  <c r="AJ32" i="13"/>
  <c r="AI32" i="13"/>
  <c r="AI40" i="13" s="1"/>
  <c r="AI42" i="13" s="1"/>
  <c r="AF32" i="13"/>
  <c r="AE32" i="13"/>
  <c r="AD32" i="13"/>
  <c r="AD40" i="13" s="1"/>
  <c r="AD42" i="13" s="1"/>
  <c r="AC32" i="13"/>
  <c r="AC40" i="13" s="1"/>
  <c r="AC42" i="13" s="1"/>
  <c r="AB32" i="13"/>
  <c r="AB40" i="13" s="1"/>
  <c r="AB42" i="13" s="1"/>
  <c r="Y32" i="13"/>
  <c r="Y40" i="13" s="1"/>
  <c r="Y42" i="13" s="1"/>
  <c r="X32" i="13"/>
  <c r="W32" i="13"/>
  <c r="W40" i="13" s="1"/>
  <c r="W42" i="13" s="1"/>
  <c r="V32" i="13"/>
  <c r="U32" i="13"/>
  <c r="R32" i="13"/>
  <c r="R40" i="13" s="1"/>
  <c r="R42" i="13" s="1"/>
  <c r="Q32" i="13"/>
  <c r="Q40" i="13" s="1"/>
  <c r="Q42" i="13" s="1"/>
  <c r="P32" i="13"/>
  <c r="P40" i="13" s="1"/>
  <c r="P42" i="13" s="1"/>
  <c r="O32" i="13"/>
  <c r="O40" i="13" s="1"/>
  <c r="O42" i="13" s="1"/>
  <c r="N32" i="13"/>
  <c r="K32" i="13"/>
  <c r="K40" i="13" s="1"/>
  <c r="K42" i="13" s="1"/>
  <c r="J32" i="13"/>
  <c r="I32" i="13"/>
  <c r="H32" i="13"/>
  <c r="H40" i="13" s="1"/>
  <c r="H42" i="13" s="1"/>
  <c r="G32" i="13"/>
  <c r="E41" i="12"/>
  <c r="G39" i="12"/>
  <c r="AF38" i="12"/>
  <c r="AE38" i="12"/>
  <c r="AD38" i="12"/>
  <c r="AC38" i="12"/>
  <c r="AB38" i="12"/>
  <c r="AG38" i="12" s="1"/>
  <c r="Z38" i="12"/>
  <c r="Y38" i="12"/>
  <c r="X38" i="12"/>
  <c r="W38" i="12"/>
  <c r="V38" i="12"/>
  <c r="U38" i="12"/>
  <c r="R38" i="12"/>
  <c r="Q38" i="12"/>
  <c r="Q39" i="12" s="1"/>
  <c r="P38" i="12"/>
  <c r="O38" i="12"/>
  <c r="N38" i="12"/>
  <c r="S38" i="12" s="1"/>
  <c r="K38" i="12"/>
  <c r="J38" i="12"/>
  <c r="I38" i="12"/>
  <c r="H38" i="12"/>
  <c r="G38" i="12"/>
  <c r="L38" i="12" s="1"/>
  <c r="AF37" i="12"/>
  <c r="AE37" i="12"/>
  <c r="AD37" i="12"/>
  <c r="AC37" i="12"/>
  <c r="AB37" i="12"/>
  <c r="AG37" i="12" s="1"/>
  <c r="Y37" i="12"/>
  <c r="X37" i="12"/>
  <c r="W37" i="12"/>
  <c r="Z37" i="12" s="1"/>
  <c r="V37" i="12"/>
  <c r="U37" i="12"/>
  <c r="S37" i="12"/>
  <c r="R37" i="12"/>
  <c r="Q37" i="12"/>
  <c r="P37" i="12"/>
  <c r="O37" i="12"/>
  <c r="N37" i="12"/>
  <c r="K37" i="12"/>
  <c r="J37" i="12"/>
  <c r="I37" i="12"/>
  <c r="H37" i="12"/>
  <c r="G37" i="12"/>
  <c r="L37" i="12" s="1"/>
  <c r="E37" i="12" s="1"/>
  <c r="AF36" i="12"/>
  <c r="AE36" i="12"/>
  <c r="AD36" i="12"/>
  <c r="AC36" i="12"/>
  <c r="AC39" i="12" s="1"/>
  <c r="AB36" i="12"/>
  <c r="AG36" i="12" s="1"/>
  <c r="Y36" i="12"/>
  <c r="X36" i="12"/>
  <c r="W36" i="12"/>
  <c r="V36" i="12"/>
  <c r="U36" i="12"/>
  <c r="Z36" i="12" s="1"/>
  <c r="S36" i="12"/>
  <c r="R36" i="12"/>
  <c r="Q36" i="12"/>
  <c r="P36" i="12"/>
  <c r="O36" i="12"/>
  <c r="N36" i="12"/>
  <c r="K36" i="12"/>
  <c r="J36" i="12"/>
  <c r="I36" i="12"/>
  <c r="H36" i="12"/>
  <c r="G36" i="12"/>
  <c r="L36" i="12" s="1"/>
  <c r="E36" i="12" s="1"/>
  <c r="AF35" i="12"/>
  <c r="AE35" i="12"/>
  <c r="AD35" i="12"/>
  <c r="AC35" i="12"/>
  <c r="AB35" i="12"/>
  <c r="AG35" i="12" s="1"/>
  <c r="Y35" i="12"/>
  <c r="X35" i="12"/>
  <c r="W35" i="12"/>
  <c r="V35" i="12"/>
  <c r="U35" i="12"/>
  <c r="Z35" i="12" s="1"/>
  <c r="S35" i="12"/>
  <c r="R35" i="12"/>
  <c r="Q35" i="12"/>
  <c r="P35" i="12"/>
  <c r="O35" i="12"/>
  <c r="N35" i="12"/>
  <c r="L35" i="12"/>
  <c r="E35" i="12" s="1"/>
  <c r="K35" i="12"/>
  <c r="J35" i="12"/>
  <c r="I35" i="12"/>
  <c r="H35" i="12"/>
  <c r="G35" i="12"/>
  <c r="AF34" i="12"/>
  <c r="AE34" i="12"/>
  <c r="AD34" i="12"/>
  <c r="AC34" i="12"/>
  <c r="AB34" i="12"/>
  <c r="AG34" i="12" s="1"/>
  <c r="Y34" i="12"/>
  <c r="X34" i="12"/>
  <c r="W34" i="12"/>
  <c r="V34" i="12"/>
  <c r="U34" i="12"/>
  <c r="Z34" i="12" s="1"/>
  <c r="R34" i="12"/>
  <c r="Q34" i="12"/>
  <c r="P34" i="12"/>
  <c r="O34" i="12"/>
  <c r="N34" i="12"/>
  <c r="S34" i="12" s="1"/>
  <c r="L34" i="12"/>
  <c r="K34" i="12"/>
  <c r="J34" i="12"/>
  <c r="I34" i="12"/>
  <c r="H34" i="12"/>
  <c r="G34" i="12"/>
  <c r="AG33" i="12"/>
  <c r="AF33" i="12"/>
  <c r="AF39" i="12" s="1"/>
  <c r="AE33" i="12"/>
  <c r="AE39" i="12" s="1"/>
  <c r="AD33" i="12"/>
  <c r="AD39" i="12" s="1"/>
  <c r="AC33" i="12"/>
  <c r="AB33" i="12"/>
  <c r="AB39" i="12" s="1"/>
  <c r="Y33" i="12"/>
  <c r="Y39" i="12" s="1"/>
  <c r="X33" i="12"/>
  <c r="X39" i="12" s="1"/>
  <c r="W33" i="12"/>
  <c r="W39" i="12" s="1"/>
  <c r="V33" i="12"/>
  <c r="V39" i="12" s="1"/>
  <c r="U33" i="12"/>
  <c r="U39" i="12" s="1"/>
  <c r="R33" i="12"/>
  <c r="R39" i="12" s="1"/>
  <c r="Q33" i="12"/>
  <c r="P33" i="12"/>
  <c r="P39" i="12" s="1"/>
  <c r="O33" i="12"/>
  <c r="O39" i="12" s="1"/>
  <c r="N33" i="12"/>
  <c r="N39" i="12" s="1"/>
  <c r="L33" i="12"/>
  <c r="K33" i="12"/>
  <c r="K39" i="12" s="1"/>
  <c r="J33" i="12"/>
  <c r="J39" i="12" s="1"/>
  <c r="I33" i="12"/>
  <c r="I39" i="12" s="1"/>
  <c r="H33" i="12"/>
  <c r="H39" i="12" s="1"/>
  <c r="G33" i="12"/>
  <c r="AF32" i="12"/>
  <c r="AF40" i="12" s="1"/>
  <c r="AF42" i="12" s="1"/>
  <c r="AE32" i="12"/>
  <c r="AE40" i="12" s="1"/>
  <c r="AE42" i="12" s="1"/>
  <c r="AD32" i="12"/>
  <c r="AD40" i="12" s="1"/>
  <c r="AD42" i="12" s="1"/>
  <c r="AC32" i="12"/>
  <c r="AB32" i="12"/>
  <c r="Y32" i="12"/>
  <c r="X32" i="12"/>
  <c r="W32" i="12"/>
  <c r="V32" i="12"/>
  <c r="V40" i="12" s="1"/>
  <c r="V42" i="12" s="1"/>
  <c r="U32" i="12"/>
  <c r="U40" i="12" s="1"/>
  <c r="U42" i="12" s="1"/>
  <c r="R32" i="12"/>
  <c r="R40" i="12" s="1"/>
  <c r="R42" i="12" s="1"/>
  <c r="Q32" i="12"/>
  <c r="P32" i="12"/>
  <c r="O32" i="12"/>
  <c r="N32" i="12"/>
  <c r="K32" i="12"/>
  <c r="K40" i="12" s="1"/>
  <c r="K42" i="12" s="1"/>
  <c r="J32" i="12"/>
  <c r="J40" i="12" s="1"/>
  <c r="J42" i="12" s="1"/>
  <c r="I32" i="12"/>
  <c r="I40" i="12" s="1"/>
  <c r="I42" i="12" s="1"/>
  <c r="H32" i="12"/>
  <c r="H40" i="12" s="1"/>
  <c r="H42" i="12" s="1"/>
  <c r="G32" i="12"/>
  <c r="G40" i="12" s="1"/>
  <c r="E41" i="11"/>
  <c r="O40" i="11"/>
  <c r="O42" i="11" s="1"/>
  <c r="AF38" i="11"/>
  <c r="AE38" i="11"/>
  <c r="AD38" i="11"/>
  <c r="AC38" i="11"/>
  <c r="AB38" i="11"/>
  <c r="AG38" i="11" s="1"/>
  <c r="Y38" i="11"/>
  <c r="X38" i="11"/>
  <c r="W38" i="11"/>
  <c r="V38" i="11"/>
  <c r="U38" i="11"/>
  <c r="Z38" i="11" s="1"/>
  <c r="R38" i="11"/>
  <c r="R39" i="11" s="1"/>
  <c r="Q38" i="11"/>
  <c r="P38" i="11"/>
  <c r="O38" i="11"/>
  <c r="N38" i="11"/>
  <c r="K38" i="11"/>
  <c r="J38" i="11"/>
  <c r="I38" i="11"/>
  <c r="I39" i="11" s="1"/>
  <c r="H38" i="11"/>
  <c r="G38" i="11"/>
  <c r="L38" i="11" s="1"/>
  <c r="AF37" i="11"/>
  <c r="AE37" i="11"/>
  <c r="AD37" i="11"/>
  <c r="AC37" i="11"/>
  <c r="AB37" i="11"/>
  <c r="AG37" i="11" s="1"/>
  <c r="Y37" i="11"/>
  <c r="X37" i="11"/>
  <c r="W37" i="11"/>
  <c r="V37" i="11"/>
  <c r="U37" i="11"/>
  <c r="Z37" i="11" s="1"/>
  <c r="S37" i="11"/>
  <c r="R37" i="11"/>
  <c r="Q37" i="11"/>
  <c r="P37" i="11"/>
  <c r="O37" i="11"/>
  <c r="N37" i="11"/>
  <c r="K37" i="11"/>
  <c r="J37" i="11"/>
  <c r="L37" i="11" s="1"/>
  <c r="E37" i="11" s="1"/>
  <c r="I37" i="11"/>
  <c r="H37" i="11"/>
  <c r="G37" i="11"/>
  <c r="AF36" i="11"/>
  <c r="AF39" i="11" s="1"/>
  <c r="AE36" i="11"/>
  <c r="AD36" i="11"/>
  <c r="AC36" i="11"/>
  <c r="AB36" i="11"/>
  <c r="Y36" i="11"/>
  <c r="X36" i="11"/>
  <c r="W36" i="11"/>
  <c r="V36" i="11"/>
  <c r="U36" i="11"/>
  <c r="R36" i="11"/>
  <c r="Q36" i="11"/>
  <c r="P36" i="11"/>
  <c r="O36" i="11"/>
  <c r="N36" i="11"/>
  <c r="S36" i="11" s="1"/>
  <c r="K36" i="11"/>
  <c r="L36" i="11" s="1"/>
  <c r="J36" i="11"/>
  <c r="I36" i="11"/>
  <c r="H36" i="11"/>
  <c r="G36" i="11"/>
  <c r="AF35" i="11"/>
  <c r="AG35" i="11" s="1"/>
  <c r="AE35" i="11"/>
  <c r="AD35" i="11"/>
  <c r="AC35" i="11"/>
  <c r="AB35" i="11"/>
  <c r="Y35" i="11"/>
  <c r="X35" i="11"/>
  <c r="W35" i="11"/>
  <c r="V35" i="11"/>
  <c r="V39" i="11" s="1"/>
  <c r="U35" i="11"/>
  <c r="R35" i="11"/>
  <c r="Q35" i="11"/>
  <c r="P35" i="11"/>
  <c r="O35" i="11"/>
  <c r="N35" i="11"/>
  <c r="S35" i="11" s="1"/>
  <c r="L35" i="11"/>
  <c r="K35" i="11"/>
  <c r="J35" i="11"/>
  <c r="I35" i="11"/>
  <c r="H35" i="11"/>
  <c r="G35" i="11"/>
  <c r="AF34" i="11"/>
  <c r="AG34" i="11" s="1"/>
  <c r="AE34" i="11"/>
  <c r="AD34" i="11"/>
  <c r="AC34" i="11"/>
  <c r="AB34" i="11"/>
  <c r="Y34" i="11"/>
  <c r="X34" i="11"/>
  <c r="W34" i="11"/>
  <c r="V34" i="11"/>
  <c r="U34" i="11"/>
  <c r="Z34" i="11" s="1"/>
  <c r="R34" i="11"/>
  <c r="Q34" i="11"/>
  <c r="P34" i="11"/>
  <c r="O34" i="11"/>
  <c r="N34" i="11"/>
  <c r="K34" i="11"/>
  <c r="J34" i="11"/>
  <c r="I34" i="11"/>
  <c r="H34" i="11"/>
  <c r="G34" i="11"/>
  <c r="L34" i="11" s="1"/>
  <c r="AG33" i="11"/>
  <c r="AF33" i="11"/>
  <c r="AE33" i="11"/>
  <c r="AD33" i="11"/>
  <c r="AC33" i="11"/>
  <c r="AC39" i="11" s="1"/>
  <c r="AB33" i="11"/>
  <c r="Z33" i="11"/>
  <c r="Y33" i="11"/>
  <c r="Y39" i="11" s="1"/>
  <c r="X33" i="11"/>
  <c r="W33" i="11"/>
  <c r="V33" i="11"/>
  <c r="U33" i="11"/>
  <c r="R33" i="11"/>
  <c r="Q33" i="11"/>
  <c r="Q39" i="11" s="1"/>
  <c r="P33" i="11"/>
  <c r="P39" i="11" s="1"/>
  <c r="O33" i="11"/>
  <c r="O39" i="11" s="1"/>
  <c r="N33" i="11"/>
  <c r="K33" i="11"/>
  <c r="J33" i="11"/>
  <c r="I33" i="11"/>
  <c r="H33" i="11"/>
  <c r="H39" i="11" s="1"/>
  <c r="G33" i="11"/>
  <c r="AF32" i="11"/>
  <c r="AE32" i="11"/>
  <c r="AD32" i="11"/>
  <c r="AC32" i="11"/>
  <c r="AB32" i="11"/>
  <c r="Y32" i="11"/>
  <c r="Y40" i="11" s="1"/>
  <c r="Y42" i="11" s="1"/>
  <c r="X32" i="11"/>
  <c r="W32" i="11"/>
  <c r="V32" i="11"/>
  <c r="U32" i="11"/>
  <c r="R32" i="11"/>
  <c r="Q32" i="11"/>
  <c r="Q40" i="11" s="1"/>
  <c r="Q42" i="11" s="1"/>
  <c r="P32" i="11"/>
  <c r="O32" i="11"/>
  <c r="N32" i="11"/>
  <c r="K32" i="11"/>
  <c r="J32" i="11"/>
  <c r="I32" i="11"/>
  <c r="I40" i="11" s="1"/>
  <c r="I42" i="11" s="1"/>
  <c r="H32" i="11"/>
  <c r="G32" i="11"/>
  <c r="E41" i="10"/>
  <c r="AM40" i="10"/>
  <c r="AM42" i="10" s="1"/>
  <c r="K39" i="10"/>
  <c r="J39" i="10"/>
  <c r="AM38" i="10"/>
  <c r="AL38" i="10"/>
  <c r="AK38" i="10"/>
  <c r="AJ38" i="10"/>
  <c r="AI38" i="10"/>
  <c r="AF38" i="10"/>
  <c r="AE38" i="10"/>
  <c r="AD38" i="10"/>
  <c r="AC38" i="10"/>
  <c r="AB38" i="10"/>
  <c r="Z38" i="10"/>
  <c r="Y38" i="10"/>
  <c r="X38" i="10"/>
  <c r="W38" i="10"/>
  <c r="V38" i="10"/>
  <c r="U38" i="10"/>
  <c r="R38" i="10"/>
  <c r="Q38" i="10"/>
  <c r="S38" i="10" s="1"/>
  <c r="P38" i="10"/>
  <c r="O38" i="10"/>
  <c r="N38" i="10"/>
  <c r="K38" i="10"/>
  <c r="J38" i="10"/>
  <c r="I38" i="10"/>
  <c r="H38" i="10"/>
  <c r="G38" i="10"/>
  <c r="L38" i="10" s="1"/>
  <c r="AM37" i="10"/>
  <c r="AL37" i="10"/>
  <c r="AK37" i="10"/>
  <c r="AJ37" i="10"/>
  <c r="AI37" i="10"/>
  <c r="AF37" i="10"/>
  <c r="AE37" i="10"/>
  <c r="AD37" i="10"/>
  <c r="AC37" i="10"/>
  <c r="AB37" i="10"/>
  <c r="AG37" i="10" s="1"/>
  <c r="Z37" i="10"/>
  <c r="Y37" i="10"/>
  <c r="X37" i="10"/>
  <c r="W37" i="10"/>
  <c r="V37" i="10"/>
  <c r="U37" i="10"/>
  <c r="R37" i="10"/>
  <c r="Q37" i="10"/>
  <c r="P37" i="10"/>
  <c r="O37" i="10"/>
  <c r="N37" i="10"/>
  <c r="K37" i="10"/>
  <c r="J37" i="10"/>
  <c r="I37" i="10"/>
  <c r="I39" i="10" s="1"/>
  <c r="I40" i="10" s="1"/>
  <c r="I42" i="10" s="1"/>
  <c r="H37" i="10"/>
  <c r="G37" i="10"/>
  <c r="AM36" i="10"/>
  <c r="AL36" i="10"/>
  <c r="AK36" i="10"/>
  <c r="AJ36" i="10"/>
  <c r="AI36" i="10"/>
  <c r="AN36" i="10" s="1"/>
  <c r="AG36" i="10"/>
  <c r="AF36" i="10"/>
  <c r="AE36" i="10"/>
  <c r="AD36" i="10"/>
  <c r="AC36" i="10"/>
  <c r="AB36" i="10"/>
  <c r="Y36" i="10"/>
  <c r="X36" i="10"/>
  <c r="Z36" i="10" s="1"/>
  <c r="W36" i="10"/>
  <c r="V36" i="10"/>
  <c r="U36" i="10"/>
  <c r="R36" i="10"/>
  <c r="Q36" i="10"/>
  <c r="P36" i="10"/>
  <c r="O36" i="10"/>
  <c r="N36" i="10"/>
  <c r="S36" i="10" s="1"/>
  <c r="K36" i="10"/>
  <c r="J36" i="10"/>
  <c r="I36" i="10"/>
  <c r="H36" i="10"/>
  <c r="G36" i="10"/>
  <c r="AM35" i="10"/>
  <c r="AL35" i="10"/>
  <c r="AK35" i="10"/>
  <c r="AJ35" i="10"/>
  <c r="AI35" i="10"/>
  <c r="AN35" i="10" s="1"/>
  <c r="AG35" i="10"/>
  <c r="AF35" i="10"/>
  <c r="AE35" i="10"/>
  <c r="AD35" i="10"/>
  <c r="AC35" i="10"/>
  <c r="AB35" i="10"/>
  <c r="Y35" i="10"/>
  <c r="X35" i="10"/>
  <c r="W35" i="10"/>
  <c r="V35" i="10"/>
  <c r="U35" i="10"/>
  <c r="R35" i="10"/>
  <c r="Q35" i="10"/>
  <c r="P35" i="10"/>
  <c r="O35" i="10"/>
  <c r="N35" i="10"/>
  <c r="S35" i="10" s="1"/>
  <c r="K35" i="10"/>
  <c r="J35" i="10"/>
  <c r="I35" i="10"/>
  <c r="H35" i="10"/>
  <c r="G35" i="10"/>
  <c r="AN34" i="10"/>
  <c r="AM34" i="10"/>
  <c r="AL34" i="10"/>
  <c r="AL39" i="10" s="1"/>
  <c r="AK34" i="10"/>
  <c r="AJ34" i="10"/>
  <c r="AI34" i="10"/>
  <c r="AF34" i="10"/>
  <c r="AG34" i="10" s="1"/>
  <c r="AE34" i="10"/>
  <c r="AD34" i="10"/>
  <c r="AC34" i="10"/>
  <c r="AC39" i="10" s="1"/>
  <c r="AB34" i="10"/>
  <c r="Y34" i="10"/>
  <c r="X34" i="10"/>
  <c r="W34" i="10"/>
  <c r="V34" i="10"/>
  <c r="V39" i="10" s="1"/>
  <c r="U34" i="10"/>
  <c r="R34" i="10"/>
  <c r="Q34" i="10"/>
  <c r="P34" i="10"/>
  <c r="O34" i="10"/>
  <c r="N34" i="10"/>
  <c r="S34" i="10" s="1"/>
  <c r="L34" i="10"/>
  <c r="K34" i="10"/>
  <c r="J34" i="10"/>
  <c r="I34" i="10"/>
  <c r="H34" i="10"/>
  <c r="G34" i="10"/>
  <c r="AM33" i="10"/>
  <c r="AM39" i="10" s="1"/>
  <c r="AL33" i="10"/>
  <c r="AK33" i="10"/>
  <c r="AJ33" i="10"/>
  <c r="AJ39" i="10" s="1"/>
  <c r="AJ40" i="10" s="1"/>
  <c r="AJ42" i="10" s="1"/>
  <c r="AI33" i="10"/>
  <c r="AF33" i="10"/>
  <c r="AF39" i="10" s="1"/>
  <c r="AE33" i="10"/>
  <c r="AE39" i="10" s="1"/>
  <c r="AE40" i="10" s="1"/>
  <c r="AE42" i="10" s="1"/>
  <c r="AD33" i="10"/>
  <c r="AD39" i="10" s="1"/>
  <c r="AD40" i="10" s="1"/>
  <c r="AD42" i="10" s="1"/>
  <c r="AC33" i="10"/>
  <c r="AB33" i="10"/>
  <c r="AG33" i="10" s="1"/>
  <c r="Y33" i="10"/>
  <c r="X33" i="10"/>
  <c r="X39" i="10" s="1"/>
  <c r="X40" i="10" s="1"/>
  <c r="X42" i="10" s="1"/>
  <c r="W33" i="10"/>
  <c r="W39" i="10" s="1"/>
  <c r="V33" i="10"/>
  <c r="U33" i="10"/>
  <c r="U39" i="10" s="1"/>
  <c r="U40" i="10" s="1"/>
  <c r="U42" i="10" s="1"/>
  <c r="R33" i="10"/>
  <c r="Q33" i="10"/>
  <c r="Q39" i="10" s="1"/>
  <c r="Q40" i="10" s="1"/>
  <c r="Q42" i="10" s="1"/>
  <c r="P33" i="10"/>
  <c r="O33" i="10"/>
  <c r="O39" i="10" s="1"/>
  <c r="N33" i="10"/>
  <c r="L33" i="10"/>
  <c r="K33" i="10"/>
  <c r="J33" i="10"/>
  <c r="I33" i="10"/>
  <c r="H33" i="10"/>
  <c r="G33" i="10"/>
  <c r="AM32" i="10"/>
  <c r="AL32" i="10"/>
  <c r="AL40" i="10" s="1"/>
  <c r="AL42" i="10" s="1"/>
  <c r="AK32" i="10"/>
  <c r="AJ32" i="10"/>
  <c r="AI32" i="10"/>
  <c r="AF32" i="10"/>
  <c r="AE32" i="10"/>
  <c r="AD32" i="10"/>
  <c r="AC32" i="10"/>
  <c r="AC40" i="10" s="1"/>
  <c r="AC42" i="10" s="1"/>
  <c r="AB32" i="10"/>
  <c r="Y32" i="10"/>
  <c r="X32" i="10"/>
  <c r="W32" i="10"/>
  <c r="V32" i="10"/>
  <c r="U32" i="10"/>
  <c r="R32" i="10"/>
  <c r="Q32" i="10"/>
  <c r="P32" i="10"/>
  <c r="O32" i="10"/>
  <c r="O40" i="10" s="1"/>
  <c r="O42" i="10" s="1"/>
  <c r="N32" i="10"/>
  <c r="K32" i="10"/>
  <c r="J32" i="10"/>
  <c r="I32" i="10"/>
  <c r="H32" i="10"/>
  <c r="G32" i="10"/>
  <c r="AF42" i="9"/>
  <c r="E41" i="9"/>
  <c r="AG38" i="9"/>
  <c r="AF38" i="9"/>
  <c r="AE38" i="9"/>
  <c r="AD38" i="9"/>
  <c r="AC38" i="9"/>
  <c r="AB38" i="9"/>
  <c r="Y38" i="9"/>
  <c r="X38" i="9"/>
  <c r="W38" i="9"/>
  <c r="V38" i="9"/>
  <c r="U38" i="9"/>
  <c r="R38" i="9"/>
  <c r="Q38" i="9"/>
  <c r="P38" i="9"/>
  <c r="O38" i="9"/>
  <c r="N38" i="9"/>
  <c r="S38" i="9" s="1"/>
  <c r="K38" i="9"/>
  <c r="J38" i="9"/>
  <c r="I38" i="9"/>
  <c r="H38" i="9"/>
  <c r="G38" i="9"/>
  <c r="L38" i="9" s="1"/>
  <c r="AG37" i="9"/>
  <c r="AF37" i="9"/>
  <c r="AE37" i="9"/>
  <c r="AD37" i="9"/>
  <c r="AC37" i="9"/>
  <c r="AB37" i="9"/>
  <c r="Y37" i="9"/>
  <c r="Z37" i="9" s="1"/>
  <c r="X37" i="9"/>
  <c r="W37" i="9"/>
  <c r="V37" i="9"/>
  <c r="U37" i="9"/>
  <c r="R37" i="9"/>
  <c r="Q37" i="9"/>
  <c r="P37" i="9"/>
  <c r="O37" i="9"/>
  <c r="N37" i="9"/>
  <c r="K37" i="9"/>
  <c r="J37" i="9"/>
  <c r="I37" i="9"/>
  <c r="H37" i="9"/>
  <c r="G37" i="9"/>
  <c r="AF36" i="9"/>
  <c r="AE36" i="9"/>
  <c r="AD36" i="9"/>
  <c r="AC36" i="9"/>
  <c r="AB36" i="9"/>
  <c r="Y36" i="9"/>
  <c r="X36" i="9"/>
  <c r="W36" i="9"/>
  <c r="V36" i="9"/>
  <c r="Z36" i="9" s="1"/>
  <c r="U36" i="9"/>
  <c r="R36" i="9"/>
  <c r="Q36" i="9"/>
  <c r="P36" i="9"/>
  <c r="O36" i="9"/>
  <c r="N36" i="9"/>
  <c r="S36" i="9" s="1"/>
  <c r="K36" i="9"/>
  <c r="J36" i="9"/>
  <c r="I36" i="9"/>
  <c r="L36" i="9" s="1"/>
  <c r="H36" i="9"/>
  <c r="G36" i="9"/>
  <c r="AF35" i="9"/>
  <c r="AF39" i="9" s="1"/>
  <c r="AE35" i="9"/>
  <c r="AD35" i="9"/>
  <c r="AC35" i="9"/>
  <c r="AB35" i="9"/>
  <c r="AG35" i="9" s="1"/>
  <c r="Z35" i="9"/>
  <c r="Y35" i="9"/>
  <c r="X35" i="9"/>
  <c r="W35" i="9"/>
  <c r="V35" i="9"/>
  <c r="U35" i="9"/>
  <c r="R35" i="9"/>
  <c r="Q35" i="9"/>
  <c r="P35" i="9"/>
  <c r="O35" i="9"/>
  <c r="N35" i="9"/>
  <c r="N39" i="9" s="1"/>
  <c r="K35" i="9"/>
  <c r="J35" i="9"/>
  <c r="I35" i="9"/>
  <c r="H35" i="9"/>
  <c r="L35" i="9" s="1"/>
  <c r="G35" i="9"/>
  <c r="AF34" i="9"/>
  <c r="AE34" i="9"/>
  <c r="AD34" i="9"/>
  <c r="AC34" i="9"/>
  <c r="AB34" i="9"/>
  <c r="Y34" i="9"/>
  <c r="X34" i="9"/>
  <c r="X39" i="9" s="1"/>
  <c r="W34" i="9"/>
  <c r="V34" i="9"/>
  <c r="U34" i="9"/>
  <c r="S34" i="9"/>
  <c r="R34" i="9"/>
  <c r="Q34" i="9"/>
  <c r="P34" i="9"/>
  <c r="P39" i="9" s="1"/>
  <c r="O34" i="9"/>
  <c r="O39" i="9" s="1"/>
  <c r="N34" i="9"/>
  <c r="K34" i="9"/>
  <c r="J34" i="9"/>
  <c r="I34" i="9"/>
  <c r="I39" i="9" s="1"/>
  <c r="H34" i="9"/>
  <c r="G34" i="9"/>
  <c r="AF33" i="9"/>
  <c r="AE33" i="9"/>
  <c r="AE39" i="9" s="1"/>
  <c r="AD33" i="9"/>
  <c r="AC33" i="9"/>
  <c r="AB33" i="9"/>
  <c r="Z33" i="9"/>
  <c r="Y33" i="9"/>
  <c r="Y39" i="9" s="1"/>
  <c r="X33" i="9"/>
  <c r="W33" i="9"/>
  <c r="W39" i="9" s="1"/>
  <c r="V33" i="9"/>
  <c r="V39" i="9" s="1"/>
  <c r="U33" i="9"/>
  <c r="R33" i="9"/>
  <c r="R39" i="9" s="1"/>
  <c r="R40" i="9" s="1"/>
  <c r="R42" i="9" s="1"/>
  <c r="Q33" i="9"/>
  <c r="P33" i="9"/>
  <c r="O33" i="9"/>
  <c r="N33" i="9"/>
  <c r="K33" i="9"/>
  <c r="J33" i="9"/>
  <c r="I33" i="9"/>
  <c r="H33" i="9"/>
  <c r="G33" i="9"/>
  <c r="AF32" i="9"/>
  <c r="AF40" i="9" s="1"/>
  <c r="AE32" i="9"/>
  <c r="AE40" i="9" s="1"/>
  <c r="AE42" i="9" s="1"/>
  <c r="AD32" i="9"/>
  <c r="AC32" i="9"/>
  <c r="AB32" i="9"/>
  <c r="Y32" i="9"/>
  <c r="Y40" i="9" s="1"/>
  <c r="Y42" i="9" s="1"/>
  <c r="X32" i="9"/>
  <c r="W32" i="9"/>
  <c r="V32" i="9"/>
  <c r="V40" i="9" s="1"/>
  <c r="V42" i="9" s="1"/>
  <c r="U32" i="9"/>
  <c r="R32" i="9"/>
  <c r="Q32" i="9"/>
  <c r="P32" i="9"/>
  <c r="O32" i="9"/>
  <c r="O40" i="9" s="1"/>
  <c r="O42" i="9" s="1"/>
  <c r="N32" i="9"/>
  <c r="K32" i="9"/>
  <c r="J32" i="9"/>
  <c r="I32" i="9"/>
  <c r="H32" i="9"/>
  <c r="G32" i="9"/>
  <c r="E41" i="8"/>
  <c r="AJ39" i="8"/>
  <c r="AJ40" i="8" s="1"/>
  <c r="AJ42" i="8" s="1"/>
  <c r="Q39" i="8"/>
  <c r="AM38" i="8"/>
  <c r="AL38" i="8"/>
  <c r="AK38" i="8"/>
  <c r="AJ38" i="8"/>
  <c r="AI38" i="8"/>
  <c r="AF38" i="8"/>
  <c r="AE38" i="8"/>
  <c r="AD38" i="8"/>
  <c r="AC38" i="8"/>
  <c r="AB38" i="8"/>
  <c r="AG38" i="8" s="1"/>
  <c r="Y38" i="8"/>
  <c r="X38" i="8"/>
  <c r="W38" i="8"/>
  <c r="V38" i="8"/>
  <c r="U38" i="8"/>
  <c r="R38" i="8"/>
  <c r="Q38" i="8"/>
  <c r="P38" i="8"/>
  <c r="O38" i="8"/>
  <c r="S38" i="8" s="1"/>
  <c r="N38" i="8"/>
  <c r="K38" i="8"/>
  <c r="J38" i="8"/>
  <c r="I38" i="8"/>
  <c r="H38" i="8"/>
  <c r="G38" i="8"/>
  <c r="L38" i="8" s="1"/>
  <c r="AM37" i="8"/>
  <c r="AL37" i="8"/>
  <c r="AK37" i="8"/>
  <c r="AJ37" i="8"/>
  <c r="AI37" i="8"/>
  <c r="AF37" i="8"/>
  <c r="AE37" i="8"/>
  <c r="AD37" i="8"/>
  <c r="AC37" i="8"/>
  <c r="AB37" i="8"/>
  <c r="AG37" i="8" s="1"/>
  <c r="Y37" i="8"/>
  <c r="X37" i="8"/>
  <c r="W37" i="8"/>
  <c r="Z37" i="8" s="1"/>
  <c r="V37" i="8"/>
  <c r="U37" i="8"/>
  <c r="R37" i="8"/>
  <c r="Q37" i="8"/>
  <c r="P37" i="8"/>
  <c r="O37" i="8"/>
  <c r="N37" i="8"/>
  <c r="S37" i="8" s="1"/>
  <c r="K37" i="8"/>
  <c r="J37" i="8"/>
  <c r="I37" i="8"/>
  <c r="H37" i="8"/>
  <c r="G37" i="8"/>
  <c r="AM36" i="8"/>
  <c r="AL36" i="8"/>
  <c r="AK36" i="8"/>
  <c r="AJ36" i="8"/>
  <c r="AI36" i="8"/>
  <c r="AF36" i="8"/>
  <c r="AE36" i="8"/>
  <c r="AD36" i="8"/>
  <c r="AC36" i="8"/>
  <c r="AB36" i="8"/>
  <c r="AG36" i="8" s="1"/>
  <c r="Y36" i="8"/>
  <c r="Z36" i="8" s="1"/>
  <c r="X36" i="8"/>
  <c r="W36" i="8"/>
  <c r="V36" i="8"/>
  <c r="U36" i="8"/>
  <c r="R36" i="8"/>
  <c r="Q36" i="8"/>
  <c r="P36" i="8"/>
  <c r="O36" i="8"/>
  <c r="N36" i="8"/>
  <c r="K36" i="8"/>
  <c r="J36" i="8"/>
  <c r="I36" i="8"/>
  <c r="H36" i="8"/>
  <c r="G36" i="8"/>
  <c r="L36" i="8" s="1"/>
  <c r="AM35" i="8"/>
  <c r="AL35" i="8"/>
  <c r="AK35" i="8"/>
  <c r="AJ35" i="8"/>
  <c r="AI35" i="8"/>
  <c r="AI39" i="8" s="1"/>
  <c r="AI40" i="8" s="1"/>
  <c r="AI42" i="8" s="1"/>
  <c r="AF35" i="8"/>
  <c r="AE35" i="8"/>
  <c r="AD35" i="8"/>
  <c r="AC35" i="8"/>
  <c r="AB35" i="8"/>
  <c r="Y35" i="8"/>
  <c r="X35" i="8"/>
  <c r="W35" i="8"/>
  <c r="V35" i="8"/>
  <c r="U35" i="8"/>
  <c r="Z35" i="8" s="1"/>
  <c r="R35" i="8"/>
  <c r="Q35" i="8"/>
  <c r="P35" i="8"/>
  <c r="O35" i="8"/>
  <c r="N35" i="8"/>
  <c r="K35" i="8"/>
  <c r="J35" i="8"/>
  <c r="I35" i="8"/>
  <c r="H35" i="8"/>
  <c r="G35" i="8"/>
  <c r="L35" i="8" s="1"/>
  <c r="AM34" i="8"/>
  <c r="AL34" i="8"/>
  <c r="AK34" i="8"/>
  <c r="AJ34" i="8"/>
  <c r="AI34" i="8"/>
  <c r="AF34" i="8"/>
  <c r="AE34" i="8"/>
  <c r="AD34" i="8"/>
  <c r="AD39" i="8" s="1"/>
  <c r="AD40" i="8" s="1"/>
  <c r="AD42" i="8" s="1"/>
  <c r="AC34" i="8"/>
  <c r="AB34" i="8"/>
  <c r="Y34" i="8"/>
  <c r="X34" i="8"/>
  <c r="W34" i="8"/>
  <c r="V34" i="8"/>
  <c r="U34" i="8"/>
  <c r="Z34" i="8" s="1"/>
  <c r="S34" i="8"/>
  <c r="R34" i="8"/>
  <c r="Q34" i="8"/>
  <c r="P34" i="8"/>
  <c r="O34" i="8"/>
  <c r="N34" i="8"/>
  <c r="K34" i="8"/>
  <c r="J34" i="8"/>
  <c r="J39" i="8" s="1"/>
  <c r="J40" i="8" s="1"/>
  <c r="J42" i="8" s="1"/>
  <c r="I34" i="8"/>
  <c r="H34" i="8"/>
  <c r="G34" i="8"/>
  <c r="AM33" i="8"/>
  <c r="AL33" i="8"/>
  <c r="AK33" i="8"/>
  <c r="AK39" i="8" s="1"/>
  <c r="AJ33" i="8"/>
  <c r="AI33" i="8"/>
  <c r="AF33" i="8"/>
  <c r="AE33" i="8"/>
  <c r="AD33" i="8"/>
  <c r="AC33" i="8"/>
  <c r="AB33" i="8"/>
  <c r="AB39" i="8" s="1"/>
  <c r="Y33" i="8"/>
  <c r="X33" i="8"/>
  <c r="X39" i="8" s="1"/>
  <c r="W33" i="8"/>
  <c r="V33" i="8"/>
  <c r="U33" i="8"/>
  <c r="R33" i="8"/>
  <c r="Q33" i="8"/>
  <c r="P33" i="8"/>
  <c r="P39" i="8" s="1"/>
  <c r="O33" i="8"/>
  <c r="N33" i="8"/>
  <c r="K33" i="8"/>
  <c r="J33" i="8"/>
  <c r="I33" i="8"/>
  <c r="H33" i="8"/>
  <c r="H39" i="8" s="1"/>
  <c r="G33" i="8"/>
  <c r="AM32" i="8"/>
  <c r="AL32" i="8"/>
  <c r="AK32" i="8"/>
  <c r="AJ32" i="8"/>
  <c r="AI32" i="8"/>
  <c r="AF32" i="8"/>
  <c r="AE32" i="8"/>
  <c r="AD32" i="8"/>
  <c r="AC32" i="8"/>
  <c r="AB32" i="8"/>
  <c r="Y32" i="8"/>
  <c r="X32" i="8"/>
  <c r="W32" i="8"/>
  <c r="V32" i="8"/>
  <c r="U32" i="8"/>
  <c r="R32" i="8"/>
  <c r="Q32" i="8"/>
  <c r="Q40" i="8" s="1"/>
  <c r="Q42" i="8" s="1"/>
  <c r="P32" i="8"/>
  <c r="O32" i="8"/>
  <c r="N32" i="8"/>
  <c r="K32" i="8"/>
  <c r="J32" i="8"/>
  <c r="I32" i="8"/>
  <c r="H32" i="8"/>
  <c r="G32" i="8"/>
  <c r="E41" i="7"/>
  <c r="AD39" i="7"/>
  <c r="AD40" i="7" s="1"/>
  <c r="AD42" i="7" s="1"/>
  <c r="AF38" i="7"/>
  <c r="AE38" i="7"/>
  <c r="AD38" i="7"/>
  <c r="AC38" i="7"/>
  <c r="AB38" i="7"/>
  <c r="Y38" i="7"/>
  <c r="X38" i="7"/>
  <c r="W38" i="7"/>
  <c r="V38" i="7"/>
  <c r="U38" i="7"/>
  <c r="Z38" i="7" s="1"/>
  <c r="R38" i="7"/>
  <c r="Q38" i="7"/>
  <c r="P38" i="7"/>
  <c r="O38" i="7"/>
  <c r="N38" i="7"/>
  <c r="K38" i="7"/>
  <c r="L38" i="7" s="1"/>
  <c r="J38" i="7"/>
  <c r="I38" i="7"/>
  <c r="H38" i="7"/>
  <c r="G38" i="7"/>
  <c r="AF37" i="7"/>
  <c r="AE37" i="7"/>
  <c r="AD37" i="7"/>
  <c r="AC37" i="7"/>
  <c r="AB37" i="7"/>
  <c r="AG37" i="7" s="1"/>
  <c r="Y37" i="7"/>
  <c r="X37" i="7"/>
  <c r="W37" i="7"/>
  <c r="V37" i="7"/>
  <c r="U37" i="7"/>
  <c r="R37" i="7"/>
  <c r="S37" i="7" s="1"/>
  <c r="Q37" i="7"/>
  <c r="P37" i="7"/>
  <c r="O37" i="7"/>
  <c r="N37" i="7"/>
  <c r="K37" i="7"/>
  <c r="J37" i="7"/>
  <c r="J39" i="7" s="1"/>
  <c r="I37" i="7"/>
  <c r="L37" i="7" s="1"/>
  <c r="H37" i="7"/>
  <c r="G37" i="7"/>
  <c r="AG36" i="7"/>
  <c r="AF36" i="7"/>
  <c r="AE36" i="7"/>
  <c r="AD36" i="7"/>
  <c r="AC36" i="7"/>
  <c r="AB36" i="7"/>
  <c r="Y36" i="7"/>
  <c r="X36" i="7"/>
  <c r="W36" i="7"/>
  <c r="V36" i="7"/>
  <c r="U36" i="7"/>
  <c r="R36" i="7"/>
  <c r="Q36" i="7"/>
  <c r="P36" i="7"/>
  <c r="O36" i="7"/>
  <c r="N36" i="7"/>
  <c r="S36" i="7" s="1"/>
  <c r="K36" i="7"/>
  <c r="J36" i="7"/>
  <c r="I36" i="7"/>
  <c r="H36" i="7"/>
  <c r="G36" i="7"/>
  <c r="L36" i="7" s="1"/>
  <c r="AF35" i="7"/>
  <c r="AE35" i="7"/>
  <c r="AG35" i="7" s="1"/>
  <c r="AD35" i="7"/>
  <c r="AC35" i="7"/>
  <c r="AB35" i="7"/>
  <c r="Y35" i="7"/>
  <c r="X35" i="7"/>
  <c r="W35" i="7"/>
  <c r="V35" i="7"/>
  <c r="V39" i="7" s="1"/>
  <c r="U35" i="7"/>
  <c r="R35" i="7"/>
  <c r="Q35" i="7"/>
  <c r="P35" i="7"/>
  <c r="O35" i="7"/>
  <c r="N35" i="7"/>
  <c r="S35" i="7" s="1"/>
  <c r="K35" i="7"/>
  <c r="K39" i="7" s="1"/>
  <c r="J35" i="7"/>
  <c r="I35" i="7"/>
  <c r="H35" i="7"/>
  <c r="G35" i="7"/>
  <c r="L35" i="7" s="1"/>
  <c r="AF34" i="7"/>
  <c r="AE34" i="7"/>
  <c r="AD34" i="7"/>
  <c r="AC34" i="7"/>
  <c r="AB34" i="7"/>
  <c r="Y34" i="7"/>
  <c r="X34" i="7"/>
  <c r="W34" i="7"/>
  <c r="V34" i="7"/>
  <c r="Z34" i="7" s="1"/>
  <c r="U34" i="7"/>
  <c r="R34" i="7"/>
  <c r="Q34" i="7"/>
  <c r="P34" i="7"/>
  <c r="O34" i="7"/>
  <c r="N34" i="7"/>
  <c r="S34" i="7" s="1"/>
  <c r="L34" i="7"/>
  <c r="K34" i="7"/>
  <c r="J34" i="7"/>
  <c r="I34" i="7"/>
  <c r="H34" i="7"/>
  <c r="G34" i="7"/>
  <c r="AG33" i="7"/>
  <c r="AF33" i="7"/>
  <c r="AF39" i="7" s="1"/>
  <c r="AE33" i="7"/>
  <c r="AE39" i="7" s="1"/>
  <c r="AE40" i="7" s="1"/>
  <c r="AE42" i="7" s="1"/>
  <c r="AD33" i="7"/>
  <c r="AC33" i="7"/>
  <c r="AB33" i="7"/>
  <c r="AB39" i="7" s="1"/>
  <c r="Y33" i="7"/>
  <c r="X33" i="7"/>
  <c r="W33" i="7"/>
  <c r="Z33" i="7" s="1"/>
  <c r="V33" i="7"/>
  <c r="U33" i="7"/>
  <c r="R33" i="7"/>
  <c r="R39" i="7" s="1"/>
  <c r="R40" i="7" s="1"/>
  <c r="R42" i="7" s="1"/>
  <c r="Q33" i="7"/>
  <c r="Q39" i="7" s="1"/>
  <c r="P33" i="7"/>
  <c r="O33" i="7"/>
  <c r="N33" i="7"/>
  <c r="K33" i="7"/>
  <c r="J33" i="7"/>
  <c r="I33" i="7"/>
  <c r="H33" i="7"/>
  <c r="H39" i="7" s="1"/>
  <c r="G33" i="7"/>
  <c r="AF32" i="7"/>
  <c r="AE32" i="7"/>
  <c r="AD32" i="7"/>
  <c r="AC32" i="7"/>
  <c r="AB32" i="7"/>
  <c r="AB40" i="7" s="1"/>
  <c r="AB42" i="7" s="1"/>
  <c r="Y32" i="7"/>
  <c r="X32" i="7"/>
  <c r="W32" i="7"/>
  <c r="V32" i="7"/>
  <c r="U32" i="7"/>
  <c r="R32" i="7"/>
  <c r="Q32" i="7"/>
  <c r="P32" i="7"/>
  <c r="O32" i="7"/>
  <c r="N32" i="7"/>
  <c r="K32" i="7"/>
  <c r="J32" i="7"/>
  <c r="I32" i="7"/>
  <c r="H32" i="7"/>
  <c r="G32" i="7"/>
  <c r="E41" i="6"/>
  <c r="AF38" i="6"/>
  <c r="AE38" i="6"/>
  <c r="AD38" i="6"/>
  <c r="AC38" i="6"/>
  <c r="AB38" i="6"/>
  <c r="Y38" i="6"/>
  <c r="X38" i="6"/>
  <c r="W38" i="6"/>
  <c r="V38" i="6"/>
  <c r="U38" i="6"/>
  <c r="R38" i="6"/>
  <c r="Q38" i="6"/>
  <c r="P38" i="6"/>
  <c r="O38" i="6"/>
  <c r="N38" i="6"/>
  <c r="S38" i="6" s="1"/>
  <c r="K38" i="6"/>
  <c r="J38" i="6"/>
  <c r="I38" i="6"/>
  <c r="H38" i="6"/>
  <c r="G38" i="6"/>
  <c r="AF37" i="6"/>
  <c r="AE37" i="6"/>
  <c r="AD37" i="6"/>
  <c r="AC37" i="6"/>
  <c r="AG37" i="6" s="1"/>
  <c r="AB37" i="6"/>
  <c r="Y37" i="6"/>
  <c r="X37" i="6"/>
  <c r="W37" i="6"/>
  <c r="V37" i="6"/>
  <c r="U37" i="6"/>
  <c r="Z37" i="6" s="1"/>
  <c r="R37" i="6"/>
  <c r="Q37" i="6"/>
  <c r="P37" i="6"/>
  <c r="O37" i="6"/>
  <c r="N37" i="6"/>
  <c r="S37" i="6" s="1"/>
  <c r="K37" i="6"/>
  <c r="J37" i="6"/>
  <c r="I37" i="6"/>
  <c r="H37" i="6"/>
  <c r="G37" i="6"/>
  <c r="AF36" i="6"/>
  <c r="AE36" i="6"/>
  <c r="AD36" i="6"/>
  <c r="AG36" i="6" s="1"/>
  <c r="AC36" i="6"/>
  <c r="AB36" i="6"/>
  <c r="Y36" i="6"/>
  <c r="X36" i="6"/>
  <c r="W36" i="6"/>
  <c r="V36" i="6"/>
  <c r="U36" i="6"/>
  <c r="R36" i="6"/>
  <c r="Q36" i="6"/>
  <c r="P36" i="6"/>
  <c r="O36" i="6"/>
  <c r="N36" i="6"/>
  <c r="K36" i="6"/>
  <c r="J36" i="6"/>
  <c r="I36" i="6"/>
  <c r="H36" i="6"/>
  <c r="G36" i="6"/>
  <c r="L36" i="6" s="1"/>
  <c r="AF35" i="6"/>
  <c r="AE35" i="6"/>
  <c r="AD35" i="6"/>
  <c r="AC35" i="6"/>
  <c r="AB35" i="6"/>
  <c r="AG35" i="6" s="1"/>
  <c r="Y35" i="6"/>
  <c r="Y39" i="6" s="1"/>
  <c r="X35" i="6"/>
  <c r="W35" i="6"/>
  <c r="V35" i="6"/>
  <c r="U35" i="6"/>
  <c r="R35" i="6"/>
  <c r="Q35" i="6"/>
  <c r="P35" i="6"/>
  <c r="O35" i="6"/>
  <c r="N35" i="6"/>
  <c r="K35" i="6"/>
  <c r="J35" i="6"/>
  <c r="I35" i="6"/>
  <c r="H35" i="6"/>
  <c r="G35" i="6"/>
  <c r="L35" i="6" s="1"/>
  <c r="AG34" i="6"/>
  <c r="AF34" i="6"/>
  <c r="AE34" i="6"/>
  <c r="AD34" i="6"/>
  <c r="AC34" i="6"/>
  <c r="AB34" i="6"/>
  <c r="Y34" i="6"/>
  <c r="X34" i="6"/>
  <c r="W34" i="6"/>
  <c r="V34" i="6"/>
  <c r="U34" i="6"/>
  <c r="R34" i="6"/>
  <c r="Q34" i="6"/>
  <c r="P34" i="6"/>
  <c r="O34" i="6"/>
  <c r="N34" i="6"/>
  <c r="S34" i="6" s="1"/>
  <c r="K34" i="6"/>
  <c r="J34" i="6"/>
  <c r="I34" i="6"/>
  <c r="H34" i="6"/>
  <c r="G34" i="6"/>
  <c r="AG33" i="6"/>
  <c r="AF33" i="6"/>
  <c r="AF39" i="6" s="1"/>
  <c r="AF40" i="6" s="1"/>
  <c r="AF42" i="6" s="1"/>
  <c r="AE33" i="6"/>
  <c r="AD33" i="6"/>
  <c r="AC33" i="6"/>
  <c r="AB33" i="6"/>
  <c r="Y33" i="6"/>
  <c r="X33" i="6"/>
  <c r="W33" i="6"/>
  <c r="W39" i="6" s="1"/>
  <c r="W40" i="6" s="1"/>
  <c r="W42" i="6" s="1"/>
  <c r="V33" i="6"/>
  <c r="U33" i="6"/>
  <c r="R33" i="6"/>
  <c r="R39" i="6" s="1"/>
  <c r="R40" i="6" s="1"/>
  <c r="R42" i="6" s="1"/>
  <c r="Q33" i="6"/>
  <c r="P33" i="6"/>
  <c r="O33" i="6"/>
  <c r="O39" i="6" s="1"/>
  <c r="N33" i="6"/>
  <c r="K33" i="6"/>
  <c r="J33" i="6"/>
  <c r="I33" i="6"/>
  <c r="I39" i="6" s="1"/>
  <c r="I40" i="6" s="1"/>
  <c r="I42" i="6" s="1"/>
  <c r="H33" i="6"/>
  <c r="G33" i="6"/>
  <c r="AF32" i="6"/>
  <c r="AE32" i="6"/>
  <c r="AD32" i="6"/>
  <c r="AC32" i="6"/>
  <c r="AB32" i="6"/>
  <c r="Y32" i="6"/>
  <c r="X32" i="6"/>
  <c r="W32" i="6"/>
  <c r="V32" i="6"/>
  <c r="U32" i="6"/>
  <c r="R32" i="6"/>
  <c r="Q32" i="6"/>
  <c r="P32" i="6"/>
  <c r="O32" i="6"/>
  <c r="N32" i="6"/>
  <c r="K32" i="6"/>
  <c r="J32" i="6"/>
  <c r="I32" i="6"/>
  <c r="H32" i="6"/>
  <c r="G32" i="6"/>
  <c r="E41" i="5"/>
  <c r="J39" i="5"/>
  <c r="G39" i="5"/>
  <c r="AM38" i="5"/>
  <c r="AL38" i="5"/>
  <c r="AK38" i="5"/>
  <c r="AJ38" i="5"/>
  <c r="AI38" i="5"/>
  <c r="AN38" i="5" s="1"/>
  <c r="AF38" i="5"/>
  <c r="AE38" i="5"/>
  <c r="AD38" i="5"/>
  <c r="AC38" i="5"/>
  <c r="AB38" i="5"/>
  <c r="Y38" i="5"/>
  <c r="X38" i="5"/>
  <c r="W38" i="5"/>
  <c r="Z38" i="5" s="1"/>
  <c r="V38" i="5"/>
  <c r="U38" i="5"/>
  <c r="R38" i="5"/>
  <c r="Q38" i="5"/>
  <c r="P38" i="5"/>
  <c r="O38" i="5"/>
  <c r="S38" i="5" s="1"/>
  <c r="L38" i="5"/>
  <c r="K38" i="5"/>
  <c r="J38" i="5"/>
  <c r="I38" i="5"/>
  <c r="H38" i="5"/>
  <c r="G38" i="5"/>
  <c r="AM37" i="5"/>
  <c r="AL37" i="5"/>
  <c r="AK37" i="5"/>
  <c r="AJ37" i="5"/>
  <c r="AI37" i="5"/>
  <c r="AN37" i="5" s="1"/>
  <c r="AF37" i="5"/>
  <c r="AE37" i="5"/>
  <c r="AD37" i="5"/>
  <c r="AC37" i="5"/>
  <c r="AB37" i="5"/>
  <c r="Y37" i="5"/>
  <c r="X37" i="5"/>
  <c r="W37" i="5"/>
  <c r="V37" i="5"/>
  <c r="U37" i="5"/>
  <c r="R37" i="5"/>
  <c r="Q37" i="5"/>
  <c r="P37" i="5"/>
  <c r="O37" i="5"/>
  <c r="K37" i="5"/>
  <c r="J37" i="5"/>
  <c r="I37" i="5"/>
  <c r="H37" i="5"/>
  <c r="G37" i="5"/>
  <c r="AM36" i="5"/>
  <c r="AL36" i="5"/>
  <c r="AK36" i="5"/>
  <c r="AJ36" i="5"/>
  <c r="AI36" i="5"/>
  <c r="AN36" i="5" s="1"/>
  <c r="AF36" i="5"/>
  <c r="AE36" i="5"/>
  <c r="AD36" i="5"/>
  <c r="AC36" i="5"/>
  <c r="AB36" i="5"/>
  <c r="AG36" i="5" s="1"/>
  <c r="Y36" i="5"/>
  <c r="X36" i="5"/>
  <c r="W36" i="5"/>
  <c r="V36" i="5"/>
  <c r="U36" i="5"/>
  <c r="S36" i="5"/>
  <c r="R36" i="5"/>
  <c r="Q36" i="5"/>
  <c r="P36" i="5"/>
  <c r="O36" i="5"/>
  <c r="K36" i="5"/>
  <c r="J36" i="5"/>
  <c r="I36" i="5"/>
  <c r="H36" i="5"/>
  <c r="L36" i="5" s="1"/>
  <c r="G36" i="5"/>
  <c r="AM35" i="5"/>
  <c r="AL35" i="5"/>
  <c r="AK35" i="5"/>
  <c r="AJ35" i="5"/>
  <c r="AI35" i="5"/>
  <c r="AF35" i="5"/>
  <c r="AE35" i="5"/>
  <c r="AD35" i="5"/>
  <c r="AC35" i="5"/>
  <c r="AB35" i="5"/>
  <c r="Y35" i="5"/>
  <c r="X35" i="5"/>
  <c r="W35" i="5"/>
  <c r="V35" i="5"/>
  <c r="U35" i="5"/>
  <c r="Z35" i="5" s="1"/>
  <c r="R35" i="5"/>
  <c r="Q35" i="5"/>
  <c r="P35" i="5"/>
  <c r="S35" i="5" s="1"/>
  <c r="O35" i="5"/>
  <c r="K35" i="5"/>
  <c r="J35" i="5"/>
  <c r="I35" i="5"/>
  <c r="H35" i="5"/>
  <c r="G35" i="5"/>
  <c r="AM34" i="5"/>
  <c r="AL34" i="5"/>
  <c r="AK34" i="5"/>
  <c r="AJ34" i="5"/>
  <c r="AI34" i="5"/>
  <c r="AF34" i="5"/>
  <c r="AE34" i="5"/>
  <c r="AD34" i="5"/>
  <c r="AC34" i="5"/>
  <c r="AB34" i="5"/>
  <c r="AG34" i="5" s="1"/>
  <c r="Z34" i="5"/>
  <c r="Y34" i="5"/>
  <c r="X34" i="5"/>
  <c r="W34" i="5"/>
  <c r="V34" i="5"/>
  <c r="U34" i="5"/>
  <c r="R34" i="5"/>
  <c r="S34" i="5" s="1"/>
  <c r="Q34" i="5"/>
  <c r="P34" i="5"/>
  <c r="O34" i="5"/>
  <c r="K34" i="5"/>
  <c r="J34" i="5"/>
  <c r="I34" i="5"/>
  <c r="I39" i="5" s="1"/>
  <c r="I40" i="5" s="1"/>
  <c r="I42" i="5" s="1"/>
  <c r="H34" i="5"/>
  <c r="G34" i="5"/>
  <c r="L34" i="5" s="1"/>
  <c r="AM33" i="5"/>
  <c r="AM39" i="5" s="1"/>
  <c r="AL33" i="5"/>
  <c r="AK33" i="5"/>
  <c r="AJ33" i="5"/>
  <c r="AI33" i="5"/>
  <c r="AN33" i="5" s="1"/>
  <c r="AF33" i="5"/>
  <c r="AF39" i="5" s="1"/>
  <c r="AF40" i="5" s="1"/>
  <c r="AF42" i="5" s="1"/>
  <c r="AE33" i="5"/>
  <c r="AD33" i="5"/>
  <c r="AD39" i="5" s="1"/>
  <c r="AC33" i="5"/>
  <c r="AB33" i="5"/>
  <c r="Y33" i="5"/>
  <c r="Y39" i="5" s="1"/>
  <c r="X33" i="5"/>
  <c r="W33" i="5"/>
  <c r="Z33" i="5" s="1"/>
  <c r="V33" i="5"/>
  <c r="V39" i="5" s="1"/>
  <c r="V40" i="5" s="1"/>
  <c r="V42" i="5" s="1"/>
  <c r="U33" i="5"/>
  <c r="R33" i="5"/>
  <c r="R39" i="5" s="1"/>
  <c r="Q33" i="5"/>
  <c r="Q39" i="5" s="1"/>
  <c r="P33" i="5"/>
  <c r="O33" i="5"/>
  <c r="K33" i="5"/>
  <c r="K39" i="5" s="1"/>
  <c r="J33" i="5"/>
  <c r="I33" i="5"/>
  <c r="H33" i="5"/>
  <c r="G33" i="5"/>
  <c r="L33" i="5" s="1"/>
  <c r="AM32" i="5"/>
  <c r="AM40" i="5" s="1"/>
  <c r="AM42" i="5" s="1"/>
  <c r="AL32" i="5"/>
  <c r="AK32" i="5"/>
  <c r="AJ32" i="5"/>
  <c r="AI32" i="5"/>
  <c r="AF32" i="5"/>
  <c r="AE32" i="5"/>
  <c r="AD32" i="5"/>
  <c r="AC32" i="5"/>
  <c r="AB32" i="5"/>
  <c r="Y32" i="5"/>
  <c r="X32" i="5"/>
  <c r="W32" i="5"/>
  <c r="V32" i="5"/>
  <c r="U32" i="5"/>
  <c r="R32" i="5"/>
  <c r="Q32" i="5"/>
  <c r="Q40" i="5" s="1"/>
  <c r="Q42" i="5" s="1"/>
  <c r="P32" i="5"/>
  <c r="O32" i="5"/>
  <c r="K32" i="5"/>
  <c r="J32" i="5"/>
  <c r="I32" i="5"/>
  <c r="H32" i="5"/>
  <c r="G32" i="5"/>
  <c r="E41" i="3"/>
  <c r="AG38" i="3"/>
  <c r="AF38" i="3"/>
  <c r="AE38" i="3"/>
  <c r="AD38" i="3"/>
  <c r="AC38" i="3"/>
  <c r="AB38" i="3"/>
  <c r="Y38" i="3"/>
  <c r="X38" i="3"/>
  <c r="W38" i="3"/>
  <c r="V38" i="3"/>
  <c r="Z38" i="3" s="1"/>
  <c r="U38" i="3"/>
  <c r="R38" i="3"/>
  <c r="Q38" i="3"/>
  <c r="P38" i="3"/>
  <c r="O38" i="3"/>
  <c r="N38" i="3"/>
  <c r="S38" i="3" s="1"/>
  <c r="E38" i="3" s="1"/>
  <c r="L38" i="3"/>
  <c r="K38" i="3"/>
  <c r="J38" i="3"/>
  <c r="I38" i="3"/>
  <c r="H38" i="3"/>
  <c r="G38" i="3"/>
  <c r="AF37" i="3"/>
  <c r="AE37" i="3"/>
  <c r="AD37" i="3"/>
  <c r="AC37" i="3"/>
  <c r="AB37" i="3"/>
  <c r="AG37" i="3" s="1"/>
  <c r="Y37" i="3"/>
  <c r="X37" i="3"/>
  <c r="W37" i="3"/>
  <c r="Z37" i="3" s="1"/>
  <c r="V37" i="3"/>
  <c r="U37" i="3"/>
  <c r="R37" i="3"/>
  <c r="Q37" i="3"/>
  <c r="P37" i="3"/>
  <c r="P39" i="3" s="1"/>
  <c r="O37" i="3"/>
  <c r="N37" i="3"/>
  <c r="S37" i="3" s="1"/>
  <c r="K37" i="3"/>
  <c r="J37" i="3"/>
  <c r="I37" i="3"/>
  <c r="H37" i="3"/>
  <c r="G37" i="3"/>
  <c r="L37" i="3" s="1"/>
  <c r="AG36" i="3"/>
  <c r="AF36" i="3"/>
  <c r="AE36" i="3"/>
  <c r="AD36" i="3"/>
  <c r="AC36" i="3"/>
  <c r="AB36" i="3"/>
  <c r="Z36" i="3"/>
  <c r="Y36" i="3"/>
  <c r="X36" i="3"/>
  <c r="W36" i="3"/>
  <c r="V36" i="3"/>
  <c r="U36" i="3"/>
  <c r="R36" i="3"/>
  <c r="Q36" i="3"/>
  <c r="P36" i="3"/>
  <c r="O36" i="3"/>
  <c r="S36" i="3" s="1"/>
  <c r="N36" i="3"/>
  <c r="K36" i="3"/>
  <c r="J36" i="3"/>
  <c r="I36" i="3"/>
  <c r="H36" i="3"/>
  <c r="G36" i="3"/>
  <c r="L36" i="3" s="1"/>
  <c r="E36" i="3" s="1"/>
  <c r="AF35" i="3"/>
  <c r="AE35" i="3"/>
  <c r="AD35" i="3"/>
  <c r="AC35" i="3"/>
  <c r="AB35" i="3"/>
  <c r="AG35" i="3" s="1"/>
  <c r="Y35" i="3"/>
  <c r="Y39" i="3" s="1"/>
  <c r="Y40" i="3" s="1"/>
  <c r="Y42" i="3" s="1"/>
  <c r="X35" i="3"/>
  <c r="W35" i="3"/>
  <c r="V35" i="3"/>
  <c r="U35" i="3"/>
  <c r="Z35" i="3" s="1"/>
  <c r="R35" i="3"/>
  <c r="Q35" i="3"/>
  <c r="P35" i="3"/>
  <c r="S35" i="3" s="1"/>
  <c r="O35" i="3"/>
  <c r="N35" i="3"/>
  <c r="K35" i="3"/>
  <c r="J35" i="3"/>
  <c r="I35" i="3"/>
  <c r="H35" i="3"/>
  <c r="G35" i="3"/>
  <c r="L35" i="3" s="1"/>
  <c r="E35" i="3" s="1"/>
  <c r="AF34" i="3"/>
  <c r="AE34" i="3"/>
  <c r="AD34" i="3"/>
  <c r="AC34" i="3"/>
  <c r="AC39" i="3" s="1"/>
  <c r="AC40" i="3" s="1"/>
  <c r="AC42" i="3" s="1"/>
  <c r="AB34" i="3"/>
  <c r="AG34" i="3" s="1"/>
  <c r="Z34" i="3"/>
  <c r="Y34" i="3"/>
  <c r="X34" i="3"/>
  <c r="W34" i="3"/>
  <c r="V34" i="3"/>
  <c r="U34" i="3"/>
  <c r="S34" i="3"/>
  <c r="R34" i="3"/>
  <c r="Q34" i="3"/>
  <c r="Q39" i="3" s="1"/>
  <c r="P34" i="3"/>
  <c r="O34" i="3"/>
  <c r="N34" i="3"/>
  <c r="K34" i="3"/>
  <c r="J34" i="3"/>
  <c r="I34" i="3"/>
  <c r="H34" i="3"/>
  <c r="L34" i="3" s="1"/>
  <c r="E34" i="3" s="1"/>
  <c r="G34" i="3"/>
  <c r="AF33" i="3"/>
  <c r="AF39" i="3" s="1"/>
  <c r="AE33" i="3"/>
  <c r="AE39" i="3" s="1"/>
  <c r="AD33" i="3"/>
  <c r="AD39" i="3" s="1"/>
  <c r="AC33" i="3"/>
  <c r="AB33" i="3"/>
  <c r="AG33" i="3" s="1"/>
  <c r="Y33" i="3"/>
  <c r="X33" i="3"/>
  <c r="X39" i="3" s="1"/>
  <c r="W33" i="3"/>
  <c r="W39" i="3" s="1"/>
  <c r="V33" i="3"/>
  <c r="V39" i="3" s="1"/>
  <c r="U33" i="3"/>
  <c r="U39" i="3" s="1"/>
  <c r="R33" i="3"/>
  <c r="R39" i="3" s="1"/>
  <c r="Q33" i="3"/>
  <c r="P33" i="3"/>
  <c r="O33" i="3"/>
  <c r="O39" i="3" s="1"/>
  <c r="O40" i="3" s="1"/>
  <c r="O42" i="3" s="1"/>
  <c r="N33" i="3"/>
  <c r="S33" i="3" s="1"/>
  <c r="K33" i="3"/>
  <c r="K39" i="3" s="1"/>
  <c r="K40" i="3" s="1"/>
  <c r="K42" i="3" s="1"/>
  <c r="J33" i="3"/>
  <c r="J39" i="3" s="1"/>
  <c r="I33" i="3"/>
  <c r="H33" i="3"/>
  <c r="H39" i="3" s="1"/>
  <c r="G33" i="3"/>
  <c r="AF32" i="3"/>
  <c r="AF40" i="3" s="1"/>
  <c r="AF42" i="3" s="1"/>
  <c r="AE32" i="3"/>
  <c r="AE40" i="3" s="1"/>
  <c r="AE42" i="3" s="1"/>
  <c r="AD32" i="3"/>
  <c r="AD40" i="3" s="1"/>
  <c r="AD42" i="3" s="1"/>
  <c r="AC32" i="3"/>
  <c r="AB32" i="3"/>
  <c r="Y32" i="3"/>
  <c r="X32" i="3"/>
  <c r="W32" i="3"/>
  <c r="W40" i="3" s="1"/>
  <c r="W42" i="3" s="1"/>
  <c r="V32" i="3"/>
  <c r="V40" i="3" s="1"/>
  <c r="V42" i="3" s="1"/>
  <c r="U32" i="3"/>
  <c r="U40" i="3" s="1"/>
  <c r="U42" i="3" s="1"/>
  <c r="R32" i="3"/>
  <c r="R40" i="3" s="1"/>
  <c r="R42" i="3" s="1"/>
  <c r="Q32" i="3"/>
  <c r="Q40" i="3" s="1"/>
  <c r="Q42" i="3" s="1"/>
  <c r="P32" i="3"/>
  <c r="P40" i="3" s="1"/>
  <c r="P42" i="3" s="1"/>
  <c r="O32" i="3"/>
  <c r="N32" i="3"/>
  <c r="K32" i="3"/>
  <c r="J32" i="3"/>
  <c r="J40" i="3" s="1"/>
  <c r="J42" i="3" s="1"/>
  <c r="I32" i="3"/>
  <c r="H32" i="3"/>
  <c r="H40" i="3" s="1"/>
  <c r="H42" i="3" s="1"/>
  <c r="G32" i="3"/>
  <c r="E41" i="2"/>
  <c r="AG38" i="2"/>
  <c r="AF38" i="2"/>
  <c r="AE38" i="2"/>
  <c r="AD38" i="2"/>
  <c r="AC38" i="2"/>
  <c r="AB38" i="2"/>
  <c r="Z38" i="2"/>
  <c r="Y38" i="2"/>
  <c r="X38" i="2"/>
  <c r="W38" i="2"/>
  <c r="V38" i="2"/>
  <c r="U38" i="2"/>
  <c r="R38" i="2"/>
  <c r="Q38" i="2"/>
  <c r="Q39" i="2" s="1"/>
  <c r="P38" i="2"/>
  <c r="O38" i="2"/>
  <c r="S38" i="2" s="1"/>
  <c r="N38" i="2"/>
  <c r="K38" i="2"/>
  <c r="J38" i="2"/>
  <c r="I38" i="2"/>
  <c r="H38" i="2"/>
  <c r="G38" i="2"/>
  <c r="L38" i="2" s="1"/>
  <c r="E38" i="2" s="1"/>
  <c r="AF37" i="2"/>
  <c r="AE37" i="2"/>
  <c r="AD37" i="2"/>
  <c r="AC37" i="2"/>
  <c r="AB37" i="2"/>
  <c r="AG37" i="2" s="1"/>
  <c r="Y37" i="2"/>
  <c r="X37" i="2"/>
  <c r="W37" i="2"/>
  <c r="V37" i="2"/>
  <c r="U37" i="2"/>
  <c r="Z37" i="2" s="1"/>
  <c r="R37" i="2"/>
  <c r="Q37" i="2"/>
  <c r="P37" i="2"/>
  <c r="S37" i="2" s="1"/>
  <c r="O37" i="2"/>
  <c r="N37" i="2"/>
  <c r="K37" i="2"/>
  <c r="J37" i="2"/>
  <c r="I37" i="2"/>
  <c r="H37" i="2"/>
  <c r="G37" i="2"/>
  <c r="L37" i="2" s="1"/>
  <c r="AF36" i="2"/>
  <c r="AE36" i="2"/>
  <c r="AD36" i="2"/>
  <c r="AC36" i="2"/>
  <c r="AC39" i="2" s="1"/>
  <c r="AB36" i="2"/>
  <c r="AG36" i="2" s="1"/>
  <c r="Z36" i="2"/>
  <c r="Y36" i="2"/>
  <c r="X36" i="2"/>
  <c r="W36" i="2"/>
  <c r="V36" i="2"/>
  <c r="U36" i="2"/>
  <c r="S36" i="2"/>
  <c r="R36" i="2"/>
  <c r="Q36" i="2"/>
  <c r="P36" i="2"/>
  <c r="O36" i="2"/>
  <c r="N36" i="2"/>
  <c r="K36" i="2"/>
  <c r="J36" i="2"/>
  <c r="I36" i="2"/>
  <c r="H36" i="2"/>
  <c r="G36" i="2"/>
  <c r="AF35" i="2"/>
  <c r="AE35" i="2"/>
  <c r="AD35" i="2"/>
  <c r="AC35" i="2"/>
  <c r="AB35" i="2"/>
  <c r="AG35" i="2" s="1"/>
  <c r="Y35" i="2"/>
  <c r="X35" i="2"/>
  <c r="W35" i="2"/>
  <c r="V35" i="2"/>
  <c r="U35" i="2"/>
  <c r="Z35" i="2" s="1"/>
  <c r="R35" i="2"/>
  <c r="R39" i="2" s="1"/>
  <c r="Q35" i="2"/>
  <c r="P35" i="2"/>
  <c r="O35" i="2"/>
  <c r="N35" i="2"/>
  <c r="S35" i="2" s="1"/>
  <c r="K35" i="2"/>
  <c r="J35" i="2"/>
  <c r="I35" i="2"/>
  <c r="I39" i="2" s="1"/>
  <c r="H35" i="2"/>
  <c r="G35" i="2"/>
  <c r="AF34" i="2"/>
  <c r="AE34" i="2"/>
  <c r="AE39" i="2" s="1"/>
  <c r="AD34" i="2"/>
  <c r="AC34" i="2"/>
  <c r="AG34" i="2" s="1"/>
  <c r="AB34" i="2"/>
  <c r="Y34" i="2"/>
  <c r="X34" i="2"/>
  <c r="W34" i="2"/>
  <c r="V34" i="2"/>
  <c r="U34" i="2"/>
  <c r="Z34" i="2" s="1"/>
  <c r="S34" i="2"/>
  <c r="R34" i="2"/>
  <c r="Q34" i="2"/>
  <c r="P34" i="2"/>
  <c r="O34" i="2"/>
  <c r="N34" i="2"/>
  <c r="K34" i="2"/>
  <c r="J34" i="2"/>
  <c r="I34" i="2"/>
  <c r="H34" i="2"/>
  <c r="G34" i="2"/>
  <c r="L34" i="2" s="1"/>
  <c r="E34" i="2" s="1"/>
  <c r="AF33" i="2"/>
  <c r="AF39" i="2" s="1"/>
  <c r="AE33" i="2"/>
  <c r="AD33" i="2"/>
  <c r="AD39" i="2" s="1"/>
  <c r="AC33" i="2"/>
  <c r="AB33" i="2"/>
  <c r="AB39" i="2" s="1"/>
  <c r="Y33" i="2"/>
  <c r="Y39" i="2" s="1"/>
  <c r="X33" i="2"/>
  <c r="X39" i="2" s="1"/>
  <c r="W33" i="2"/>
  <c r="W39" i="2" s="1"/>
  <c r="V33" i="2"/>
  <c r="V39" i="2" s="1"/>
  <c r="U33" i="2"/>
  <c r="Z33" i="2" s="1"/>
  <c r="R33" i="2"/>
  <c r="Q33" i="2"/>
  <c r="P33" i="2"/>
  <c r="P39" i="2" s="1"/>
  <c r="O33" i="2"/>
  <c r="O39" i="2" s="1"/>
  <c r="N33" i="2"/>
  <c r="N39" i="2" s="1"/>
  <c r="K33" i="2"/>
  <c r="K39" i="2" s="1"/>
  <c r="J33" i="2"/>
  <c r="J39" i="2" s="1"/>
  <c r="I33" i="2"/>
  <c r="H33" i="2"/>
  <c r="G33" i="2"/>
  <c r="L33" i="2" s="1"/>
  <c r="AF32" i="2"/>
  <c r="AE32" i="2"/>
  <c r="AD32" i="2"/>
  <c r="AC32" i="2"/>
  <c r="AC40" i="2" s="1"/>
  <c r="AC42" i="2" s="1"/>
  <c r="AB32" i="2"/>
  <c r="AB40" i="2" s="1"/>
  <c r="AB42" i="2" s="1"/>
  <c r="Y32" i="2"/>
  <c r="Y40" i="2" s="1"/>
  <c r="Y42" i="2" s="1"/>
  <c r="X32" i="2"/>
  <c r="X40" i="2" s="1"/>
  <c r="X42" i="2" s="1"/>
  <c r="W32" i="2"/>
  <c r="V32" i="2"/>
  <c r="U32" i="2"/>
  <c r="R32" i="2"/>
  <c r="Q32" i="2"/>
  <c r="Q40" i="2" s="1"/>
  <c r="Q42" i="2" s="1"/>
  <c r="P32" i="2"/>
  <c r="P40" i="2" s="1"/>
  <c r="P42" i="2" s="1"/>
  <c r="O32" i="2"/>
  <c r="O40" i="2" s="1"/>
  <c r="O42" i="2" s="1"/>
  <c r="N32" i="2"/>
  <c r="N40" i="2" s="1"/>
  <c r="N42" i="2" s="1"/>
  <c r="K32" i="2"/>
  <c r="J32" i="2"/>
  <c r="I32" i="2"/>
  <c r="H32" i="2"/>
  <c r="G32" i="2"/>
  <c r="F29" i="2"/>
  <c r="Y22" i="1"/>
  <c r="N21" i="1"/>
  <c r="M21" i="1"/>
  <c r="L21" i="1"/>
  <c r="K21" i="1"/>
  <c r="J21" i="1"/>
  <c r="I21" i="1"/>
  <c r="H21" i="1"/>
  <c r="G21" i="1"/>
  <c r="F21" i="1"/>
  <c r="D21" i="1"/>
  <c r="C21" i="1"/>
  <c r="Y20" i="1"/>
  <c r="Y19" i="1"/>
  <c r="Y18" i="1"/>
  <c r="Y17" i="1"/>
  <c r="Y15" i="1"/>
  <c r="Y14" i="1"/>
  <c r="X10" i="1"/>
  <c r="W10" i="1"/>
  <c r="V10" i="1"/>
  <c r="U10" i="1"/>
  <c r="T10" i="1"/>
  <c r="S10" i="1"/>
  <c r="R10" i="1"/>
  <c r="Y10" i="1" s="1"/>
  <c r="X9" i="1"/>
  <c r="W9" i="1"/>
  <c r="V9" i="1"/>
  <c r="U9" i="1"/>
  <c r="T9" i="1"/>
  <c r="S9" i="1"/>
  <c r="R9" i="1"/>
  <c r="Y9" i="1" s="1"/>
  <c r="X8" i="1"/>
  <c r="W8" i="1"/>
  <c r="V8" i="1"/>
  <c r="U8" i="1"/>
  <c r="T8" i="1"/>
  <c r="S8" i="1"/>
  <c r="R8" i="1"/>
  <c r="E41" i="4"/>
  <c r="E21" i="1" s="1"/>
  <c r="K39" i="4"/>
  <c r="AF38" i="4"/>
  <c r="AE38" i="4"/>
  <c r="AG38" i="4" s="1"/>
  <c r="AD38" i="4"/>
  <c r="AC38" i="4"/>
  <c r="AB38" i="4"/>
  <c r="Y38" i="4"/>
  <c r="X38" i="4"/>
  <c r="W38" i="4"/>
  <c r="V38" i="4"/>
  <c r="Z38" i="4" s="1"/>
  <c r="U38" i="4"/>
  <c r="R38" i="4"/>
  <c r="Q38" i="4"/>
  <c r="P38" i="4"/>
  <c r="O38" i="4"/>
  <c r="N38" i="4"/>
  <c r="S38" i="4" s="1"/>
  <c r="L38" i="4"/>
  <c r="K38" i="4"/>
  <c r="J38" i="4"/>
  <c r="I38" i="4"/>
  <c r="H38" i="4"/>
  <c r="G38" i="4"/>
  <c r="AF37" i="4"/>
  <c r="AG37" i="4" s="1"/>
  <c r="AE37" i="4"/>
  <c r="AD37" i="4"/>
  <c r="AC37" i="4"/>
  <c r="AB37" i="4"/>
  <c r="Y37" i="4"/>
  <c r="X37" i="4"/>
  <c r="W37" i="4"/>
  <c r="W39" i="4" s="1"/>
  <c r="V37" i="4"/>
  <c r="U37" i="4"/>
  <c r="R37" i="4"/>
  <c r="Q37" i="4"/>
  <c r="P37" i="4"/>
  <c r="O37" i="4"/>
  <c r="N37" i="4"/>
  <c r="S37" i="4" s="1"/>
  <c r="K37" i="4"/>
  <c r="J37" i="4"/>
  <c r="I37" i="4"/>
  <c r="H37" i="4"/>
  <c r="G37" i="4"/>
  <c r="L37" i="4" s="1"/>
  <c r="AG36" i="4"/>
  <c r="AF36" i="4"/>
  <c r="AE36" i="4"/>
  <c r="AD36" i="4"/>
  <c r="AC36" i="4"/>
  <c r="AB36" i="4"/>
  <c r="Y36" i="4"/>
  <c r="X36" i="4"/>
  <c r="Z36" i="4" s="1"/>
  <c r="W36" i="4"/>
  <c r="V36" i="4"/>
  <c r="U36" i="4"/>
  <c r="R36" i="4"/>
  <c r="Q36" i="4"/>
  <c r="P36" i="4"/>
  <c r="O36" i="4"/>
  <c r="O39" i="4" s="1"/>
  <c r="N36" i="4"/>
  <c r="K36" i="4"/>
  <c r="J36" i="4"/>
  <c r="I36" i="4"/>
  <c r="H36" i="4"/>
  <c r="G36" i="4"/>
  <c r="L36" i="4" s="1"/>
  <c r="AF35" i="4"/>
  <c r="AE35" i="4"/>
  <c r="AD35" i="4"/>
  <c r="AC35" i="4"/>
  <c r="AB35" i="4"/>
  <c r="AG35" i="4" s="1"/>
  <c r="Y35" i="4"/>
  <c r="Y39" i="4" s="1"/>
  <c r="X35" i="4"/>
  <c r="W35" i="4"/>
  <c r="V35" i="4"/>
  <c r="U35" i="4"/>
  <c r="R35" i="4"/>
  <c r="Q35" i="4"/>
  <c r="P35" i="4"/>
  <c r="S35" i="4" s="1"/>
  <c r="O35" i="4"/>
  <c r="N35" i="4"/>
  <c r="K35" i="4"/>
  <c r="J35" i="4"/>
  <c r="I35" i="4"/>
  <c r="H35" i="4"/>
  <c r="G35" i="4"/>
  <c r="L35" i="4" s="1"/>
  <c r="AF34" i="4"/>
  <c r="AE34" i="4"/>
  <c r="AD34" i="4"/>
  <c r="AC34" i="4"/>
  <c r="AB34" i="4"/>
  <c r="AG34" i="4" s="1"/>
  <c r="Z34" i="4"/>
  <c r="Y34" i="4"/>
  <c r="X34" i="4"/>
  <c r="W34" i="4"/>
  <c r="V34" i="4"/>
  <c r="U34" i="4"/>
  <c r="R34" i="4"/>
  <c r="Q34" i="4"/>
  <c r="S34" i="4" s="1"/>
  <c r="P34" i="4"/>
  <c r="O34" i="4"/>
  <c r="N34" i="4"/>
  <c r="K34" i="4"/>
  <c r="J34" i="4"/>
  <c r="I34" i="4"/>
  <c r="H34" i="4"/>
  <c r="H39" i="4" s="1"/>
  <c r="G34" i="4"/>
  <c r="AF33" i="4"/>
  <c r="AF39" i="4" s="1"/>
  <c r="AE33" i="4"/>
  <c r="AE39" i="4" s="1"/>
  <c r="AD33" i="4"/>
  <c r="AD39" i="4" s="1"/>
  <c r="AC33" i="4"/>
  <c r="AC39" i="4" s="1"/>
  <c r="AB33" i="4"/>
  <c r="AB39" i="4" s="1"/>
  <c r="Y33" i="4"/>
  <c r="X33" i="4"/>
  <c r="W33" i="4"/>
  <c r="V33" i="4"/>
  <c r="V39" i="4" s="1"/>
  <c r="U33" i="4"/>
  <c r="Z33" i="4" s="1"/>
  <c r="R33" i="4"/>
  <c r="R39" i="4" s="1"/>
  <c r="Q33" i="4"/>
  <c r="P33" i="4"/>
  <c r="O33" i="4"/>
  <c r="N33" i="4"/>
  <c r="K33" i="4"/>
  <c r="J33" i="4"/>
  <c r="J39" i="4" s="1"/>
  <c r="I33" i="4"/>
  <c r="I39" i="4" s="1"/>
  <c r="H33" i="4"/>
  <c r="G33" i="4"/>
  <c r="G39" i="4" s="1"/>
  <c r="AF32" i="4"/>
  <c r="AF40" i="4" s="1"/>
  <c r="AF42" i="4" s="1"/>
  <c r="AE32" i="4"/>
  <c r="AE40" i="4" s="1"/>
  <c r="AE42" i="4" s="1"/>
  <c r="AD32" i="4"/>
  <c r="AD40" i="4" s="1"/>
  <c r="AD42" i="4" s="1"/>
  <c r="AC32" i="4"/>
  <c r="AB32" i="4"/>
  <c r="Y32" i="4"/>
  <c r="X32" i="4"/>
  <c r="W32" i="4"/>
  <c r="V32" i="4"/>
  <c r="V40" i="4" s="1"/>
  <c r="V42" i="4" s="1"/>
  <c r="U32" i="4"/>
  <c r="R32" i="4"/>
  <c r="R40" i="4" s="1"/>
  <c r="R42" i="4" s="1"/>
  <c r="Q32" i="4"/>
  <c r="P32" i="4"/>
  <c r="O32" i="4"/>
  <c r="O40" i="4" s="1"/>
  <c r="O42" i="4" s="1"/>
  <c r="N32" i="4"/>
  <c r="K32" i="4"/>
  <c r="K40" i="4" s="1"/>
  <c r="K42" i="4" s="1"/>
  <c r="J32" i="4"/>
  <c r="J40" i="4" s="1"/>
  <c r="J42" i="4" s="1"/>
  <c r="I32" i="4"/>
  <c r="I40" i="4" s="1"/>
  <c r="I42" i="4" s="1"/>
  <c r="H32" i="4"/>
  <c r="H40" i="4" s="1"/>
  <c r="H42" i="4" s="1"/>
  <c r="G32" i="4"/>
  <c r="N14" i="1"/>
  <c r="K14" i="1"/>
  <c r="I13" i="1"/>
  <c r="F14" i="1"/>
  <c r="D12" i="1"/>
  <c r="J11" i="1"/>
  <c r="N10" i="1"/>
  <c r="F10" i="1"/>
  <c r="J9" i="1"/>
  <c r="N8" i="1"/>
  <c r="F8" i="1"/>
  <c r="E14" i="1"/>
  <c r="G11" i="1"/>
  <c r="G9" i="1"/>
  <c r="N13" i="1"/>
  <c r="K13" i="1"/>
  <c r="I12" i="1"/>
  <c r="F13" i="1"/>
  <c r="C14" i="1"/>
  <c r="I11" i="1"/>
  <c r="M10" i="1"/>
  <c r="E10" i="1"/>
  <c r="I9" i="1"/>
  <c r="M8" i="1"/>
  <c r="E8" i="1"/>
  <c r="K12" i="1"/>
  <c r="K10" i="1"/>
  <c r="K8" i="1"/>
  <c r="N12" i="1"/>
  <c r="L12" i="1"/>
  <c r="H14" i="1"/>
  <c r="F12" i="1"/>
  <c r="C13" i="1"/>
  <c r="H11" i="1"/>
  <c r="L10" i="1"/>
  <c r="D10" i="1"/>
  <c r="H9" i="1"/>
  <c r="L8" i="1"/>
  <c r="D8" i="1"/>
  <c r="H13" i="1"/>
  <c r="C12" i="1"/>
  <c r="C10" i="1"/>
  <c r="C8" i="1"/>
  <c r="M14" i="1"/>
  <c r="M13" i="1"/>
  <c r="J14" i="1"/>
  <c r="H12" i="1"/>
  <c r="E13" i="1"/>
  <c r="N11" i="1"/>
  <c r="F11" i="1"/>
  <c r="J10" i="1"/>
  <c r="N9" i="1"/>
  <c r="F9" i="1"/>
  <c r="J8" i="1"/>
  <c r="D13" i="1"/>
  <c r="K9" i="1"/>
  <c r="M12" i="1"/>
  <c r="J13" i="1"/>
  <c r="G14" i="1"/>
  <c r="E12" i="1"/>
  <c r="M11" i="1"/>
  <c r="E11" i="1"/>
  <c r="I10" i="1"/>
  <c r="M9" i="1"/>
  <c r="E9" i="1"/>
  <c r="I8" i="1"/>
  <c r="I14" i="1"/>
  <c r="K11" i="1"/>
  <c r="G10" i="1"/>
  <c r="C9" i="1"/>
  <c r="L14" i="1"/>
  <c r="J12" i="1"/>
  <c r="G13" i="1"/>
  <c r="D14" i="1"/>
  <c r="L11" i="1"/>
  <c r="D11" i="1"/>
  <c r="H10" i="1"/>
  <c r="L9" i="1"/>
  <c r="D9" i="1"/>
  <c r="H8" i="1"/>
  <c r="G12" i="1"/>
  <c r="C11" i="1"/>
  <c r="G8" i="1"/>
  <c r="L13" i="1"/>
  <c r="H39" i="6" l="1"/>
  <c r="L38" i="6"/>
  <c r="Z34" i="6"/>
  <c r="V39" i="6"/>
  <c r="AC39" i="5"/>
  <c r="AG37" i="5"/>
  <c r="AG38" i="5"/>
  <c r="Y13" i="1"/>
  <c r="L36" i="2"/>
  <c r="E36" i="2" s="1"/>
  <c r="Y8" i="1"/>
  <c r="G39" i="2"/>
  <c r="G40" i="2" s="1"/>
  <c r="G42" i="2" s="1"/>
  <c r="Y11" i="1"/>
  <c r="Y23" i="1"/>
  <c r="Y25" i="1"/>
  <c r="Y24" i="1"/>
  <c r="Y21" i="1"/>
  <c r="Y27" i="1"/>
  <c r="Y26" i="1"/>
  <c r="Y16" i="1"/>
  <c r="Y28" i="1"/>
  <c r="Y12" i="1"/>
  <c r="L15" i="1"/>
  <c r="D15" i="1"/>
  <c r="O9" i="1"/>
  <c r="F15" i="1"/>
  <c r="N15" i="1"/>
  <c r="O8" i="1"/>
  <c r="K15" i="1"/>
  <c r="E15" i="1"/>
  <c r="O11" i="1"/>
  <c r="O12" i="1"/>
  <c r="M15" i="1"/>
  <c r="G15" i="1"/>
  <c r="H15" i="1"/>
  <c r="I15" i="1"/>
  <c r="O10" i="1"/>
  <c r="O13" i="1"/>
  <c r="O14" i="1"/>
  <c r="J15" i="1"/>
  <c r="AC40" i="5"/>
  <c r="AC42" i="5" s="1"/>
  <c r="W40" i="4"/>
  <c r="W42" i="4" s="1"/>
  <c r="E35" i="4"/>
  <c r="R40" i="2"/>
  <c r="R42" i="2" s="1"/>
  <c r="AD40" i="2"/>
  <c r="AD42" i="2" s="1"/>
  <c r="I40" i="2"/>
  <c r="I42" i="2" s="1"/>
  <c r="AE40" i="2"/>
  <c r="AE42" i="2" s="1"/>
  <c r="E37" i="2"/>
  <c r="Y40" i="4"/>
  <c r="Y42" i="4" s="1"/>
  <c r="E37" i="4"/>
  <c r="AB40" i="4"/>
  <c r="AB42" i="4" s="1"/>
  <c r="E38" i="4"/>
  <c r="J40" i="2"/>
  <c r="J42" i="2" s="1"/>
  <c r="V40" i="2"/>
  <c r="V42" i="2" s="1"/>
  <c r="AF40" i="2"/>
  <c r="AF42" i="2" s="1"/>
  <c r="AB40" i="3"/>
  <c r="AB42" i="3" s="1"/>
  <c r="G40" i="4"/>
  <c r="AC40" i="4"/>
  <c r="AC42" i="4" s="1"/>
  <c r="O21" i="1"/>
  <c r="K40" i="2"/>
  <c r="K42" i="2" s="1"/>
  <c r="W40" i="2"/>
  <c r="W42" i="2" s="1"/>
  <c r="E37" i="3"/>
  <c r="L34" i="4"/>
  <c r="E34" i="4" s="1"/>
  <c r="S36" i="4"/>
  <c r="E36" i="4" s="1"/>
  <c r="Q39" i="4"/>
  <c r="Q40" i="4" s="1"/>
  <c r="Q42" i="4" s="1"/>
  <c r="I39" i="3"/>
  <c r="I40" i="3" s="1"/>
  <c r="I42" i="3" s="1"/>
  <c r="N39" i="3"/>
  <c r="N40" i="3" s="1"/>
  <c r="N42" i="3" s="1"/>
  <c r="Y40" i="5"/>
  <c r="Y42" i="5" s="1"/>
  <c r="AN34" i="5"/>
  <c r="E34" i="5" s="1"/>
  <c r="W39" i="5"/>
  <c r="S33" i="6"/>
  <c r="AD39" i="6"/>
  <c r="AD40" i="6" s="1"/>
  <c r="AD42" i="6" s="1"/>
  <c r="S36" i="6"/>
  <c r="AG38" i="6"/>
  <c r="S33" i="8"/>
  <c r="N39" i="8"/>
  <c r="AN33" i="8"/>
  <c r="S33" i="4"/>
  <c r="Z35" i="4"/>
  <c r="N39" i="4"/>
  <c r="E39" i="4" s="1"/>
  <c r="AB39" i="3"/>
  <c r="X39" i="5"/>
  <c r="AG33" i="5"/>
  <c r="S37" i="5"/>
  <c r="J39" i="6"/>
  <c r="J40" i="6" s="1"/>
  <c r="J42" i="6" s="1"/>
  <c r="U39" i="6"/>
  <c r="U40" i="6" s="1"/>
  <c r="U42" i="6" s="1"/>
  <c r="AE39" i="6"/>
  <c r="AE40" i="6" s="1"/>
  <c r="AE42" i="6" s="1"/>
  <c r="S35" i="6"/>
  <c r="L37" i="6"/>
  <c r="E37" i="6" s="1"/>
  <c r="I39" i="7"/>
  <c r="U39" i="7"/>
  <c r="W39" i="7"/>
  <c r="P40" i="8"/>
  <c r="P42" i="8" s="1"/>
  <c r="Y39" i="8"/>
  <c r="K39" i="8"/>
  <c r="AG35" i="8"/>
  <c r="AN35" i="8"/>
  <c r="X39" i="4"/>
  <c r="X40" i="4" s="1"/>
  <c r="X42" i="4" s="1"/>
  <c r="AG33" i="4"/>
  <c r="C15" i="1"/>
  <c r="S33" i="5"/>
  <c r="E33" i="5" s="1"/>
  <c r="O39" i="5"/>
  <c r="O40" i="5" s="1"/>
  <c r="O42" i="5" s="1"/>
  <c r="H40" i="6"/>
  <c r="H42" i="6" s="1"/>
  <c r="L33" i="4"/>
  <c r="Z37" i="4"/>
  <c r="P39" i="4"/>
  <c r="P40" i="4" s="1"/>
  <c r="P42" i="4" s="1"/>
  <c r="U39" i="4"/>
  <c r="U40" i="4" s="1"/>
  <c r="U42" i="4" s="1"/>
  <c r="AG33" i="2"/>
  <c r="L35" i="2"/>
  <c r="E35" i="2" s="1"/>
  <c r="H39" i="2"/>
  <c r="H40" i="2" s="1"/>
  <c r="L33" i="3"/>
  <c r="G40" i="5"/>
  <c r="R40" i="5"/>
  <c r="R42" i="5" s="1"/>
  <c r="AD40" i="5"/>
  <c r="AD42" i="5" s="1"/>
  <c r="P39" i="5"/>
  <c r="P40" i="5" s="1"/>
  <c r="P42" i="5" s="1"/>
  <c r="AJ39" i="5"/>
  <c r="AN35" i="5"/>
  <c r="Z36" i="5"/>
  <c r="E36" i="5" s="1"/>
  <c r="E38" i="5"/>
  <c r="Z35" i="6"/>
  <c r="Z38" i="6"/>
  <c r="E38" i="6" s="1"/>
  <c r="H40" i="7"/>
  <c r="H42" i="7" s="1"/>
  <c r="G39" i="8"/>
  <c r="L33" i="8"/>
  <c r="U39" i="2"/>
  <c r="U40" i="2" s="1"/>
  <c r="U42" i="2" s="1"/>
  <c r="G39" i="3"/>
  <c r="AB39" i="5"/>
  <c r="AB40" i="5" s="1"/>
  <c r="AB42" i="5" s="1"/>
  <c r="AK39" i="5"/>
  <c r="AK40" i="5" s="1"/>
  <c r="AK42" i="5" s="1"/>
  <c r="L37" i="5"/>
  <c r="E37" i="5" s="1"/>
  <c r="AI39" i="5"/>
  <c r="V40" i="6"/>
  <c r="V42" i="6" s="1"/>
  <c r="X39" i="6"/>
  <c r="X40" i="6" s="1"/>
  <c r="X42" i="6" s="1"/>
  <c r="AC39" i="6"/>
  <c r="AC40" i="6" s="1"/>
  <c r="AC42" i="6" s="1"/>
  <c r="I40" i="7"/>
  <c r="I42" i="7" s="1"/>
  <c r="U40" i="7"/>
  <c r="U42" i="7" s="1"/>
  <c r="N39" i="7"/>
  <c r="N40" i="7" s="1"/>
  <c r="N42" i="7" s="1"/>
  <c r="S33" i="7"/>
  <c r="X39" i="7"/>
  <c r="X40" i="7" s="1"/>
  <c r="X42" i="7" s="1"/>
  <c r="AC39" i="7"/>
  <c r="R39" i="8"/>
  <c r="E35" i="9"/>
  <c r="H39" i="5"/>
  <c r="H40" i="5" s="1"/>
  <c r="H42" i="5" s="1"/>
  <c r="AL39" i="5"/>
  <c r="AL40" i="5" s="1"/>
  <c r="AL42" i="5" s="1"/>
  <c r="Z37" i="5"/>
  <c r="P39" i="6"/>
  <c r="P40" i="6" s="1"/>
  <c r="P42" i="6" s="1"/>
  <c r="L34" i="6"/>
  <c r="E34" i="6" s="1"/>
  <c r="Z36" i="6"/>
  <c r="E36" i="6" s="1"/>
  <c r="J40" i="7"/>
  <c r="J42" i="7" s="1"/>
  <c r="V40" i="7"/>
  <c r="V42" i="7" s="1"/>
  <c r="AF40" i="7"/>
  <c r="AF42" i="7" s="1"/>
  <c r="O39" i="7"/>
  <c r="O40" i="7" s="1"/>
  <c r="O42" i="7" s="1"/>
  <c r="Y39" i="7"/>
  <c r="Y40" i="7" s="1"/>
  <c r="Y42" i="7" s="1"/>
  <c r="G39" i="7"/>
  <c r="Z37" i="7"/>
  <c r="E37" i="7" s="1"/>
  <c r="S38" i="7"/>
  <c r="E38" i="7" s="1"/>
  <c r="AE39" i="8"/>
  <c r="AE40" i="8" s="1"/>
  <c r="AE42" i="8" s="1"/>
  <c r="L34" i="8"/>
  <c r="E34" i="8" s="1"/>
  <c r="X40" i="3"/>
  <c r="X42" i="3" s="1"/>
  <c r="J40" i="5"/>
  <c r="J42" i="5" s="1"/>
  <c r="W40" i="5"/>
  <c r="W42" i="5" s="1"/>
  <c r="AI40" i="5"/>
  <c r="AI42" i="5" s="1"/>
  <c r="U39" i="5"/>
  <c r="U40" i="5" s="1"/>
  <c r="U42" i="5" s="1"/>
  <c r="L35" i="5"/>
  <c r="AG35" i="5"/>
  <c r="G39" i="6"/>
  <c r="L33" i="6"/>
  <c r="K40" i="7"/>
  <c r="K42" i="7" s="1"/>
  <c r="W40" i="7"/>
  <c r="W42" i="7" s="1"/>
  <c r="P39" i="7"/>
  <c r="P40" i="7" s="1"/>
  <c r="P42" i="7" s="1"/>
  <c r="AG34" i="7"/>
  <c r="E34" i="7" s="1"/>
  <c r="Z36" i="7"/>
  <c r="E36" i="7" s="1"/>
  <c r="K40" i="8"/>
  <c r="K42" i="8" s="1"/>
  <c r="AG34" i="8"/>
  <c r="AN36" i="8"/>
  <c r="I40" i="9"/>
  <c r="I42" i="9" s="1"/>
  <c r="U40" i="9"/>
  <c r="U42" i="9" s="1"/>
  <c r="AB39" i="9"/>
  <c r="S33" i="2"/>
  <c r="E33" i="2" s="1"/>
  <c r="Z33" i="3"/>
  <c r="K40" i="5"/>
  <c r="K42" i="5" s="1"/>
  <c r="X40" i="5"/>
  <c r="X42" i="5" s="1"/>
  <c r="AJ40" i="5"/>
  <c r="AJ42" i="5" s="1"/>
  <c r="AE39" i="5"/>
  <c r="AE40" i="5" s="1"/>
  <c r="AE42" i="5" s="1"/>
  <c r="O40" i="6"/>
  <c r="O42" i="6" s="1"/>
  <c r="Y40" i="6"/>
  <c r="Y42" i="6" s="1"/>
  <c r="N39" i="6"/>
  <c r="N40" i="6" s="1"/>
  <c r="N42" i="6" s="1"/>
  <c r="L33" i="7"/>
  <c r="Z35" i="7"/>
  <c r="E35" i="7" s="1"/>
  <c r="AG38" i="7"/>
  <c r="X40" i="8"/>
  <c r="X42" i="8" s="1"/>
  <c r="W39" i="8"/>
  <c r="W40" i="8" s="1"/>
  <c r="W42" i="8" s="1"/>
  <c r="AG33" i="8"/>
  <c r="AB40" i="8"/>
  <c r="AB42" i="8" s="1"/>
  <c r="AL40" i="8"/>
  <c r="AL42" i="8" s="1"/>
  <c r="Z33" i="8"/>
  <c r="AF39" i="8"/>
  <c r="AF40" i="8" s="1"/>
  <c r="AF42" i="8" s="1"/>
  <c r="S36" i="8"/>
  <c r="E36" i="8" s="1"/>
  <c r="Y40" i="10"/>
  <c r="Y42" i="10" s="1"/>
  <c r="V40" i="11"/>
  <c r="V42" i="11" s="1"/>
  <c r="AF40" i="11"/>
  <c r="AF42" i="11" s="1"/>
  <c r="U39" i="11"/>
  <c r="Z36" i="11"/>
  <c r="E36" i="11" s="1"/>
  <c r="J40" i="13"/>
  <c r="J42" i="13" s="1"/>
  <c r="V40" i="13"/>
  <c r="V42" i="13" s="1"/>
  <c r="E34" i="13"/>
  <c r="N39" i="10"/>
  <c r="N40" i="10" s="1"/>
  <c r="N42" i="10" s="1"/>
  <c r="S33" i="10"/>
  <c r="E33" i="10" s="1"/>
  <c r="Z33" i="6"/>
  <c r="H40" i="8"/>
  <c r="H42" i="8" s="1"/>
  <c r="R40" i="8"/>
  <c r="R42" i="8" s="1"/>
  <c r="O39" i="8"/>
  <c r="AN38" i="8"/>
  <c r="K40" i="9"/>
  <c r="K42" i="9" s="1"/>
  <c r="W40" i="9"/>
  <c r="W42" i="9" s="1"/>
  <c r="G39" i="9"/>
  <c r="L34" i="9"/>
  <c r="S35" i="9"/>
  <c r="S37" i="9"/>
  <c r="Y39" i="10"/>
  <c r="AK39" i="10"/>
  <c r="AK40" i="10" s="1"/>
  <c r="AK42" i="10" s="1"/>
  <c r="Z34" i="10"/>
  <c r="E34" i="10" s="1"/>
  <c r="L37" i="10"/>
  <c r="E37" i="10" s="1"/>
  <c r="AN38" i="10"/>
  <c r="G39" i="11"/>
  <c r="L33" i="11"/>
  <c r="Z35" i="11"/>
  <c r="E35" i="11" s="1"/>
  <c r="AE39" i="11"/>
  <c r="S38" i="11"/>
  <c r="E38" i="11" s="1"/>
  <c r="N40" i="13"/>
  <c r="N42" i="13" s="1"/>
  <c r="X40" i="13"/>
  <c r="X42" i="13" s="1"/>
  <c r="AJ40" i="13"/>
  <c r="AJ42" i="13" s="1"/>
  <c r="S35" i="8"/>
  <c r="E35" i="8" s="1"/>
  <c r="N40" i="9"/>
  <c r="N42" i="9" s="1"/>
  <c r="X40" i="9"/>
  <c r="X42" i="9" s="1"/>
  <c r="H39" i="9"/>
  <c r="H40" i="9" s="1"/>
  <c r="H42" i="9" s="1"/>
  <c r="Q39" i="9"/>
  <c r="Q40" i="9" s="1"/>
  <c r="Q42" i="9" s="1"/>
  <c r="P39" i="10"/>
  <c r="P40" i="10" s="1"/>
  <c r="P42" i="10" s="1"/>
  <c r="W40" i="12"/>
  <c r="W42" i="12" s="1"/>
  <c r="E39" i="12"/>
  <c r="E36" i="13"/>
  <c r="H39" i="10"/>
  <c r="H40" i="10" s="1"/>
  <c r="H42" i="10" s="1"/>
  <c r="L35" i="10"/>
  <c r="E35" i="10" s="1"/>
  <c r="G39" i="10"/>
  <c r="P40" i="11"/>
  <c r="P42" i="11" s="1"/>
  <c r="N40" i="12"/>
  <c r="N42" i="12" s="1"/>
  <c r="X40" i="12"/>
  <c r="X42" i="12" s="1"/>
  <c r="E37" i="13"/>
  <c r="G40" i="7"/>
  <c r="Q40" i="7"/>
  <c r="Q42" i="7" s="1"/>
  <c r="AC40" i="7"/>
  <c r="AC42" i="7" s="1"/>
  <c r="I39" i="8"/>
  <c r="I40" i="8" s="1"/>
  <c r="I42" i="8" s="1"/>
  <c r="AC39" i="8"/>
  <c r="AC40" i="8" s="1"/>
  <c r="AC42" i="8" s="1"/>
  <c r="AL39" i="8"/>
  <c r="P40" i="9"/>
  <c r="P42" i="9" s="1"/>
  <c r="AB40" i="9"/>
  <c r="AB42" i="9" s="1"/>
  <c r="J39" i="9"/>
  <c r="J40" i="9" s="1"/>
  <c r="J42" i="9" s="1"/>
  <c r="S33" i="9"/>
  <c r="AC39" i="9"/>
  <c r="AC40" i="9" s="1"/>
  <c r="AC42" i="9" s="1"/>
  <c r="AG33" i="9"/>
  <c r="Z34" i="9"/>
  <c r="L37" i="9"/>
  <c r="E37" i="9" s="1"/>
  <c r="J40" i="10"/>
  <c r="J42" i="10" s="1"/>
  <c r="V40" i="10"/>
  <c r="V42" i="10" s="1"/>
  <c r="AF40" i="10"/>
  <c r="AF42" i="10" s="1"/>
  <c r="R39" i="10"/>
  <c r="R40" i="10" s="1"/>
  <c r="R42" i="10" s="1"/>
  <c r="AN33" i="10"/>
  <c r="AG38" i="10"/>
  <c r="E38" i="10" s="1"/>
  <c r="G40" i="11"/>
  <c r="AC40" i="11"/>
  <c r="AC42" i="11" s="1"/>
  <c r="AG36" i="11"/>
  <c r="O40" i="12"/>
  <c r="O42" i="12" s="1"/>
  <c r="Y40" i="12"/>
  <c r="Y42" i="12" s="1"/>
  <c r="G40" i="13"/>
  <c r="N40" i="8"/>
  <c r="N42" i="8" s="1"/>
  <c r="AM39" i="8"/>
  <c r="AM40" i="8" s="1"/>
  <c r="AM42" i="8" s="1"/>
  <c r="AN37" i="8"/>
  <c r="K39" i="9"/>
  <c r="U39" i="9"/>
  <c r="AD39" i="9"/>
  <c r="AD40" i="9" s="1"/>
  <c r="AD42" i="9" s="1"/>
  <c r="Z38" i="9"/>
  <c r="E38" i="9" s="1"/>
  <c r="K40" i="10"/>
  <c r="K42" i="10" s="1"/>
  <c r="W40" i="10"/>
  <c r="W42" i="10" s="1"/>
  <c r="AI40" i="10"/>
  <c r="AI42" i="10" s="1"/>
  <c r="Z33" i="10"/>
  <c r="Z35" i="10"/>
  <c r="H40" i="11"/>
  <c r="H42" i="11" s="1"/>
  <c r="R40" i="11"/>
  <c r="R42" i="11" s="1"/>
  <c r="AD40" i="11"/>
  <c r="AD42" i="11" s="1"/>
  <c r="K39" i="11"/>
  <c r="K40" i="11" s="1"/>
  <c r="K42" i="11" s="1"/>
  <c r="W39" i="11"/>
  <c r="W40" i="11" s="1"/>
  <c r="W42" i="11" s="1"/>
  <c r="S34" i="11"/>
  <c r="E34" i="11" s="1"/>
  <c r="J39" i="11"/>
  <c r="J40" i="11" s="1"/>
  <c r="J42" i="11" s="1"/>
  <c r="P40" i="12"/>
  <c r="P42" i="12" s="1"/>
  <c r="AB40" i="12"/>
  <c r="AB42" i="12" s="1"/>
  <c r="E34" i="12"/>
  <c r="E38" i="12"/>
  <c r="E38" i="13"/>
  <c r="O40" i="8"/>
  <c r="O42" i="8" s="1"/>
  <c r="Y40" i="8"/>
  <c r="Y42" i="8" s="1"/>
  <c r="AK40" i="8"/>
  <c r="AK42" i="8" s="1"/>
  <c r="U39" i="8"/>
  <c r="U40" i="8" s="1"/>
  <c r="U42" i="8" s="1"/>
  <c r="AN34" i="8"/>
  <c r="L37" i="8"/>
  <c r="E37" i="8" s="1"/>
  <c r="Z38" i="8"/>
  <c r="E38" i="8" s="1"/>
  <c r="L33" i="9"/>
  <c r="E33" i="9" s="1"/>
  <c r="AG34" i="9"/>
  <c r="AG36" i="9"/>
  <c r="E36" i="9" s="1"/>
  <c r="L36" i="10"/>
  <c r="E36" i="10" s="1"/>
  <c r="S37" i="10"/>
  <c r="AN37" i="10"/>
  <c r="AI39" i="10"/>
  <c r="U40" i="11"/>
  <c r="U42" i="11" s="1"/>
  <c r="AE40" i="11"/>
  <c r="AE42" i="11" s="1"/>
  <c r="N39" i="11"/>
  <c r="N40" i="11" s="1"/>
  <c r="N42" i="11" s="1"/>
  <c r="X39" i="11"/>
  <c r="X40" i="11" s="1"/>
  <c r="X42" i="11" s="1"/>
  <c r="AD39" i="11"/>
  <c r="G42" i="12"/>
  <c r="Q40" i="12"/>
  <c r="Q42" i="12" s="1"/>
  <c r="AC40" i="12"/>
  <c r="AC42" i="12" s="1"/>
  <c r="I40" i="13"/>
  <c r="I42" i="13" s="1"/>
  <c r="U40" i="13"/>
  <c r="U42" i="13" s="1"/>
  <c r="AE40" i="13"/>
  <c r="AE42" i="13" s="1"/>
  <c r="S33" i="11"/>
  <c r="Z33" i="12"/>
  <c r="G39" i="13"/>
  <c r="AB39" i="10"/>
  <c r="AB40" i="10" s="1"/>
  <c r="AB42" i="10" s="1"/>
  <c r="S33" i="13"/>
  <c r="E33" i="13" s="1"/>
  <c r="AB39" i="11"/>
  <c r="AB40" i="11" s="1"/>
  <c r="AB42" i="11" s="1"/>
  <c r="S33" i="12"/>
  <c r="E33" i="12" s="1"/>
  <c r="U39" i="13"/>
  <c r="AN33" i="13"/>
  <c r="E33" i="6" l="1"/>
  <c r="E35" i="6"/>
  <c r="O15" i="1"/>
  <c r="H42" i="2"/>
  <c r="E40" i="2"/>
  <c r="C20" i="1" s="1"/>
  <c r="G42" i="7"/>
  <c r="E42" i="7" s="1"/>
  <c r="H22" i="1" s="1"/>
  <c r="E40" i="7"/>
  <c r="H20" i="1" s="1"/>
  <c r="E40" i="11"/>
  <c r="L20" i="1" s="1"/>
  <c r="G42" i="11"/>
  <c r="E42" i="11" s="1"/>
  <c r="L22" i="1" s="1"/>
  <c r="E34" i="9"/>
  <c r="E35" i="5"/>
  <c r="E39" i="2"/>
  <c r="G40" i="9"/>
  <c r="E39" i="9"/>
  <c r="E33" i="8"/>
  <c r="E39" i="5"/>
  <c r="E39" i="8"/>
  <c r="N40" i="4"/>
  <c r="N42" i="4" s="1"/>
  <c r="G40" i="8"/>
  <c r="E39" i="13"/>
  <c r="E42" i="12"/>
  <c r="M22" i="1" s="1"/>
  <c r="E33" i="11"/>
  <c r="E39" i="6"/>
  <c r="E40" i="5"/>
  <c r="F20" i="1" s="1"/>
  <c r="G42" i="5"/>
  <c r="E42" i="5" s="1"/>
  <c r="F22" i="1" s="1"/>
  <c r="E33" i="4"/>
  <c r="E42" i="2"/>
  <c r="C22" i="1" s="1"/>
  <c r="E40" i="12"/>
  <c r="M20" i="1" s="1"/>
  <c r="E39" i="11"/>
  <c r="E33" i="7"/>
  <c r="E39" i="7"/>
  <c r="E39" i="3"/>
  <c r="E33" i="3"/>
  <c r="E40" i="4"/>
  <c r="E20" i="1" s="1"/>
  <c r="G42" i="4"/>
  <c r="E42" i="4" s="1"/>
  <c r="E22" i="1" s="1"/>
  <c r="G40" i="6"/>
  <c r="E40" i="13"/>
  <c r="N20" i="1" s="1"/>
  <c r="G42" i="13"/>
  <c r="E42" i="13" s="1"/>
  <c r="N22" i="1" s="1"/>
  <c r="E39" i="10"/>
  <c r="G40" i="10"/>
  <c r="G40" i="3"/>
  <c r="G42" i="8" l="1"/>
  <c r="E42" i="8" s="1"/>
  <c r="I22" i="1" s="1"/>
  <c r="E40" i="8"/>
  <c r="I20" i="1" s="1"/>
  <c r="E40" i="3"/>
  <c r="D20" i="1" s="1"/>
  <c r="G42" i="3"/>
  <c r="E42" i="3" s="1"/>
  <c r="D22" i="1" s="1"/>
  <c r="G42" i="10"/>
  <c r="E42" i="10" s="1"/>
  <c r="K22" i="1" s="1"/>
  <c r="E40" i="10"/>
  <c r="K20" i="1" s="1"/>
  <c r="E40" i="9"/>
  <c r="J20" i="1" s="1"/>
  <c r="G42" i="9"/>
  <c r="E42" i="9" s="1"/>
  <c r="J22" i="1" s="1"/>
  <c r="E40" i="6"/>
  <c r="G20" i="1" s="1"/>
  <c r="G42" i="6"/>
  <c r="E42" i="6" s="1"/>
  <c r="G22" i="1" s="1"/>
  <c r="O20" i="1" l="1"/>
  <c r="O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B10" authorId="0" shapeId="0" xr:uid="{00000000-0006-0000-0100-000005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MATIN</t>
        </r>
      </text>
    </comment>
    <comment ref="AD13" authorId="0" shapeId="0" xr:uid="{00000000-0006-0000-0100-000007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validés</t>
        </r>
      </text>
    </comment>
    <comment ref="AB19" authorId="0" shapeId="0" xr:uid="{00000000-0006-0000-0100-000006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Immersion Médiapost</t>
        </r>
      </text>
    </comment>
    <comment ref="R22" authorId="0" shapeId="0" xr:uid="{00000000-0006-0000-0100-000003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validés</t>
        </r>
      </text>
    </comment>
    <comment ref="R24" authorId="0" shapeId="0" xr:uid="{00000000-0006-0000-0100-000004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valid off</t>
        </r>
      </text>
    </comment>
    <comment ref="I26" authorId="0" shapeId="0" xr:uid="{00000000-0006-0000-0100-000001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régularisés</t>
        </r>
      </text>
    </comment>
    <comment ref="K26" authorId="0" shapeId="0" xr:uid="{00000000-0006-0000-0100-000002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validés</t>
        </r>
      </text>
    </comment>
    <comment ref="AF27" authorId="0" shapeId="0" xr:uid="{00000000-0006-0000-0100-000008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validés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X8" authorId="0" shapeId="0" xr:uid="{00000000-0006-0000-0200-000006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TOUR TERRAIN EXTERIEUR PPP1</t>
        </r>
      </text>
    </comment>
    <comment ref="AF10" authorId="0" shapeId="0" xr:uid="{00000000-0006-0000-0200-000008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absent après-midi</t>
        </r>
      </text>
    </comment>
    <comment ref="R11" authorId="0" shapeId="0" xr:uid="{00000000-0006-0000-0200-000005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validés</t>
        </r>
      </text>
    </comment>
    <comment ref="AF13" authorId="0" shapeId="0" xr:uid="{00000000-0006-0000-0200-000009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semaine validée sur GTA</t>
        </r>
      </text>
    </comment>
    <comment ref="K14" authorId="0" shapeId="0" xr:uid="{00000000-0006-0000-0200-000001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RC le matin / présent après-midi</t>
        </r>
      </text>
    </comment>
    <comment ref="AF19" authorId="0" shapeId="0" xr:uid="{00000000-0006-0000-0200-00000A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validé</t>
        </r>
      </text>
    </comment>
    <comment ref="K22" authorId="0" shapeId="0" xr:uid="{00000000-0006-0000-0200-000002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validés</t>
        </r>
      </text>
    </comment>
    <comment ref="AD23" authorId="0" shapeId="0" xr:uid="{00000000-0006-0000-0200-000007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validé</t>
        </r>
      </text>
    </comment>
    <comment ref="K25" authorId="0" shapeId="0" xr:uid="{00000000-0006-0000-0200-000003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quitte à 13h</t>
        </r>
      </text>
    </comment>
    <comment ref="K29" authorId="0" shapeId="0" xr:uid="{00000000-0006-0000-0200-000004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HS ADILE BABA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U11" authorId="0" shapeId="0" xr:uid="{00000000-0006-0000-0300-00000A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validé</t>
        </r>
      </text>
    </comment>
    <comment ref="AC11" authorId="0" shapeId="0" xr:uid="{00000000-0006-0000-0300-00000E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VALIDE</t>
        </r>
      </text>
    </comment>
    <comment ref="I13" authorId="0" shapeId="0" xr:uid="{00000000-0006-0000-0300-000002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REUNION SYNDICALE APRES MIDI</t>
        </r>
      </text>
    </comment>
    <comment ref="K20" authorId="0" shapeId="0" xr:uid="{00000000-0006-0000-0300-000003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validés</t>
        </r>
      </text>
    </comment>
    <comment ref="AF20" authorId="0" shapeId="0" xr:uid="{00000000-0006-0000-0300-00000F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validés + attente justificatif</t>
        </r>
      </text>
    </comment>
    <comment ref="P21" authorId="0" shapeId="0" xr:uid="{00000000-0006-0000-0300-000006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FORMATION AU BUREAU LE MATIN SEULEMENT</t>
        </r>
      </text>
    </comment>
    <comment ref="X25" authorId="0" shapeId="0" xr:uid="{00000000-0006-0000-0300-00000D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validés</t>
        </r>
      </text>
    </comment>
    <comment ref="P26" authorId="0" shapeId="0" xr:uid="{00000000-0006-0000-0300-000007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RPX</t>
        </r>
      </text>
    </comment>
    <comment ref="Q26" authorId="0" shapeId="0" xr:uid="{00000000-0006-0000-0300-000008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RPX</t>
        </r>
      </text>
    </comment>
    <comment ref="R26" authorId="0" shapeId="0" xr:uid="{00000000-0006-0000-0300-000009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RPX</t>
        </r>
      </text>
    </comment>
    <comment ref="V27" authorId="0" shapeId="0" xr:uid="{00000000-0006-0000-0300-00000C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abs après-midi rdv médical</t>
        </r>
      </text>
    </comment>
    <comment ref="AF27" authorId="0" shapeId="0" xr:uid="{00000000-0006-0000-0300-000010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INFILTRATION GENOU
ca validé</t>
        </r>
      </text>
    </comment>
    <comment ref="H28" authorId="0" shapeId="0" xr:uid="{00000000-0006-0000-0300-000001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ELECTIONS MONT D EMARSAN</t>
        </r>
      </text>
    </comment>
    <comment ref="N28" authorId="0" shapeId="0" xr:uid="{00000000-0006-0000-0300-000004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LIAISON LESCAR- RECUP PROPAGANDE EN MAIRIE - 4 CE30 EN K11 - 16H30 
BILLERE à préciser par Joëlle</t>
        </r>
      </text>
    </comment>
    <comment ref="O28" authorId="0" shapeId="0" xr:uid="{00000000-0006-0000-0300-000005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WHITE BELT</t>
        </r>
      </text>
    </comment>
    <comment ref="U28" authorId="0" shapeId="0" xr:uid="{00000000-0006-0000-0300-00000B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recup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C12" authorId="0" shapeId="0" xr:uid="{00000000-0006-0000-0400-000008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absente après-midi</t>
        </r>
      </text>
    </comment>
    <comment ref="P13" authorId="0" shapeId="0" xr:uid="{00000000-0006-0000-0400-000004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EN CONTREPARTIE AVANCER LA WHITE BELT</t>
        </r>
      </text>
    </comment>
    <comment ref="V16" authorId="0" shapeId="0" xr:uid="{00000000-0006-0000-0400-000007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formation white belt AM</t>
        </r>
      </text>
    </comment>
    <comment ref="H18" authorId="0" shapeId="0" xr:uid="{00000000-0006-0000-0400-000002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LE MATIN ABSENT</t>
        </r>
      </text>
    </comment>
    <comment ref="U20" authorId="0" shapeId="0" xr:uid="{00000000-0006-0000-0400-000006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VALIDE</t>
        </r>
      </text>
    </comment>
    <comment ref="AD21" authorId="0" shapeId="0" xr:uid="{00000000-0006-0000-0400-00000A000000}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FORMATION INCIVILITES EXTERNES
</t>
        </r>
      </text>
    </comment>
    <comment ref="AC22" authorId="0" shapeId="0" xr:uid="{00000000-0006-0000-0400-000009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validés</t>
        </r>
      </text>
    </comment>
    <comment ref="J23" authorId="0" shapeId="0" xr:uid="{00000000-0006-0000-0400-000003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VALIDES</t>
        </r>
      </text>
    </comment>
    <comment ref="AD23" authorId="0" shapeId="0" xr:uid="{00000000-0006-0000-0400-00000B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validé</t>
        </r>
      </text>
    </comment>
    <comment ref="AF26" authorId="0" shapeId="0" xr:uid="{00000000-0006-0000-0400-00000C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RPX</t>
        </r>
      </text>
    </comment>
    <comment ref="G27" authorId="0" shapeId="0" xr:uid="{00000000-0006-0000-0400-000001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Validé</t>
        </r>
      </text>
    </comment>
    <comment ref="Q27" authorId="0" shapeId="0" xr:uid="{00000000-0006-0000-0400-000005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validés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  <author>tc={E73F713A-8452-4D13-B1EC-FEC0D0B2A75B}</author>
  </authors>
  <commentList>
    <comment ref="G16" authorId="0" shapeId="0" xr:uid="{00000000-0006-0000-0500-000001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JPS</t>
        </r>
      </text>
    </comment>
    <comment ref="N16" authorId="0" shapeId="0" xr:uid="{00000000-0006-0000-0500-000002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JPS</t>
        </r>
      </text>
    </comment>
    <comment ref="AF20" authorId="0" shapeId="0" xr:uid="{00000000-0006-0000-0500-000006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validés</t>
        </r>
      </text>
    </comment>
    <comment ref="R23" authorId="0" shapeId="0" xr:uid="{00000000-0006-0000-0500-000003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validé</t>
        </r>
      </text>
    </comment>
    <comment ref="R26" authorId="1" shapeId="0" xr:uid="{E73F713A-8452-4D13-B1EC-FEC0D0B2A75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validé</t>
      </text>
    </comment>
    <comment ref="U26" authorId="0" shapeId="0" xr:uid="{00000000-0006-0000-0500-000004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JPS ALIDE</t>
        </r>
      </text>
    </comment>
    <comment ref="Y26" authorId="0" shapeId="0" xr:uid="{00000000-0006-0000-0500-000005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validés</t>
        </r>
      </text>
    </comment>
    <comment ref="AF26" authorId="0" shapeId="0" xr:uid="{00000000-0006-0000-0500-000007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détachements validés</t>
        </r>
      </text>
    </comment>
    <comment ref="AF28" authorId="0" shapeId="0" xr:uid="{00000000-0006-0000-0500-000008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validés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K19" authorId="0" shapeId="0" xr:uid="{00000000-0006-0000-0600-000001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validés</t>
        </r>
      </text>
    </comment>
    <comment ref="AF20" authorId="0" shapeId="0" xr:uid="{00000000-0006-0000-0600-000003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validés</t>
        </r>
      </text>
    </comment>
    <comment ref="R23" authorId="0" shapeId="0" xr:uid="{00000000-0006-0000-0600-000002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validé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R10" authorId="0" shapeId="0" xr:uid="{00000000-0006-0000-0700-000003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validés</t>
        </r>
      </text>
    </comment>
    <comment ref="G12" authorId="0" shapeId="0" xr:uid="{00000000-0006-0000-0700-000001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à l'origine, vacances de Pierre</t>
        </r>
      </text>
    </comment>
    <comment ref="Y13" authorId="0" shapeId="0" xr:uid="{00000000-0006-0000-0700-000004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validés</t>
        </r>
      </text>
    </comment>
    <comment ref="K19" authorId="0" shapeId="0" xr:uid="{00000000-0006-0000-0700-000002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validés</t>
        </r>
      </text>
    </comment>
    <comment ref="AF26" authorId="0" shapeId="0" xr:uid="{00000000-0006-0000-0700-000005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VALIDE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F10" authorId="0" shapeId="0" xr:uid="{00000000-0006-0000-0800-000002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VALIDES</t>
        </r>
      </text>
    </comment>
    <comment ref="AF21" authorId="0" shapeId="0" xr:uid="{00000000-0006-0000-0800-000003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validés</t>
        </r>
      </text>
    </comment>
    <comment ref="R23" authorId="0" shapeId="0" xr:uid="{00000000-0006-0000-0800-000001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VALIDES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M20" authorId="0" shapeId="0" xr:uid="{00000000-0006-0000-0900-000003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validés</t>
        </r>
      </text>
    </comment>
    <comment ref="H23" authorId="0" shapeId="0" xr:uid="{00000000-0006-0000-0900-000001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RC AU MOINS LE MATIN</t>
        </r>
      </text>
    </comment>
    <comment ref="R28" authorId="0" shapeId="0" xr:uid="{00000000-0006-0000-0900-000002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validés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F21" authorId="0" shapeId="0" xr:uid="{00000000-0006-0000-0A00-000005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validés</t>
        </r>
      </text>
    </comment>
    <comment ref="R24" authorId="0" shapeId="0" xr:uid="{00000000-0006-0000-0A00-000001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validés</t>
        </r>
      </text>
    </comment>
    <comment ref="R25" authorId="0" shapeId="0" xr:uid="{00000000-0006-0000-0A00-000002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validé</t>
        </r>
      </text>
    </comment>
    <comment ref="U26" authorId="0" shapeId="0" xr:uid="{00000000-0006-0000-0A00-000003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JPS VALIDE</t>
        </r>
      </text>
    </comment>
    <comment ref="Y26" authorId="0" shapeId="0" xr:uid="{00000000-0006-0000-0A00-000004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VALIDE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O11" authorId="0" shapeId="0" xr:uid="{00000000-0006-0000-0B00-000001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FICTIFS !</t>
        </r>
      </text>
    </comment>
    <comment ref="AF13" authorId="0" shapeId="0" xr:uid="{00000000-0006-0000-0B00-000002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VALIDES</t>
        </r>
      </text>
    </comment>
    <comment ref="AF18" authorId="0" shapeId="0" xr:uid="{00000000-0006-0000-0B00-000003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validés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X10" authorId="0" shapeId="0" xr:uid="{00000000-0006-0000-0C00-000001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validés</t>
        </r>
      </text>
    </comment>
    <comment ref="Y10" authorId="0" shapeId="0" xr:uid="{00000000-0006-0000-0C00-000002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à régulariser avec boni</t>
        </r>
      </text>
    </comment>
    <comment ref="AL11" authorId="0" shapeId="0" xr:uid="{00000000-0006-0000-0C00-000004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validé</t>
        </r>
      </text>
    </comment>
    <comment ref="AB19" authorId="0" shapeId="0" xr:uid="{00000000-0006-0000-0C00-000003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à régulariser avec boni</t>
        </r>
      </text>
    </comment>
  </commentList>
</comments>
</file>

<file path=xl/sharedStrings.xml><?xml version="1.0" encoding="utf-8"?>
<sst xmlns="http://schemas.openxmlformats.org/spreadsheetml/2006/main" count="4271" uniqueCount="363">
  <si>
    <t>TABLEAU DE BORD  ·  PLANNING LOGISSIMO 2026</t>
  </si>
  <si>
    <t>▼ SÉLECTION AGENT</t>
  </si>
  <si>
    <t>TOUS</t>
  </si>
  <si>
    <t>ℹ Utilisez la liste déroulante pour filtrer · Les données se mettent à jour automatiquement (A ne pas toucher)</t>
  </si>
  <si>
    <t>BARNEIX J.</t>
  </si>
  <si>
    <t>📊  ABSENCES PAR TYPE ET PAR MOIS</t>
  </si>
  <si>
    <t>👤  DÉTAIL PAR TYPE ET PAR AGENT</t>
  </si>
  <si>
    <t>MAJET P.</t>
  </si>
  <si>
    <t>Type</t>
  </si>
  <si>
    <t>Jan</t>
  </si>
  <si>
    <t>Fév</t>
  </si>
  <si>
    <t>Mar</t>
  </si>
  <si>
    <t>Avr</t>
  </si>
  <si>
    <t>Mai</t>
  </si>
  <si>
    <t>Jun</t>
  </si>
  <si>
    <t>Jul</t>
  </si>
  <si>
    <t>Aoû</t>
  </si>
  <si>
    <t>Sep</t>
  </si>
  <si>
    <t>Oct</t>
  </si>
  <si>
    <t>Nov</t>
  </si>
  <si>
    <t>Déc</t>
  </si>
  <si>
    <t>TOTAL</t>
  </si>
  <si>
    <t>Agent</t>
  </si>
  <si>
    <t>TP</t>
  </si>
  <si>
    <t>CSE/RPX</t>
  </si>
  <si>
    <t>CA/RC</t>
  </si>
  <si>
    <t>ATM/ATA</t>
  </si>
  <si>
    <t>ASA</t>
  </si>
  <si>
    <t>FORM</t>
  </si>
  <si>
    <t>Autre</t>
  </si>
  <si>
    <t>LENEVEU N.</t>
  </si>
  <si>
    <t>BAUDET R.</t>
  </si>
  <si>
    <t>LALANNE P.</t>
  </si>
  <si>
    <t>AUGE N.</t>
  </si>
  <si>
    <t>LARRODE P.</t>
  </si>
  <si>
    <t>FELIS K.</t>
  </si>
  <si>
    <t>CLOUTE D.</t>
  </si>
  <si>
    <t>BAREITS S.</t>
  </si>
  <si>
    <t>GANTOY P.</t>
  </si>
  <si>
    <t>TAUPIN V.</t>
  </si>
  <si>
    <t>ESSAFI S.</t>
  </si>
  <si>
    <t>🎯  ÉCART MOYEN PRÉSENTS vs CIBLE</t>
  </si>
  <si>
    <t>GALLIFET A.</t>
  </si>
  <si>
    <t>Indicateur</t>
  </si>
  <si>
    <t>MOY.</t>
  </si>
  <si>
    <t>ROYER T.</t>
  </si>
  <si>
    <t>Moy. Présents</t>
  </si>
  <si>
    <t>MARTINS M.</t>
  </si>
  <si>
    <t>Nb Cible</t>
  </si>
  <si>
    <t>BLANCONNIER L.</t>
  </si>
  <si>
    <t>Écart Moyen</t>
  </si>
  <si>
    <t>OUDOT C.</t>
  </si>
  <si>
    <t>NOUAILHAS E.</t>
  </si>
  <si>
    <t>LACAMOIRE N.</t>
  </si>
  <si>
    <t>LINIER C.</t>
  </si>
  <si>
    <t>JANVIER 2026</t>
  </si>
  <si>
    <t>Semaine 02</t>
  </si>
  <si>
    <t>Semaine 03</t>
  </si>
  <si>
    <t>Semaine 04</t>
  </si>
  <si>
    <t>Semaine 05</t>
  </si>
  <si>
    <t>Vacation</t>
  </si>
  <si>
    <t>lun</t>
  </si>
  <si>
    <t>mar.</t>
  </si>
  <si>
    <t>mer.</t>
  </si>
  <si>
    <t>jeu.</t>
  </si>
  <si>
    <t>ven.</t>
  </si>
  <si>
    <t>sam.</t>
  </si>
  <si>
    <t>dim.</t>
  </si>
  <si>
    <t>lun.</t>
  </si>
  <si>
    <t>Matin</t>
  </si>
  <si>
    <t>Après midi</t>
  </si>
  <si>
    <t>Nom</t>
  </si>
  <si>
    <t>Prénom</t>
  </si>
  <si>
    <t>MANAGER SC</t>
  </si>
  <si>
    <t>LENEVEU</t>
  </si>
  <si>
    <t>NICOLAS</t>
  </si>
  <si>
    <t>RPM</t>
  </si>
  <si>
    <t>REF MANAGERIAL</t>
  </si>
  <si>
    <t>CS 8036</t>
  </si>
  <si>
    <t>MAJET</t>
  </si>
  <si>
    <t>PIERRICK</t>
  </si>
  <si>
    <t>14 + 36</t>
  </si>
  <si>
    <t>7h00</t>
  </si>
  <si>
    <t>REF+36</t>
  </si>
  <si>
    <t>CM+36</t>
  </si>
  <si>
    <t>05 + 36</t>
  </si>
  <si>
    <t>CM + 36</t>
  </si>
  <si>
    <t>REF + 36</t>
  </si>
  <si>
    <t>LOG'ISSIMO</t>
  </si>
  <si>
    <t>CS 8005</t>
  </si>
  <si>
    <t>CS 8040</t>
  </si>
  <si>
    <t>BARNEIX</t>
  </si>
  <si>
    <t>JEAN</t>
  </si>
  <si>
    <t>1/2 RC</t>
  </si>
  <si>
    <t>CS 8006</t>
  </si>
  <si>
    <t>CS 8027</t>
  </si>
  <si>
    <t>BAUDET</t>
  </si>
  <si>
    <t>ROMAIN</t>
  </si>
  <si>
    <t>CS 8007</t>
  </si>
  <si>
    <t>CS 8037</t>
  </si>
  <si>
    <t>LALANNE</t>
  </si>
  <si>
    <t>PIERRE</t>
  </si>
  <si>
    <t>CS 8008</t>
  </si>
  <si>
    <t>CS 8026</t>
  </si>
  <si>
    <t>AUGE</t>
  </si>
  <si>
    <t>NADEGE</t>
  </si>
  <si>
    <t>CSE</t>
  </si>
  <si>
    <t>CS 8009</t>
  </si>
  <si>
    <t>CS 8034</t>
  </si>
  <si>
    <t>LARRODE</t>
  </si>
  <si>
    <t>PASCAL</t>
  </si>
  <si>
    <t>CS 8010</t>
  </si>
  <si>
    <t>CS 8022</t>
  </si>
  <si>
    <t>FELIS</t>
  </si>
  <si>
    <t>KORNEL</t>
  </si>
  <si>
    <t xml:space="preserve"> </t>
  </si>
  <si>
    <t>CS 8011</t>
  </si>
  <si>
    <t>CS 8031</t>
  </si>
  <si>
    <t>CLOUTE</t>
  </si>
  <si>
    <t>DOMINIQUE</t>
  </si>
  <si>
    <t>CS 8012</t>
  </si>
  <si>
    <t>CS 8023</t>
  </si>
  <si>
    <t>BAREITS</t>
  </si>
  <si>
    <t>SABINE</t>
  </si>
  <si>
    <t>CS 8013</t>
  </si>
  <si>
    <t>CS 8039</t>
  </si>
  <si>
    <t>GANTOY</t>
  </si>
  <si>
    <t>PATRICE</t>
  </si>
  <si>
    <t>;</t>
  </si>
  <si>
    <t>CS 8014</t>
  </si>
  <si>
    <t>CS 8029</t>
  </si>
  <si>
    <t>TAUPIN</t>
  </si>
  <si>
    <t>VALERIE</t>
  </si>
  <si>
    <t>CS 8015</t>
  </si>
  <si>
    <t>CS 8032</t>
  </si>
  <si>
    <t>ESSAFI</t>
  </si>
  <si>
    <t>SANAA</t>
  </si>
  <si>
    <t>CS 8016</t>
  </si>
  <si>
    <t>CS 8021</t>
  </si>
  <si>
    <t>GALLIFET</t>
  </si>
  <si>
    <t>AURELIE</t>
  </si>
  <si>
    <t>CS 8017</t>
  </si>
  <si>
    <t>CS 8028</t>
  </si>
  <si>
    <t>ROYER</t>
  </si>
  <si>
    <t>THOMAS</t>
  </si>
  <si>
    <t xml:space="preserve">CA/RC </t>
  </si>
  <si>
    <t>MRP1</t>
  </si>
  <si>
    <t>MARTINS</t>
  </si>
  <si>
    <t>MARINA</t>
  </si>
  <si>
    <t>08 ET 26</t>
  </si>
  <si>
    <t>MRP2</t>
  </si>
  <si>
    <t>BLANCONNIER</t>
  </si>
  <si>
    <t>LAURENT</t>
  </si>
  <si>
    <t>17 ET 28</t>
  </si>
  <si>
    <t>05 ET 40</t>
  </si>
  <si>
    <t>06 ET 27</t>
  </si>
  <si>
    <t>PETITS
PLATS</t>
  </si>
  <si>
    <t>PPP 1</t>
  </si>
  <si>
    <t>LOGISSIMO</t>
  </si>
  <si>
    <t>OUDOT</t>
  </si>
  <si>
    <t>CORINE</t>
  </si>
  <si>
    <t>PPP 2</t>
  </si>
  <si>
    <t>NOUAILHAS</t>
  </si>
  <si>
    <t>ERIC</t>
  </si>
  <si>
    <t>MRP3</t>
  </si>
  <si>
    <t>LACAMOIRE</t>
  </si>
  <si>
    <t>LOG</t>
  </si>
  <si>
    <t>07 ET 37</t>
  </si>
  <si>
    <t>DB PPP2</t>
  </si>
  <si>
    <t>14 ET 29</t>
  </si>
  <si>
    <t>MRP4</t>
  </si>
  <si>
    <t>LINIER</t>
  </si>
  <si>
    <t>CHRISTOPHE</t>
  </si>
  <si>
    <t>07 et 37</t>
  </si>
  <si>
    <t>INTERVENTION CDD REGULATION OU TASK FORCE (Agent + N° de tournée)</t>
  </si>
  <si>
    <t>TOTAL CDD/Task</t>
  </si>
  <si>
    <t>NB jour</t>
  </si>
  <si>
    <t>Moyenne</t>
  </si>
  <si>
    <t>Nb abs</t>
  </si>
  <si>
    <t>Présents</t>
  </si>
  <si>
    <t>Nb cible</t>
  </si>
  <si>
    <t xml:space="preserve">Ecart </t>
  </si>
  <si>
    <t>FEVRIER 2026</t>
  </si>
  <si>
    <t>Semaine 06</t>
  </si>
  <si>
    <t>Semaine 07</t>
  </si>
  <si>
    <t>Semaine 08</t>
  </si>
  <si>
    <t>Semaine 09</t>
  </si>
  <si>
    <t xml:space="preserve">CA </t>
  </si>
  <si>
    <t>ABS AM</t>
  </si>
  <si>
    <t>TTEPPP1</t>
  </si>
  <si>
    <t>09 + 36</t>
  </si>
  <si>
    <t>EAI</t>
  </si>
  <si>
    <t>FERNANDEZ MORALES</t>
  </si>
  <si>
    <t>VIRGINIE</t>
  </si>
  <si>
    <t>cse inopiné</t>
  </si>
  <si>
    <t>17 + 28</t>
  </si>
  <si>
    <t>13 ET 39</t>
  </si>
  <si>
    <t>06 et 27</t>
  </si>
  <si>
    <t>ADILE</t>
  </si>
  <si>
    <t>A.SIMON</t>
  </si>
  <si>
    <t>DEBORAH</t>
  </si>
  <si>
    <t>DB 09 ET 21</t>
  </si>
  <si>
    <t>09 ET 21</t>
  </si>
  <si>
    <t>MARS 2026</t>
  </si>
  <si>
    <t>Semaine 10</t>
  </si>
  <si>
    <t>Semaine 11</t>
  </si>
  <si>
    <t>Semaine 12</t>
  </si>
  <si>
    <t>Semaine 13</t>
  </si>
  <si>
    <t>CA/RC/RC</t>
  </si>
  <si>
    <t>8014 + mdm</t>
  </si>
  <si>
    <t>TTE AUGE</t>
  </si>
  <si>
    <t>CA</t>
  </si>
  <si>
    <t>TTE 8028</t>
  </si>
  <si>
    <t>TTE 8011</t>
  </si>
  <si>
    <t>COLLECTE</t>
  </si>
  <si>
    <t>CONV
MAN</t>
  </si>
  <si>
    <t>FIAT</t>
  </si>
  <si>
    <t>15+36</t>
  </si>
  <si>
    <t>05+36</t>
  </si>
  <si>
    <t>REF</t>
  </si>
  <si>
    <t>AXPLORA</t>
  </si>
  <si>
    <t>LU ME 07H00</t>
  </si>
  <si>
    <t>08+36</t>
  </si>
  <si>
    <t>FERNANDEZ-MORALES</t>
  </si>
  <si>
    <t>09 ET 34</t>
  </si>
  <si>
    <t>JOK + 36</t>
  </si>
  <si>
    <t>16 ET 36</t>
  </si>
  <si>
    <t>15 ET 32</t>
  </si>
  <si>
    <t>ASA?</t>
  </si>
  <si>
    <t>WHITE BELT</t>
  </si>
  <si>
    <t>JE VE 7h00</t>
  </si>
  <si>
    <t>16 ET 26</t>
  </si>
  <si>
    <t>16 ET 21</t>
  </si>
  <si>
    <t>PPP 1+8029</t>
  </si>
  <si>
    <t>PPP 1+8027</t>
  </si>
  <si>
    <t>CHANG</t>
  </si>
  <si>
    <t>CA / RC</t>
  </si>
  <si>
    <t>PPP 2+8027</t>
  </si>
  <si>
    <t>DP PPP2</t>
  </si>
  <si>
    <t>08 + abs</t>
  </si>
  <si>
    <t>JOK+36</t>
  </si>
  <si>
    <t>8010 + 8043</t>
  </si>
  <si>
    <t>MdM</t>
  </si>
  <si>
    <t>07h00</t>
  </si>
  <si>
    <t>SIMON</t>
  </si>
  <si>
    <t>14 ET 21</t>
  </si>
  <si>
    <t>AVRIL 2026</t>
  </si>
  <si>
    <t>Semaine 14</t>
  </si>
  <si>
    <t>Semaine 15</t>
  </si>
  <si>
    <t>Semaine 16</t>
  </si>
  <si>
    <t>Semaine 17</t>
  </si>
  <si>
    <t>Semaine 18</t>
  </si>
  <si>
    <t>TTE CLOUTE</t>
  </si>
  <si>
    <t>07H00</t>
  </si>
  <si>
    <t>axplo+36</t>
  </si>
  <si>
    <t>CM</t>
  </si>
  <si>
    <t>10 + 36</t>
  </si>
  <si>
    <t>FERNANDEZ</t>
  </si>
  <si>
    <t>FIN 17H15</t>
  </si>
  <si>
    <t>WB AMF</t>
  </si>
  <si>
    <t>form mat</t>
  </si>
  <si>
    <t>11 ET 31</t>
  </si>
  <si>
    <t>12 ET 23</t>
  </si>
  <si>
    <t>validé</t>
  </si>
  <si>
    <t>13 + 36</t>
  </si>
  <si>
    <t>DB PPP 2</t>
  </si>
  <si>
    <t>10 et 22</t>
  </si>
  <si>
    <t>13+36</t>
  </si>
  <si>
    <t>axp ET 31</t>
  </si>
  <si>
    <t>REF MAN</t>
  </si>
  <si>
    <t xml:space="preserve">PPP 1 </t>
  </si>
  <si>
    <t>JOK</t>
  </si>
  <si>
    <t>14 et 21</t>
  </si>
  <si>
    <t>DEC AYEUX</t>
  </si>
  <si>
    <t>MAI 2026</t>
  </si>
  <si>
    <t>Semaine 19</t>
  </si>
  <si>
    <t>Semaine 20</t>
  </si>
  <si>
    <t>Semaine 21</t>
  </si>
  <si>
    <t>Semaine 22</t>
  </si>
  <si>
    <t>TTE ESSAFI</t>
  </si>
  <si>
    <t xml:space="preserve">CSE </t>
  </si>
  <si>
    <t>ATM</t>
  </si>
  <si>
    <t>11 + 31</t>
  </si>
  <si>
    <t>08 + 26</t>
  </si>
  <si>
    <t>15+32</t>
  </si>
  <si>
    <t>JPS</t>
  </si>
  <si>
    <t>13+39</t>
  </si>
  <si>
    <t>14 + 29</t>
  </si>
  <si>
    <t>CSE / RPX</t>
  </si>
  <si>
    <t>OK</t>
  </si>
  <si>
    <t>JUIN 2026</t>
  </si>
  <si>
    <t>Semaine 23</t>
  </si>
  <si>
    <t>Semaine 24</t>
  </si>
  <si>
    <t>Semaine 25</t>
  </si>
  <si>
    <t>Semaine 26</t>
  </si>
  <si>
    <t>TTE GANTOY</t>
  </si>
  <si>
    <t>CA/RC ?</t>
  </si>
  <si>
    <t>05 et 40</t>
  </si>
  <si>
    <t>14+21</t>
  </si>
  <si>
    <t>08+26</t>
  </si>
  <si>
    <t>15 et 32</t>
  </si>
  <si>
    <t>NO JOK</t>
  </si>
  <si>
    <t>13 et 39</t>
  </si>
  <si>
    <t>JUILLET 2026</t>
  </si>
  <si>
    <t>Semaine 27</t>
  </si>
  <si>
    <t>Semaine 28</t>
  </si>
  <si>
    <t>Semaine 29</t>
  </si>
  <si>
    <t>Semaine 30</t>
  </si>
  <si>
    <t>Semaine 31</t>
  </si>
  <si>
    <t>CM+40</t>
  </si>
  <si>
    <t>CM+23</t>
  </si>
  <si>
    <t>CM+JOK</t>
  </si>
  <si>
    <t>11+31</t>
  </si>
  <si>
    <t>8012+31</t>
  </si>
  <si>
    <t>07+37</t>
  </si>
  <si>
    <t>14+29</t>
  </si>
  <si>
    <t>JOK/CSE</t>
  </si>
  <si>
    <t>05+40</t>
  </si>
  <si>
    <t>11+23</t>
  </si>
  <si>
    <t>AOUT 2026</t>
  </si>
  <si>
    <t>Semaine 32</t>
  </si>
  <si>
    <t>Semaine 33</t>
  </si>
  <si>
    <t>Semaine 34</t>
  </si>
  <si>
    <t>Semaine 35</t>
  </si>
  <si>
    <t>REF + 40</t>
  </si>
  <si>
    <t>16+21</t>
  </si>
  <si>
    <t>SEPTEMBRE 2026</t>
  </si>
  <si>
    <t>Semaine 36</t>
  </si>
  <si>
    <t>Semaine 37</t>
  </si>
  <si>
    <t>Semaine 38</t>
  </si>
  <si>
    <t>Semaine 39</t>
  </si>
  <si>
    <t>Semaine 40</t>
  </si>
  <si>
    <t>TTE MARTINS</t>
  </si>
  <si>
    <t>REF+26</t>
  </si>
  <si>
    <t>RC</t>
  </si>
  <si>
    <t>09+34</t>
  </si>
  <si>
    <t>PPP 3</t>
  </si>
  <si>
    <t>PPP 4</t>
  </si>
  <si>
    <t>OCTOBRE 2026</t>
  </si>
  <si>
    <t>Semaine 41</t>
  </si>
  <si>
    <t>Semaine 42</t>
  </si>
  <si>
    <t>Semaine 43</t>
  </si>
  <si>
    <t>Semaine 44</t>
  </si>
  <si>
    <t xml:space="preserve"> TTE NADEGE LAC</t>
  </si>
  <si>
    <t>REF + 28</t>
  </si>
  <si>
    <t>NOVEMBRE 2026</t>
  </si>
  <si>
    <t>Semaine 45</t>
  </si>
  <si>
    <t>Semaine 46</t>
  </si>
  <si>
    <t>Semaine 47</t>
  </si>
  <si>
    <t>Semaine 48</t>
  </si>
  <si>
    <t>TTE FELIS</t>
  </si>
  <si>
    <t>REF+31</t>
  </si>
  <si>
    <t>fictifs</t>
  </si>
  <si>
    <t>CA/RC?</t>
  </si>
  <si>
    <t>DECEMBRE 2026</t>
  </si>
  <si>
    <t>Semaine 49</t>
  </si>
  <si>
    <t>Semaine 50</t>
  </si>
  <si>
    <t>Semaine 51</t>
  </si>
  <si>
    <t>Semaine 52</t>
  </si>
  <si>
    <t>Semaine 53</t>
  </si>
  <si>
    <t>PPP ?</t>
  </si>
  <si>
    <t>CA / RC ?</t>
  </si>
  <si>
    <t>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</si>
</sst>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;\-"/>
    <numFmt numFmtId="165" formatCode="0.0"/>
  </numFmts>
  <fonts count="4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20"/>
      <color rgb="FFFFFFFF"/>
      <name val="Calibri"/>
      <family val="2"/>
    </font>
    <font>
      <b/>
      <sz val="11"/>
      <color rgb="FFFFFFFF"/>
      <name val="Calibri"/>
      <family val="2"/>
    </font>
    <font>
      <b/>
      <sz val="14"/>
      <color rgb="FF1F3864"/>
      <name val="Calibri"/>
      <family val="2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1F3864"/>
      <name val="Calibri"/>
      <family val="2"/>
    </font>
    <font>
      <sz val="10"/>
      <color rgb="FF1F3864"/>
      <name val="Calibri"/>
      <family val="2"/>
    </font>
    <font>
      <sz val="14"/>
      <color theme="1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28"/>
      <color rgb="FF000000"/>
      <name val="Arial"/>
      <family val="2"/>
      <charset val="1"/>
    </font>
    <font>
      <b/>
      <sz val="14"/>
      <color rgb="FF000000"/>
      <name val="Calibri"/>
      <family val="2"/>
      <charset val="1"/>
    </font>
    <font>
      <b/>
      <sz val="14"/>
      <color rgb="FF000000"/>
      <name val="Arial"/>
      <family val="2"/>
      <charset val="1"/>
    </font>
    <font>
      <sz val="14"/>
      <color rgb="FF000000"/>
      <name val="Arial"/>
      <family val="2"/>
      <charset val="1"/>
    </font>
    <font>
      <b/>
      <sz val="14"/>
      <color theme="1"/>
      <name val="Calibri"/>
      <family val="2"/>
      <charset val="1"/>
    </font>
    <font>
      <sz val="14"/>
      <name val="Calibri"/>
      <family val="2"/>
      <charset val="1"/>
    </font>
    <font>
      <b/>
      <sz val="20"/>
      <color theme="1"/>
      <name val="Calibri"/>
      <family val="2"/>
      <charset val="1"/>
    </font>
    <font>
      <b/>
      <sz val="14"/>
      <name val="Arial"/>
      <family val="2"/>
      <charset val="1"/>
    </font>
    <font>
      <sz val="14"/>
      <name val="Arial"/>
      <family val="2"/>
      <charset val="1"/>
    </font>
    <font>
      <b/>
      <sz val="14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6"/>
      <color theme="1"/>
      <name val="Calibri"/>
      <family val="2"/>
      <charset val="1"/>
    </font>
    <font>
      <sz val="14"/>
      <color rgb="FF00FF00"/>
      <name val="Arial"/>
      <family val="2"/>
      <charset val="1"/>
    </font>
    <font>
      <b/>
      <sz val="26"/>
      <color rgb="FF000000"/>
      <name val="Arial"/>
      <family val="2"/>
      <charset val="1"/>
    </font>
    <font>
      <b/>
      <sz val="16"/>
      <color rgb="FF00FF00"/>
      <name val="Calibri"/>
      <family val="2"/>
      <charset val="1"/>
    </font>
    <font>
      <sz val="14"/>
      <color rgb="FF00B050"/>
      <name val="Calibri"/>
      <family val="2"/>
      <charset val="1"/>
    </font>
    <font>
      <sz val="14"/>
      <color rgb="FFFF0000"/>
      <name val="Calibri"/>
      <family val="2"/>
      <charset val="1"/>
    </font>
    <font>
      <sz val="18"/>
      <color rgb="FF000000"/>
      <name val="Calibri"/>
      <family val="2"/>
      <charset val="1"/>
    </font>
    <font>
      <b/>
      <sz val="18"/>
      <color rgb="FF000000"/>
      <name val="Calibri"/>
      <family val="2"/>
      <charset val="1"/>
    </font>
    <font>
      <sz val="18"/>
      <color rgb="FFFF0000"/>
      <name val="Calibri"/>
      <family val="2"/>
      <charset val="1"/>
    </font>
    <font>
      <b/>
      <sz val="18"/>
      <color rgb="FFFF0000"/>
      <name val="Calibri"/>
      <family val="2"/>
      <charset val="1"/>
    </font>
    <font>
      <b/>
      <sz val="18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4"/>
      <color rgb="FFFF0000"/>
      <name val="Arial"/>
      <family val="2"/>
      <charset val="1"/>
    </font>
    <font>
      <b/>
      <sz val="14"/>
      <color rgb="FF00FF00"/>
      <name val="Calibri"/>
      <family val="2"/>
      <charset val="1"/>
    </font>
    <font>
      <strike/>
      <sz val="14"/>
      <color rgb="FF000000"/>
      <name val="Calibri"/>
      <family val="2"/>
      <charset val="1"/>
    </font>
    <font>
      <i/>
      <sz val="11"/>
      <color rgb="FF595959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rgb="FF1F3864"/>
        <bgColor rgb="FF2E5597"/>
      </patternFill>
    </fill>
    <fill>
      <patternFill patternType="solid">
        <fgColor rgb="FF4472C4"/>
        <bgColor rgb="FF3C65AE"/>
      </patternFill>
    </fill>
    <fill>
      <patternFill patternType="solid">
        <fgColor rgb="FFFFE699"/>
        <bgColor rgb="FFFFCC99"/>
      </patternFill>
    </fill>
    <fill>
      <patternFill patternType="solid">
        <fgColor rgb="FF2E5597"/>
        <bgColor rgb="FF3C65AE"/>
      </patternFill>
    </fill>
    <fill>
      <patternFill patternType="solid">
        <fgColor rgb="FFD9E1F2"/>
        <bgColor rgb="FFD9D9D9"/>
      </patternFill>
    </fill>
    <fill>
      <patternFill patternType="solid">
        <fgColor rgb="FFEDF2F9"/>
        <bgColor rgb="FFFFFFFF"/>
      </patternFill>
    </fill>
    <fill>
      <patternFill patternType="solid">
        <fgColor rgb="FFFFFFFF"/>
        <bgColor rgb="FFEDF2F9"/>
      </patternFill>
    </fill>
    <fill>
      <patternFill patternType="solid">
        <fgColor theme="9" tint="0.59987182226020086"/>
        <bgColor rgb="FFD9D9D9"/>
      </patternFill>
    </fill>
    <fill>
      <patternFill patternType="solid">
        <fgColor rgb="FFFFFF00"/>
        <bgColor rgb="FFFFC000"/>
      </patternFill>
    </fill>
    <fill>
      <patternFill patternType="solid">
        <fgColor rgb="FFFFCC99"/>
        <bgColor rgb="FFFFE699"/>
      </patternFill>
    </fill>
    <fill>
      <patternFill patternType="solid">
        <fgColor rgb="FF00CCFF"/>
        <bgColor rgb="FF00B050"/>
      </patternFill>
    </fill>
    <fill>
      <patternFill patternType="solid">
        <fgColor theme="0" tint="-0.249977111117893"/>
        <bgColor rgb="FFB4C6E7"/>
      </patternFill>
    </fill>
    <fill>
      <patternFill patternType="solid">
        <fgColor rgb="FFFF0000"/>
        <bgColor rgb="FF9C0006"/>
      </patternFill>
    </fill>
    <fill>
      <patternFill patternType="solid">
        <fgColor theme="4"/>
        <bgColor rgb="FF518ABD"/>
      </patternFill>
    </fill>
    <fill>
      <patternFill patternType="solid">
        <fgColor rgb="FFFF66FF"/>
        <bgColor rgb="FFED7D31"/>
      </patternFill>
    </fill>
    <fill>
      <patternFill patternType="solid">
        <fgColor rgb="FFFFC000"/>
        <bgColor rgb="FFE3AB00"/>
      </patternFill>
    </fill>
    <fill>
      <patternFill patternType="solid">
        <fgColor theme="9"/>
        <bgColor rgb="FF639A3F"/>
      </patternFill>
    </fill>
    <fill>
      <patternFill patternType="solid">
        <fgColor rgb="FF92D050"/>
        <bgColor rgb="FF70AD47"/>
      </patternFill>
    </fill>
    <fill>
      <patternFill patternType="solid">
        <fgColor theme="4" tint="0.59987182226020086"/>
        <bgColor rgb="FFB4C6E7"/>
      </patternFill>
    </fill>
    <fill>
      <patternFill patternType="solid">
        <fgColor theme="8" tint="0.39988402966399123"/>
        <bgColor rgb="FF98B8DF"/>
      </patternFill>
    </fill>
    <fill>
      <patternFill patternType="solid">
        <fgColor theme="0" tint="-0.34998626667073579"/>
        <bgColor rgb="FFA5A5A5"/>
      </patternFill>
    </fill>
    <fill>
      <patternFill patternType="solid">
        <fgColor rgb="FF00FF00"/>
        <bgColor rgb="FF00B050"/>
      </patternFill>
    </fill>
    <fill>
      <patternFill patternType="solid">
        <fgColor rgb="FFFFCCFF"/>
        <bgColor rgb="FFD9D9D9"/>
      </patternFill>
    </fill>
    <fill>
      <patternFill patternType="solid">
        <fgColor theme="4" tint="0.39988402966399123"/>
        <bgColor rgb="FF98B8D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5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rgb="FFAEAAAA"/>
      </top>
      <bottom style="thin">
        <color rgb="FFAEAAAA"/>
      </bottom>
      <diagonal/>
    </border>
    <border>
      <left style="medium">
        <color auto="1"/>
      </left>
      <right style="thin">
        <color rgb="FFAEAAAA"/>
      </right>
      <top style="medium">
        <color auto="1"/>
      </top>
      <bottom style="thin">
        <color rgb="FFAEAAAA"/>
      </bottom>
      <diagonal/>
    </border>
    <border>
      <left/>
      <right style="thin">
        <color rgb="FFAEAAAA"/>
      </right>
      <top style="medium">
        <color auto="1"/>
      </top>
      <bottom style="thin">
        <color rgb="FFAEAAAA"/>
      </bottom>
      <diagonal/>
    </border>
    <border>
      <left/>
      <right style="medium">
        <color auto="1"/>
      </right>
      <top style="medium">
        <color auto="1"/>
      </top>
      <bottom style="thin">
        <color rgb="FFAEAAA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rgb="FFAEAAAA"/>
      </right>
      <top/>
      <bottom style="medium">
        <color auto="1"/>
      </bottom>
      <diagonal/>
    </border>
    <border>
      <left/>
      <right style="thin">
        <color rgb="FFAEAAAA"/>
      </right>
      <top/>
      <bottom/>
      <diagonal/>
    </border>
    <border>
      <left style="thin">
        <color rgb="FFAEAAAA"/>
      </left>
      <right style="thin">
        <color rgb="FFAEAAAA"/>
      </right>
      <top/>
      <bottom style="medium">
        <color auto="1"/>
      </bottom>
      <diagonal/>
    </border>
    <border>
      <left style="thin">
        <color rgb="FFAEAAAA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rgb="FFAEAAAA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thin">
        <color rgb="FFAEAAAA"/>
      </top>
      <bottom/>
      <diagonal/>
    </border>
    <border>
      <left style="thin">
        <color auto="1"/>
      </left>
      <right style="hair">
        <color auto="1"/>
      </right>
      <top style="thin">
        <color rgb="FFAEAAAA"/>
      </top>
      <bottom/>
      <diagonal/>
    </border>
    <border>
      <left style="thin">
        <color auto="1"/>
      </left>
      <right style="medium">
        <color auto="1"/>
      </right>
      <top style="thin">
        <color rgb="FFAEAAAA"/>
      </top>
      <bottom/>
      <diagonal/>
    </border>
    <border>
      <left/>
      <right style="thin">
        <color rgb="FFAEAAAA"/>
      </right>
      <top style="medium">
        <color auto="1"/>
      </top>
      <bottom style="medium">
        <color auto="1"/>
      </bottom>
      <diagonal/>
    </border>
    <border>
      <left style="thin">
        <color rgb="FFAEAAAA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rgb="FFAEAAAA"/>
      </right>
      <top/>
      <bottom style="hair">
        <color auto="1"/>
      </bottom>
      <diagonal/>
    </border>
    <border>
      <left style="thin">
        <color rgb="FFAEAAAA"/>
      </left>
      <right/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thin">
        <color rgb="FFAEAAAA"/>
      </right>
      <top/>
      <bottom style="thin">
        <color rgb="FFAEAAAA"/>
      </bottom>
      <diagonal/>
    </border>
    <border>
      <left style="thin">
        <color rgb="FFAEAAAA"/>
      </left>
      <right/>
      <top/>
      <bottom style="thin">
        <color rgb="FFAEAAAA"/>
      </bottom>
      <diagonal/>
    </border>
    <border>
      <left style="medium">
        <color auto="1"/>
      </left>
      <right/>
      <top/>
      <bottom style="thin">
        <color rgb="FFAEAAAA"/>
      </bottom>
      <diagonal/>
    </border>
    <border>
      <left/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thin">
        <color rgb="FFAEAAAA"/>
      </left>
      <right/>
      <top style="thin">
        <color rgb="FFAEAAAA"/>
      </top>
      <bottom style="thin">
        <color rgb="FFAEAAAA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EAAAA"/>
      </right>
      <top style="thin">
        <color rgb="FFAEAAAA"/>
      </top>
      <bottom/>
      <diagonal/>
    </border>
    <border>
      <left style="thin">
        <color rgb="FFAEAAAA"/>
      </left>
      <right/>
      <top style="thin">
        <color rgb="FFAEAAAA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AEAAAA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/>
      <right style="medium">
        <color auto="1"/>
      </right>
      <top style="thin">
        <color rgb="FFAEAAAA"/>
      </top>
      <bottom style="thin">
        <color rgb="FFAEAAAA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thin">
        <color rgb="FFAEAAAA"/>
      </top>
      <bottom/>
      <diagonal/>
    </border>
    <border>
      <left style="medium">
        <color auto="1"/>
      </left>
      <right style="dotted">
        <color auto="1"/>
      </right>
      <top style="medium">
        <color auto="1"/>
      </top>
      <bottom/>
      <diagonal/>
    </border>
    <border>
      <left style="dotted">
        <color auto="1"/>
      </left>
      <right style="dotted">
        <color auto="1"/>
      </right>
      <top style="medium">
        <color auto="1"/>
      </top>
      <bottom/>
      <diagonal/>
    </border>
    <border>
      <left style="dotted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rgb="FFAEAAAA"/>
      </right>
      <top/>
      <bottom/>
      <diagonal/>
    </border>
    <border>
      <left style="thin">
        <color rgb="FFAEAAAA"/>
      </left>
      <right style="thin">
        <color rgb="FFAEAAAA"/>
      </right>
      <top/>
      <bottom/>
      <diagonal/>
    </border>
    <border>
      <left style="thin">
        <color rgb="FFAEAAAA"/>
      </left>
      <right/>
      <top/>
      <bottom/>
      <diagonal/>
    </border>
    <border>
      <left style="medium">
        <color auto="1"/>
      </left>
      <right style="hair">
        <color auto="1"/>
      </right>
      <top style="thin">
        <color rgb="FFAEAAAA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thin">
        <color rgb="FFAEAAAA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rgb="FFAEAAAA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AEAAAA"/>
      </right>
      <top/>
      <bottom style="medium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hair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rgb="FFAEAAAA"/>
      </bottom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medium">
        <color auto="1"/>
      </left>
      <right/>
      <top/>
      <bottom style="dotted">
        <color auto="1"/>
      </bottom>
      <diagonal/>
    </border>
    <border>
      <left/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rgb="FFAEAAAA"/>
      </top>
      <bottom style="medium">
        <color auto="1"/>
      </bottom>
      <diagonal/>
    </border>
    <border>
      <left/>
      <right style="dotted">
        <color auto="1"/>
      </right>
      <top style="medium">
        <color auto="1"/>
      </top>
      <bottom/>
      <diagonal/>
    </border>
    <border>
      <left style="medium">
        <color rgb="FF2E5597"/>
      </left>
      <right/>
      <top style="medium">
        <color indexed="64"/>
      </top>
      <bottom style="medium">
        <color indexed="64"/>
      </bottom>
      <diagonal/>
    </border>
    <border>
      <left style="medium">
        <color rgb="FF2E5597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thin">
        <color rgb="FFB4C6E7"/>
      </left>
      <right style="medium">
        <color rgb="FF002060"/>
      </right>
      <top style="thin">
        <color rgb="FFB4C6E7"/>
      </top>
      <bottom style="thin">
        <color rgb="FFB4C6E7"/>
      </bottom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</borders>
  <cellStyleXfs count="1">
    <xf numFmtId="0" fontId="0" fillId="0" borderId="0"/>
  </cellStyleXfs>
  <cellXfs count="451">
    <xf numFmtId="0" fontId="0" fillId="0" borderId="0" xfId="0"/>
    <xf numFmtId="0" fontId="6" fillId="3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indent="1"/>
    </xf>
    <xf numFmtId="164" fontId="8" fillId="7" borderId="1" xfId="0" applyNumberFormat="1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164" fontId="8" fillId="8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8" fillId="8" borderId="1" xfId="0" applyNumberFormat="1" applyFont="1" applyFill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indent="1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49" fontId="11" fillId="0" borderId="0" xfId="0" applyNumberFormat="1" applyFont="1" applyAlignment="1">
      <alignment vertical="center"/>
    </xf>
    <xf numFmtId="49" fontId="11" fillId="0" borderId="0" xfId="0" applyNumberFormat="1" applyFont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6" fillId="11" borderId="10" xfId="0" applyFont="1" applyFill="1" applyBorder="1" applyAlignment="1">
      <alignment horizontal="center" vertical="center"/>
    </xf>
    <xf numFmtId="0" fontId="16" fillId="11" borderId="11" xfId="0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 vertical="center"/>
    </xf>
    <xf numFmtId="0" fontId="16" fillId="11" borderId="12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5" fillId="12" borderId="2" xfId="0" applyFont="1" applyFill="1" applyBorder="1" applyAlignment="1">
      <alignment horizontal="center" vertical="center"/>
    </xf>
    <xf numFmtId="0" fontId="19" fillId="0" borderId="14" xfId="0" applyFont="1" applyBorder="1" applyAlignment="1">
      <alignment horizontal="center" vertical="center" wrapText="1"/>
    </xf>
    <xf numFmtId="0" fontId="20" fillId="8" borderId="15" xfId="0" applyFont="1" applyFill="1" applyBorder="1" applyAlignment="1">
      <alignment horizontal="center" vertical="center" wrapText="1"/>
    </xf>
    <xf numFmtId="0" fontId="20" fillId="8" borderId="16" xfId="0" applyFont="1" applyFill="1" applyBorder="1" applyAlignment="1">
      <alignment horizontal="center" vertical="center" wrapText="1"/>
    </xf>
    <xf numFmtId="0" fontId="20" fillId="13" borderId="16" xfId="0" applyFont="1" applyFill="1" applyBorder="1" applyAlignment="1">
      <alignment horizontal="center" vertical="center" wrapText="1"/>
    </xf>
    <xf numFmtId="0" fontId="20" fillId="13" borderId="17" xfId="0" applyFont="1" applyFill="1" applyBorder="1" applyAlignment="1">
      <alignment horizontal="center" vertical="center" wrapText="1"/>
    </xf>
    <xf numFmtId="0" fontId="15" fillId="14" borderId="18" xfId="0" applyFont="1" applyFill="1" applyBorder="1" applyAlignment="1">
      <alignment horizontal="center" vertical="center"/>
    </xf>
    <xf numFmtId="0" fontId="18" fillId="8" borderId="19" xfId="0" applyFont="1" applyFill="1" applyBorder="1" applyAlignment="1">
      <alignment horizontal="center" vertical="center" wrapText="1"/>
    </xf>
    <xf numFmtId="0" fontId="18" fillId="8" borderId="20" xfId="0" applyFont="1" applyFill="1" applyBorder="1" applyAlignment="1">
      <alignment horizontal="center" vertical="center" wrapText="1"/>
    </xf>
    <xf numFmtId="0" fontId="18" fillId="8" borderId="21" xfId="0" applyFont="1" applyFill="1" applyBorder="1" applyAlignment="1">
      <alignment horizontal="center" vertical="center"/>
    </xf>
    <xf numFmtId="0" fontId="18" fillId="8" borderId="22" xfId="0" applyFont="1" applyFill="1" applyBorder="1" applyAlignment="1">
      <alignment horizontal="center" vertical="center"/>
    </xf>
    <xf numFmtId="0" fontId="18" fillId="8" borderId="23" xfId="0" applyFont="1" applyFill="1" applyBorder="1" applyAlignment="1">
      <alignment horizontal="center" vertical="center"/>
    </xf>
    <xf numFmtId="0" fontId="12" fillId="8" borderId="24" xfId="0" applyFont="1" applyFill="1" applyBorder="1" applyAlignment="1">
      <alignment horizontal="center" vertical="center"/>
    </xf>
    <xf numFmtId="0" fontId="12" fillId="8" borderId="25" xfId="0" applyFont="1" applyFill="1" applyBorder="1" applyAlignment="1">
      <alignment horizontal="center" vertical="center"/>
    </xf>
    <xf numFmtId="0" fontId="12" fillId="13" borderId="25" xfId="0" applyFont="1" applyFill="1" applyBorder="1" applyAlignment="1">
      <alignment horizontal="center" vertical="center"/>
    </xf>
    <xf numFmtId="0" fontId="12" fillId="13" borderId="26" xfId="0" applyFont="1" applyFill="1" applyBorder="1" applyAlignment="1">
      <alignment horizontal="center" vertical="center"/>
    </xf>
    <xf numFmtId="0" fontId="15" fillId="15" borderId="18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 wrapText="1"/>
    </xf>
    <xf numFmtId="0" fontId="18" fillId="9" borderId="27" xfId="0" applyFont="1" applyFill="1" applyBorder="1" applyAlignment="1">
      <alignment horizontal="center" vertical="center"/>
    </xf>
    <xf numFmtId="0" fontId="18" fillId="9" borderId="28" xfId="0" applyFont="1" applyFill="1" applyBorder="1" applyAlignment="1">
      <alignment horizontal="center" vertical="center"/>
    </xf>
    <xf numFmtId="0" fontId="19" fillId="8" borderId="13" xfId="0" applyFont="1" applyFill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0" fontId="21" fillId="8" borderId="29" xfId="0" applyFont="1" applyFill="1" applyBorder="1" applyAlignment="1">
      <alignment horizontal="center" vertical="center"/>
    </xf>
    <xf numFmtId="0" fontId="21" fillId="13" borderId="29" xfId="0" applyFont="1" applyFill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1" fillId="13" borderId="30" xfId="0" applyFont="1" applyFill="1" applyBorder="1" applyAlignment="1">
      <alignment horizontal="center" vertical="center"/>
    </xf>
    <xf numFmtId="0" fontId="12" fillId="16" borderId="18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 wrapText="1"/>
    </xf>
    <xf numFmtId="0" fontId="18" fillId="17" borderId="8" xfId="0" applyFont="1" applyFill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horizontal="center" vertical="center"/>
    </xf>
    <xf numFmtId="0" fontId="21" fillId="8" borderId="32" xfId="0" applyFont="1" applyFill="1" applyBorder="1" applyAlignment="1">
      <alignment horizontal="center" vertical="center"/>
    </xf>
    <xf numFmtId="0" fontId="21" fillId="13" borderId="32" xfId="0" applyFont="1" applyFill="1" applyBorder="1" applyAlignment="1">
      <alignment horizontal="center" vertical="center"/>
    </xf>
    <xf numFmtId="0" fontId="21" fillId="10" borderId="32" xfId="0" applyFont="1" applyFill="1" applyBorder="1" applyAlignment="1">
      <alignment horizontal="center" vertical="center"/>
    </xf>
    <xf numFmtId="0" fontId="21" fillId="8" borderId="33" xfId="0" applyFont="1" applyFill="1" applyBorder="1" applyAlignment="1">
      <alignment horizontal="center" vertical="center"/>
    </xf>
    <xf numFmtId="0" fontId="21" fillId="10" borderId="33" xfId="0" applyFont="1" applyFill="1" applyBorder="1" applyAlignment="1">
      <alignment horizontal="center" vertical="center"/>
    </xf>
    <xf numFmtId="0" fontId="21" fillId="13" borderId="34" xfId="0" applyFont="1" applyFill="1" applyBorder="1" applyAlignment="1">
      <alignment horizontal="center" vertical="center"/>
    </xf>
    <xf numFmtId="0" fontId="18" fillId="10" borderId="36" xfId="0" applyFont="1" applyFill="1" applyBorder="1" applyAlignment="1">
      <alignment horizontal="center" vertical="center"/>
    </xf>
    <xf numFmtId="0" fontId="18" fillId="17" borderId="37" xfId="0" applyFont="1" applyFill="1" applyBorder="1" applyAlignment="1">
      <alignment horizontal="center" vertical="center"/>
    </xf>
    <xf numFmtId="0" fontId="18" fillId="10" borderId="38" xfId="0" applyFont="1" applyFill="1" applyBorder="1" applyAlignment="1">
      <alignment horizontal="center" vertical="center"/>
    </xf>
    <xf numFmtId="0" fontId="18" fillId="10" borderId="39" xfId="0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21" fillId="8" borderId="40" xfId="0" applyFont="1" applyFill="1" applyBorder="1" applyAlignment="1">
      <alignment horizontal="center" vertical="center"/>
    </xf>
    <xf numFmtId="0" fontId="21" fillId="13" borderId="33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21" fillId="13" borderId="41" xfId="0" applyFont="1" applyFill="1" applyBorder="1" applyAlignment="1">
      <alignment horizontal="center" vertical="center"/>
    </xf>
    <xf numFmtId="0" fontId="18" fillId="10" borderId="42" xfId="0" applyFont="1" applyFill="1" applyBorder="1" applyAlignment="1">
      <alignment horizontal="center" vertical="center"/>
    </xf>
    <xf numFmtId="0" fontId="18" fillId="10" borderId="43" xfId="0" applyFont="1" applyFill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6" fillId="8" borderId="31" xfId="0" applyFont="1" applyFill="1" applyBorder="1" applyAlignment="1">
      <alignment horizontal="center" vertical="center"/>
    </xf>
    <xf numFmtId="0" fontId="18" fillId="10" borderId="45" xfId="0" applyFont="1" applyFill="1" applyBorder="1" applyAlignment="1">
      <alignment horizontal="center" vertical="center"/>
    </xf>
    <xf numFmtId="0" fontId="18" fillId="10" borderId="46" xfId="0" applyFont="1" applyFill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22" fillId="14" borderId="18" xfId="0" applyFont="1" applyFill="1" applyBorder="1" applyAlignment="1">
      <alignment horizontal="center" vertical="center"/>
    </xf>
    <xf numFmtId="0" fontId="22" fillId="0" borderId="47" xfId="0" applyFont="1" applyBorder="1" applyAlignment="1">
      <alignment horizontal="center" vertical="center"/>
    </xf>
    <xf numFmtId="0" fontId="10" fillId="9" borderId="18" xfId="0" applyFont="1" applyFill="1" applyBorder="1" applyAlignment="1">
      <alignment horizontal="center" vertical="center"/>
    </xf>
    <xf numFmtId="0" fontId="22" fillId="12" borderId="18" xfId="0" applyFont="1" applyFill="1" applyBorder="1" applyAlignment="1">
      <alignment horizontal="center" vertical="center"/>
    </xf>
    <xf numFmtId="0" fontId="18" fillId="10" borderId="48" xfId="0" applyFont="1" applyFill="1" applyBorder="1" applyAlignment="1">
      <alignment horizontal="center" vertical="center"/>
    </xf>
    <xf numFmtId="0" fontId="18" fillId="10" borderId="49" xfId="0" applyFont="1" applyFill="1" applyBorder="1" applyAlignment="1">
      <alignment horizontal="center" vertical="center"/>
    </xf>
    <xf numFmtId="0" fontId="10" fillId="9" borderId="47" xfId="0" applyFont="1" applyFill="1" applyBorder="1" applyAlignment="1">
      <alignment horizontal="center" vertical="center"/>
    </xf>
    <xf numFmtId="0" fontId="21" fillId="13" borderId="50" xfId="0" applyFont="1" applyFill="1" applyBorder="1" applyAlignment="1">
      <alignment horizontal="center" vertical="center"/>
    </xf>
    <xf numFmtId="0" fontId="21" fillId="8" borderId="50" xfId="0" applyFont="1" applyFill="1" applyBorder="1" applyAlignment="1">
      <alignment horizontal="center" vertical="center"/>
    </xf>
    <xf numFmtId="0" fontId="21" fillId="16" borderId="50" xfId="0" applyFont="1" applyFill="1" applyBorder="1" applyAlignment="1">
      <alignment horizontal="center" vertical="center"/>
    </xf>
    <xf numFmtId="0" fontId="21" fillId="13" borderId="51" xfId="0" applyFont="1" applyFill="1" applyBorder="1" applyAlignment="1">
      <alignment horizontal="center" vertical="center"/>
    </xf>
    <xf numFmtId="0" fontId="21" fillId="8" borderId="5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 vertical="center"/>
    </xf>
    <xf numFmtId="0" fontId="25" fillId="18" borderId="54" xfId="0" applyFont="1" applyFill="1" applyBorder="1" applyAlignment="1">
      <alignment horizontal="center" vertical="center"/>
    </xf>
    <xf numFmtId="0" fontId="21" fillId="13" borderId="53" xfId="0" applyFont="1" applyFill="1" applyBorder="1" applyAlignment="1">
      <alignment horizontal="center" vertical="center"/>
    </xf>
    <xf numFmtId="0" fontId="18" fillId="10" borderId="55" xfId="0" applyFont="1" applyFill="1" applyBorder="1" applyAlignment="1">
      <alignment horizontal="center" vertical="center"/>
    </xf>
    <xf numFmtId="0" fontId="22" fillId="15" borderId="56" xfId="0" applyFont="1" applyFill="1" applyBorder="1" applyAlignment="1">
      <alignment horizontal="center" vertical="center"/>
    </xf>
    <xf numFmtId="0" fontId="22" fillId="15" borderId="57" xfId="0" applyFont="1" applyFill="1" applyBorder="1" applyAlignment="1">
      <alignment horizontal="center" vertical="center"/>
    </xf>
    <xf numFmtId="0" fontId="21" fillId="13" borderId="57" xfId="0" applyFont="1" applyFill="1" applyBorder="1" applyAlignment="1">
      <alignment horizontal="center" vertical="center"/>
    </xf>
    <xf numFmtId="0" fontId="21" fillId="8" borderId="57" xfId="0" applyFont="1" applyFill="1" applyBorder="1" applyAlignment="1">
      <alignment horizontal="center" vertical="center"/>
    </xf>
    <xf numFmtId="0" fontId="21" fillId="13" borderId="58" xfId="0" applyFont="1" applyFill="1" applyBorder="1" applyAlignment="1">
      <alignment horizontal="center" vertical="center"/>
    </xf>
    <xf numFmtId="0" fontId="18" fillId="10" borderId="9" xfId="0" applyFont="1" applyFill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21" fillId="8" borderId="59" xfId="0" applyFont="1" applyFill="1" applyBorder="1" applyAlignment="1">
      <alignment horizontal="center" vertical="center"/>
    </xf>
    <xf numFmtId="0" fontId="21" fillId="8" borderId="60" xfId="0" applyFont="1" applyFill="1" applyBorder="1" applyAlignment="1">
      <alignment horizontal="center" vertical="center"/>
    </xf>
    <xf numFmtId="0" fontId="21" fillId="13" borderId="60" xfId="0" applyFont="1" applyFill="1" applyBorder="1" applyAlignment="1">
      <alignment horizontal="center" vertical="center"/>
    </xf>
    <xf numFmtId="0" fontId="22" fillId="12" borderId="54" xfId="0" applyFont="1" applyFill="1" applyBorder="1" applyAlignment="1">
      <alignment horizontal="center" vertical="center"/>
    </xf>
    <xf numFmtId="0" fontId="21" fillId="13" borderId="61" xfId="0" applyFont="1" applyFill="1" applyBorder="1" applyAlignment="1">
      <alignment horizontal="center" vertical="center"/>
    </xf>
    <xf numFmtId="0" fontId="18" fillId="19" borderId="10" xfId="0" applyFont="1" applyFill="1" applyBorder="1" applyAlignment="1">
      <alignment horizontal="center" vertical="center"/>
    </xf>
    <xf numFmtId="0" fontId="18" fillId="19" borderId="11" xfId="0" applyFont="1" applyFill="1" applyBorder="1" applyAlignment="1">
      <alignment horizontal="center" vertical="center"/>
    </xf>
    <xf numFmtId="0" fontId="13" fillId="19" borderId="11" xfId="0" applyFont="1" applyFill="1" applyBorder="1" applyAlignment="1">
      <alignment horizontal="center" vertical="center"/>
    </xf>
    <xf numFmtId="0" fontId="13" fillId="19" borderId="35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1" fillId="8" borderId="62" xfId="0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horizontal="center" vertical="center"/>
    </xf>
    <xf numFmtId="0" fontId="16" fillId="13" borderId="63" xfId="0" applyFont="1" applyFill="1" applyBorder="1" applyAlignment="1">
      <alignment horizontal="center" vertical="center"/>
    </xf>
    <xf numFmtId="0" fontId="21" fillId="13" borderId="63" xfId="0" applyFont="1" applyFill="1" applyBorder="1" applyAlignment="1">
      <alignment horizontal="center" vertical="center"/>
    </xf>
    <xf numFmtId="0" fontId="21" fillId="13" borderId="64" xfId="0" applyFont="1" applyFill="1" applyBorder="1" applyAlignment="1">
      <alignment horizontal="center" vertical="center"/>
    </xf>
    <xf numFmtId="0" fontId="18" fillId="19" borderId="9" xfId="0" applyFont="1" applyFill="1" applyBorder="1" applyAlignment="1">
      <alignment horizontal="center" vertical="center"/>
    </xf>
    <xf numFmtId="0" fontId="18" fillId="19" borderId="0" xfId="0" applyFont="1" applyFill="1" applyAlignment="1">
      <alignment horizontal="center" vertical="center"/>
    </xf>
    <xf numFmtId="0" fontId="13" fillId="19" borderId="0" xfId="0" applyFont="1" applyFill="1" applyAlignment="1">
      <alignment horizontal="center" vertical="center"/>
    </xf>
    <xf numFmtId="0" fontId="13" fillId="19" borderId="65" xfId="0" applyFont="1" applyFill="1" applyBorder="1" applyAlignment="1">
      <alignment horizontal="center" vertical="center"/>
    </xf>
    <xf numFmtId="0" fontId="22" fillId="15" borderId="47" xfId="0" applyFont="1" applyFill="1" applyBorder="1" applyAlignment="1">
      <alignment horizontal="center" vertical="center"/>
    </xf>
    <xf numFmtId="0" fontId="22" fillId="15" borderId="18" xfId="0" applyFont="1" applyFill="1" applyBorder="1" applyAlignment="1">
      <alignment horizontal="center" vertical="center"/>
    </xf>
    <xf numFmtId="0" fontId="21" fillId="13" borderId="66" xfId="0" applyFont="1" applyFill="1" applyBorder="1" applyAlignment="1">
      <alignment horizontal="center" vertical="center"/>
    </xf>
    <xf numFmtId="0" fontId="18" fillId="19" borderId="65" xfId="0" applyFont="1" applyFill="1" applyBorder="1" applyAlignment="1">
      <alignment horizontal="center" vertical="center"/>
    </xf>
    <xf numFmtId="0" fontId="21" fillId="20" borderId="50" xfId="0" applyFont="1" applyFill="1" applyBorder="1" applyAlignment="1">
      <alignment horizontal="center" vertical="center"/>
    </xf>
    <xf numFmtId="0" fontId="18" fillId="19" borderId="13" xfId="0" applyFont="1" applyFill="1" applyBorder="1" applyAlignment="1">
      <alignment horizontal="center" vertical="center"/>
    </xf>
    <xf numFmtId="0" fontId="18" fillId="19" borderId="67" xfId="0" applyFont="1" applyFill="1" applyBorder="1" applyAlignment="1">
      <alignment horizontal="center" vertical="center"/>
    </xf>
    <xf numFmtId="0" fontId="18" fillId="19" borderId="68" xfId="0" applyFont="1" applyFill="1" applyBorder="1" applyAlignment="1">
      <alignment horizontal="center" vertical="center"/>
    </xf>
    <xf numFmtId="0" fontId="21" fillId="16" borderId="52" xfId="0" applyFont="1" applyFill="1" applyBorder="1" applyAlignment="1">
      <alignment horizontal="center" vertical="center"/>
    </xf>
    <xf numFmtId="0" fontId="21" fillId="10" borderId="53" xfId="0" applyFont="1" applyFill="1" applyBorder="1" applyAlignment="1">
      <alignment horizontal="center" vertical="center"/>
    </xf>
    <xf numFmtId="165" fontId="14" fillId="0" borderId="10" xfId="0" applyNumberFormat="1" applyFont="1" applyBorder="1" applyAlignment="1">
      <alignment horizontal="center" vertical="center"/>
    </xf>
    <xf numFmtId="0" fontId="26" fillId="8" borderId="62" xfId="0" applyFont="1" applyFill="1" applyBorder="1" applyAlignment="1">
      <alignment horizontal="center" vertical="center"/>
    </xf>
    <xf numFmtId="0" fontId="26" fillId="8" borderId="63" xfId="0" applyFont="1" applyFill="1" applyBorder="1" applyAlignment="1">
      <alignment horizontal="center" vertical="center"/>
    </xf>
    <xf numFmtId="0" fontId="27" fillId="8" borderId="63" xfId="0" applyFont="1" applyFill="1" applyBorder="1" applyAlignment="1">
      <alignment horizontal="center" vertical="center"/>
    </xf>
    <xf numFmtId="0" fontId="16" fillId="8" borderId="33" xfId="0" applyFont="1" applyFill="1" applyBorder="1" applyAlignment="1">
      <alignment horizontal="center" vertical="center"/>
    </xf>
    <xf numFmtId="0" fontId="16" fillId="13" borderId="33" xfId="0" applyFont="1" applyFill="1" applyBorder="1" applyAlignment="1">
      <alignment horizontal="center" vertical="center"/>
    </xf>
    <xf numFmtId="0" fontId="16" fillId="13" borderId="41" xfId="0" applyFont="1" applyFill="1" applyBorder="1" applyAlignment="1">
      <alignment horizontal="center" vertical="center"/>
    </xf>
    <xf numFmtId="0" fontId="21" fillId="8" borderId="69" xfId="0" applyFont="1" applyFill="1" applyBorder="1" applyAlignment="1">
      <alignment horizontal="center" vertical="center"/>
    </xf>
    <xf numFmtId="0" fontId="21" fillId="8" borderId="70" xfId="0" applyFont="1" applyFill="1" applyBorder="1" applyAlignment="1">
      <alignment horizontal="center" vertical="center"/>
    </xf>
    <xf numFmtId="0" fontId="21" fillId="13" borderId="70" xfId="0" applyFont="1" applyFill="1" applyBorder="1" applyAlignment="1">
      <alignment horizontal="center" vertical="center"/>
    </xf>
    <xf numFmtId="0" fontId="21" fillId="13" borderId="71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28" fillId="8" borderId="0" xfId="0" applyFont="1" applyFill="1" applyAlignment="1">
      <alignment horizontal="center" vertical="center"/>
    </xf>
    <xf numFmtId="0" fontId="29" fillId="22" borderId="0" xfId="0" applyFont="1" applyFill="1" applyAlignment="1">
      <alignment horizontal="center" vertical="center"/>
    </xf>
    <xf numFmtId="0" fontId="28" fillId="22" borderId="0" xfId="0" applyFont="1" applyFill="1" applyAlignment="1">
      <alignment horizontal="center" vertical="center"/>
    </xf>
    <xf numFmtId="0" fontId="28" fillId="22" borderId="65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22" borderId="0" xfId="0" applyFont="1" applyFill="1" applyAlignment="1">
      <alignment horizontal="center" vertical="center"/>
    </xf>
    <xf numFmtId="0" fontId="30" fillId="22" borderId="0" xfId="0" applyFont="1" applyFill="1" applyAlignment="1">
      <alignment horizontal="center" vertical="center"/>
    </xf>
    <xf numFmtId="0" fontId="30" fillId="22" borderId="65" xfId="0" applyFont="1" applyFill="1" applyBorder="1" applyAlignment="1">
      <alignment horizontal="center" vertical="center"/>
    </xf>
    <xf numFmtId="0" fontId="22" fillId="10" borderId="47" xfId="0" applyFont="1" applyFill="1" applyBorder="1" applyAlignment="1">
      <alignment horizontal="center" vertical="center"/>
    </xf>
    <xf numFmtId="0" fontId="22" fillId="12" borderId="47" xfId="0" applyFont="1" applyFill="1" applyBorder="1" applyAlignment="1">
      <alignment horizontal="center" vertical="center"/>
    </xf>
    <xf numFmtId="0" fontId="22" fillId="14" borderId="47" xfId="0" applyFont="1" applyFill="1" applyBorder="1" applyAlignment="1">
      <alignment horizontal="center" vertical="center"/>
    </xf>
    <xf numFmtId="0" fontId="10" fillId="16" borderId="47" xfId="0" applyFont="1" applyFill="1" applyBorder="1" applyAlignment="1">
      <alignment horizontal="center" vertical="center"/>
    </xf>
    <xf numFmtId="2" fontId="32" fillId="10" borderId="18" xfId="0" applyNumberFormat="1" applyFont="1" applyFill="1" applyBorder="1" applyAlignment="1">
      <alignment horizontal="center" vertical="center"/>
    </xf>
    <xf numFmtId="0" fontId="15" fillId="22" borderId="0" xfId="0" applyFont="1" applyFill="1" applyAlignment="1">
      <alignment horizontal="center" vertical="center"/>
    </xf>
    <xf numFmtId="0" fontId="32" fillId="22" borderId="0" xfId="0" applyFont="1" applyFill="1" applyAlignment="1">
      <alignment horizontal="center" vertical="center"/>
    </xf>
    <xf numFmtId="0" fontId="32" fillId="22" borderId="6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65" xfId="0" applyFont="1" applyBorder="1" applyAlignment="1">
      <alignment horizontal="center" vertical="center"/>
    </xf>
    <xf numFmtId="0" fontId="32" fillId="10" borderId="18" xfId="0" applyFont="1" applyFill="1" applyBorder="1" applyAlignment="1">
      <alignment horizontal="center" vertical="center"/>
    </xf>
    <xf numFmtId="0" fontId="15" fillId="0" borderId="67" xfId="0" applyFont="1" applyBorder="1" applyAlignment="1">
      <alignment horizontal="center" vertical="center"/>
    </xf>
    <xf numFmtId="0" fontId="32" fillId="10" borderId="67" xfId="0" applyFont="1" applyFill="1" applyBorder="1" applyAlignment="1">
      <alignment horizontal="center" vertical="center"/>
    </xf>
    <xf numFmtId="0" fontId="32" fillId="10" borderId="68" xfId="0" applyFont="1" applyFill="1" applyBorder="1" applyAlignment="1">
      <alignment horizontal="center" vertical="center"/>
    </xf>
    <xf numFmtId="0" fontId="16" fillId="11" borderId="35" xfId="0" applyFont="1" applyFill="1" applyBorder="1" applyAlignment="1">
      <alignment horizontal="center" vertical="center"/>
    </xf>
    <xf numFmtId="0" fontId="16" fillId="8" borderId="74" xfId="0" applyFont="1" applyFill="1" applyBorder="1" applyAlignment="1">
      <alignment horizontal="center" vertical="center" wrapText="1"/>
    </xf>
    <xf numFmtId="0" fontId="16" fillId="8" borderId="45" xfId="0" applyFont="1" applyFill="1" applyBorder="1" applyAlignment="1">
      <alignment horizontal="center" vertical="center" wrapText="1"/>
    </xf>
    <xf numFmtId="0" fontId="16" fillId="13" borderId="45" xfId="0" applyFont="1" applyFill="1" applyBorder="1" applyAlignment="1">
      <alignment horizontal="center" vertical="center" wrapText="1"/>
    </xf>
    <xf numFmtId="0" fontId="16" fillId="13" borderId="75" xfId="0" applyFont="1" applyFill="1" applyBorder="1" applyAlignment="1">
      <alignment horizontal="center" vertical="center" wrapText="1"/>
    </xf>
    <xf numFmtId="0" fontId="21" fillId="8" borderId="24" xfId="0" applyFont="1" applyFill="1" applyBorder="1" applyAlignment="1">
      <alignment horizontal="center" vertical="center"/>
    </xf>
    <xf numFmtId="0" fontId="21" fillId="8" borderId="25" xfId="0" applyFont="1" applyFill="1" applyBorder="1" applyAlignment="1">
      <alignment horizontal="center" vertical="center"/>
    </xf>
    <xf numFmtId="0" fontId="21" fillId="13" borderId="25" xfId="0" applyFont="1" applyFill="1" applyBorder="1" applyAlignment="1">
      <alignment horizontal="center" vertical="center"/>
    </xf>
    <xf numFmtId="0" fontId="21" fillId="13" borderId="26" xfId="0" applyFont="1" applyFill="1" applyBorder="1" applyAlignment="1">
      <alignment horizontal="center" vertical="center"/>
    </xf>
    <xf numFmtId="0" fontId="18" fillId="9" borderId="28" xfId="0" applyFont="1" applyFill="1" applyBorder="1" applyAlignment="1">
      <alignment horizontal="left" vertical="center"/>
    </xf>
    <xf numFmtId="0" fontId="19" fillId="8" borderId="3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center" vertical="center"/>
    </xf>
    <xf numFmtId="0" fontId="21" fillId="8" borderId="77" xfId="0" applyFont="1" applyFill="1" applyBorder="1" applyAlignment="1">
      <alignment horizontal="center" vertical="center"/>
    </xf>
    <xf numFmtId="0" fontId="16" fillId="0" borderId="77" xfId="0" applyFont="1" applyBorder="1" applyAlignment="1">
      <alignment horizontal="center" vertical="center"/>
    </xf>
    <xf numFmtId="0" fontId="21" fillId="13" borderId="77" xfId="0" applyFont="1" applyFill="1" applyBorder="1" applyAlignment="1">
      <alignment horizontal="center" vertical="center"/>
    </xf>
    <xf numFmtId="0" fontId="21" fillId="10" borderId="77" xfId="0" applyFont="1" applyFill="1" applyBorder="1" applyAlignment="1">
      <alignment horizontal="center" vertical="center"/>
    </xf>
    <xf numFmtId="0" fontId="21" fillId="13" borderId="78" xfId="0" applyFont="1" applyFill="1" applyBorder="1" applyAlignment="1">
      <alignment horizontal="center" vertical="center"/>
    </xf>
    <xf numFmtId="0" fontId="18" fillId="9" borderId="27" xfId="0" applyFont="1" applyFill="1" applyBorder="1" applyAlignment="1">
      <alignment horizontal="left" vertical="center"/>
    </xf>
    <xf numFmtId="0" fontId="18" fillId="10" borderId="38" xfId="0" applyFont="1" applyFill="1" applyBorder="1" applyAlignment="1">
      <alignment horizontal="left" vertical="center"/>
    </xf>
    <xf numFmtId="0" fontId="18" fillId="10" borderId="39" xfId="0" applyFont="1" applyFill="1" applyBorder="1" applyAlignment="1">
      <alignment horizontal="left" vertical="center"/>
    </xf>
    <xf numFmtId="0" fontId="21" fillId="9" borderId="33" xfId="0" applyFont="1" applyFill="1" applyBorder="1" applyAlignment="1">
      <alignment horizontal="center" vertical="center"/>
    </xf>
    <xf numFmtId="0" fontId="21" fillId="14" borderId="0" xfId="0" applyFont="1" applyFill="1" applyAlignment="1">
      <alignment horizontal="center" vertical="center"/>
    </xf>
    <xf numFmtId="0" fontId="21" fillId="13" borderId="79" xfId="0" applyFont="1" applyFill="1" applyBorder="1" applyAlignment="1">
      <alignment horizontal="center" vertical="center"/>
    </xf>
    <xf numFmtId="0" fontId="18" fillId="10" borderId="42" xfId="0" applyFont="1" applyFill="1" applyBorder="1" applyAlignment="1">
      <alignment horizontal="left" vertical="center"/>
    </xf>
    <xf numFmtId="0" fontId="18" fillId="10" borderId="43" xfId="0" applyFont="1" applyFill="1" applyBorder="1" applyAlignment="1">
      <alignment horizontal="left" vertical="center"/>
    </xf>
    <xf numFmtId="0" fontId="18" fillId="10" borderId="45" xfId="0" applyFont="1" applyFill="1" applyBorder="1" applyAlignment="1">
      <alignment horizontal="left" vertical="center"/>
    </xf>
    <xf numFmtId="0" fontId="18" fillId="10" borderId="46" xfId="0" applyFont="1" applyFill="1" applyBorder="1" applyAlignment="1">
      <alignment horizontal="left" vertical="center"/>
    </xf>
    <xf numFmtId="0" fontId="21" fillId="9" borderId="40" xfId="0" applyFont="1" applyFill="1" applyBorder="1" applyAlignment="1">
      <alignment horizontal="center" vertical="center"/>
    </xf>
    <xf numFmtId="0" fontId="18" fillId="10" borderId="48" xfId="0" applyFont="1" applyFill="1" applyBorder="1" applyAlignment="1">
      <alignment horizontal="left" vertical="center"/>
    </xf>
    <xf numFmtId="0" fontId="18" fillId="10" borderId="49" xfId="0" applyFont="1" applyFill="1" applyBorder="1" applyAlignment="1">
      <alignment horizontal="left" vertical="center"/>
    </xf>
    <xf numFmtId="0" fontId="14" fillId="0" borderId="13" xfId="0" applyFont="1" applyBorder="1" applyAlignment="1">
      <alignment horizontal="center" vertical="center"/>
    </xf>
    <xf numFmtId="0" fontId="21" fillId="8" borderId="10" xfId="0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" vertical="center"/>
    </xf>
    <xf numFmtId="0" fontId="21" fillId="13" borderId="80" xfId="0" applyFont="1" applyFill="1" applyBorder="1" applyAlignment="1">
      <alignment horizontal="center" vertical="center"/>
    </xf>
    <xf numFmtId="0" fontId="21" fillId="13" borderId="81" xfId="0" applyFont="1" applyFill="1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21" fillId="8" borderId="9" xfId="0" applyFont="1" applyFill="1" applyBorder="1" applyAlignment="1">
      <alignment horizontal="center" vertical="center"/>
    </xf>
    <xf numFmtId="0" fontId="21" fillId="8" borderId="0" xfId="0" applyFont="1" applyFill="1" applyAlignment="1">
      <alignment horizontal="center" vertical="center"/>
    </xf>
    <xf numFmtId="0" fontId="21" fillId="20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1" fillId="8" borderId="82" xfId="0" applyFont="1" applyFill="1" applyBorder="1" applyAlignment="1">
      <alignment horizontal="center" vertical="center"/>
    </xf>
    <xf numFmtId="0" fontId="21" fillId="8" borderId="83" xfId="0" applyFont="1" applyFill="1" applyBorder="1" applyAlignment="1">
      <alignment horizontal="center" vertical="center"/>
    </xf>
    <xf numFmtId="0" fontId="27" fillId="8" borderId="33" xfId="0" applyFont="1" applyFill="1" applyBorder="1" applyAlignment="1">
      <alignment horizontal="center" vertical="center"/>
    </xf>
    <xf numFmtId="0" fontId="12" fillId="13" borderId="50" xfId="0" applyFont="1" applyFill="1" applyBorder="1" applyAlignment="1">
      <alignment horizontal="center" vertical="center"/>
    </xf>
    <xf numFmtId="0" fontId="34" fillId="8" borderId="33" xfId="0" applyFont="1" applyFill="1" applyBorder="1" applyAlignment="1">
      <alignment horizontal="center" vertical="center"/>
    </xf>
    <xf numFmtId="0" fontId="35" fillId="8" borderId="33" xfId="0" applyFont="1" applyFill="1" applyBorder="1" applyAlignment="1">
      <alignment horizontal="center" vertical="center"/>
    </xf>
    <xf numFmtId="0" fontId="21" fillId="8" borderId="84" xfId="0" applyFont="1" applyFill="1" applyBorder="1" applyAlignment="1">
      <alignment horizontal="center" vertical="center"/>
    </xf>
    <xf numFmtId="0" fontId="9" fillId="22" borderId="9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21" fillId="8" borderId="85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 wrapText="1"/>
    </xf>
    <xf numFmtId="0" fontId="19" fillId="8" borderId="10" xfId="0" applyFont="1" applyFill="1" applyBorder="1" applyAlignment="1">
      <alignment horizontal="center" vertical="center"/>
    </xf>
    <xf numFmtId="0" fontId="21" fillId="8" borderId="86" xfId="0" applyFont="1" applyFill="1" applyBorder="1" applyAlignment="1">
      <alignment horizontal="center" vertical="center"/>
    </xf>
    <xf numFmtId="0" fontId="21" fillId="8" borderId="87" xfId="0" applyFont="1" applyFill="1" applyBorder="1" applyAlignment="1">
      <alignment horizontal="center" vertical="center"/>
    </xf>
    <xf numFmtId="0" fontId="21" fillId="10" borderId="87" xfId="0" applyFont="1" applyFill="1" applyBorder="1" applyAlignment="1">
      <alignment horizontal="center" vertical="center"/>
    </xf>
    <xf numFmtId="0" fontId="21" fillId="13" borderId="87" xfId="0" applyFont="1" applyFill="1" applyBorder="1" applyAlignment="1">
      <alignment horizontal="center" vertical="center"/>
    </xf>
    <xf numFmtId="0" fontId="21" fillId="10" borderId="87" xfId="0" applyFont="1" applyFill="1" applyBorder="1" applyAlignment="1">
      <alignment horizontal="center" vertical="center" wrapText="1"/>
    </xf>
    <xf numFmtId="0" fontId="21" fillId="13" borderId="88" xfId="0" applyFont="1" applyFill="1" applyBorder="1" applyAlignment="1">
      <alignment horizontal="center" vertical="center"/>
    </xf>
    <xf numFmtId="0" fontId="19" fillId="8" borderId="89" xfId="0" applyFont="1" applyFill="1" applyBorder="1" applyAlignment="1">
      <alignment horizontal="center" vertical="center"/>
    </xf>
    <xf numFmtId="0" fontId="21" fillId="8" borderId="90" xfId="0" applyFont="1" applyFill="1" applyBorder="1" applyAlignment="1">
      <alignment horizontal="center" vertical="center"/>
    </xf>
    <xf numFmtId="0" fontId="21" fillId="8" borderId="91" xfId="0" applyFont="1" applyFill="1" applyBorder="1" applyAlignment="1">
      <alignment horizontal="center" vertical="center"/>
    </xf>
    <xf numFmtId="0" fontId="21" fillId="13" borderId="91" xfId="0" applyFont="1" applyFill="1" applyBorder="1" applyAlignment="1">
      <alignment horizontal="center" vertical="center"/>
    </xf>
    <xf numFmtId="0" fontId="21" fillId="10" borderId="91" xfId="0" applyFont="1" applyFill="1" applyBorder="1" applyAlignment="1">
      <alignment horizontal="center" vertical="center"/>
    </xf>
    <xf numFmtId="0" fontId="21" fillId="12" borderId="91" xfId="0" applyFont="1" applyFill="1" applyBorder="1" applyAlignment="1">
      <alignment horizontal="center" vertical="center"/>
    </xf>
    <xf numFmtId="0" fontId="21" fillId="13" borderId="92" xfId="0" applyFont="1" applyFill="1" applyBorder="1" applyAlignment="1">
      <alignment horizontal="center" vertical="center"/>
    </xf>
    <xf numFmtId="0" fontId="14" fillId="0" borderId="93" xfId="0" applyFont="1" applyBorder="1" applyAlignment="1">
      <alignment horizontal="center" vertical="center"/>
    </xf>
    <xf numFmtId="0" fontId="21" fillId="9" borderId="56" xfId="0" applyFont="1" applyFill="1" applyBorder="1" applyAlignment="1">
      <alignment horizontal="center" vertical="center"/>
    </xf>
    <xf numFmtId="0" fontId="21" fillId="9" borderId="57" xfId="0" applyFont="1" applyFill="1" applyBorder="1" applyAlignment="1">
      <alignment horizontal="center" vertical="center"/>
    </xf>
    <xf numFmtId="0" fontId="16" fillId="8" borderId="56" xfId="0" applyFont="1" applyFill="1" applyBorder="1" applyAlignment="1">
      <alignment horizontal="center" vertical="center"/>
    </xf>
    <xf numFmtId="0" fontId="21" fillId="12" borderId="57" xfId="0" applyFont="1" applyFill="1" applyBorder="1" applyAlignment="1">
      <alignment horizontal="center" vertical="center"/>
    </xf>
    <xf numFmtId="0" fontId="37" fillId="10" borderId="45" xfId="0" applyFont="1" applyFill="1" applyBorder="1" applyAlignment="1">
      <alignment horizontal="left" vertical="center"/>
    </xf>
    <xf numFmtId="0" fontId="37" fillId="10" borderId="46" xfId="0" applyFont="1" applyFill="1" applyBorder="1" applyAlignment="1">
      <alignment horizontal="left" vertical="center"/>
    </xf>
    <xf numFmtId="0" fontId="21" fillId="8" borderId="56" xfId="0" applyFont="1" applyFill="1" applyBorder="1" applyAlignment="1">
      <alignment horizontal="center" vertical="center"/>
    </xf>
    <xf numFmtId="0" fontId="21" fillId="12" borderId="56" xfId="0" applyFont="1" applyFill="1" applyBorder="1" applyAlignment="1">
      <alignment horizontal="center" vertical="center"/>
    </xf>
    <xf numFmtId="0" fontId="21" fillId="17" borderId="57" xfId="0" applyFont="1" applyFill="1" applyBorder="1" applyAlignment="1">
      <alignment horizontal="center" vertical="center"/>
    </xf>
    <xf numFmtId="0" fontId="38" fillId="12" borderId="57" xfId="0" applyFont="1" applyFill="1" applyBorder="1" applyAlignment="1">
      <alignment horizontal="center" vertical="center"/>
    </xf>
    <xf numFmtId="0" fontId="18" fillId="10" borderId="55" xfId="0" applyFont="1" applyFill="1" applyBorder="1" applyAlignment="1">
      <alignment horizontal="left" vertical="center"/>
    </xf>
    <xf numFmtId="0" fontId="14" fillId="0" borderId="94" xfId="0" applyFont="1" applyBorder="1" applyAlignment="1">
      <alignment horizontal="center" vertical="center"/>
    </xf>
    <xf numFmtId="0" fontId="21" fillId="8" borderId="95" xfId="0" applyFont="1" applyFill="1" applyBorder="1" applyAlignment="1">
      <alignment horizontal="center" vertical="center"/>
    </xf>
    <xf numFmtId="0" fontId="21" fillId="8" borderId="96" xfId="0" applyFont="1" applyFill="1" applyBorder="1" applyAlignment="1">
      <alignment horizontal="center" vertical="center"/>
    </xf>
    <xf numFmtId="0" fontId="21" fillId="13" borderId="96" xfId="0" applyFont="1" applyFill="1" applyBorder="1" applyAlignment="1">
      <alignment horizontal="center" vertical="center"/>
    </xf>
    <xf numFmtId="0" fontId="21" fillId="10" borderId="96" xfId="0" applyFont="1" applyFill="1" applyBorder="1" applyAlignment="1">
      <alignment horizontal="center" vertical="center"/>
    </xf>
    <xf numFmtId="0" fontId="21" fillId="13" borderId="97" xfId="0" applyFont="1" applyFill="1" applyBorder="1" applyAlignment="1">
      <alignment horizontal="center" vertical="center"/>
    </xf>
    <xf numFmtId="0" fontId="13" fillId="19" borderId="11" xfId="0" applyFont="1" applyFill="1" applyBorder="1" applyAlignment="1">
      <alignment horizontal="left" vertical="center"/>
    </xf>
    <xf numFmtId="0" fontId="13" fillId="19" borderId="35" xfId="0" applyFont="1" applyFill="1" applyBorder="1" applyAlignment="1">
      <alignment horizontal="left" vertical="center"/>
    </xf>
    <xf numFmtId="0" fontId="14" fillId="0" borderId="98" xfId="0" applyFont="1" applyBorder="1" applyAlignment="1">
      <alignment horizontal="center" vertical="center"/>
    </xf>
    <xf numFmtId="0" fontId="21" fillId="8" borderId="99" xfId="0" applyFont="1" applyFill="1" applyBorder="1" applyAlignment="1">
      <alignment horizontal="center" vertical="center"/>
    </xf>
    <xf numFmtId="0" fontId="13" fillId="19" borderId="0" xfId="0" applyFont="1" applyFill="1" applyAlignment="1">
      <alignment horizontal="left" vertical="center"/>
    </xf>
    <xf numFmtId="0" fontId="13" fillId="19" borderId="65" xfId="0" applyFont="1" applyFill="1" applyBorder="1" applyAlignment="1">
      <alignment horizontal="left" vertical="center"/>
    </xf>
    <xf numFmtId="0" fontId="14" fillId="0" borderId="100" xfId="0" applyFont="1" applyBorder="1" applyAlignment="1">
      <alignment horizontal="center" vertical="center"/>
    </xf>
    <xf numFmtId="0" fontId="21" fillId="8" borderId="101" xfId="0" applyFont="1" applyFill="1" applyBorder="1" applyAlignment="1">
      <alignment horizontal="center" vertical="center"/>
    </xf>
    <xf numFmtId="0" fontId="18" fillId="19" borderId="0" xfId="0" applyFont="1" applyFill="1" applyAlignment="1">
      <alignment horizontal="left" vertical="center"/>
    </xf>
    <xf numFmtId="0" fontId="18" fillId="19" borderId="65" xfId="0" applyFont="1" applyFill="1" applyBorder="1" applyAlignment="1">
      <alignment horizontal="left" vertical="center"/>
    </xf>
    <xf numFmtId="0" fontId="18" fillId="19" borderId="67" xfId="0" applyFont="1" applyFill="1" applyBorder="1" applyAlignment="1">
      <alignment horizontal="left" vertical="center"/>
    </xf>
    <xf numFmtId="0" fontId="18" fillId="19" borderId="68" xfId="0" applyFont="1" applyFill="1" applyBorder="1" applyAlignment="1">
      <alignment horizontal="left" vertical="center"/>
    </xf>
    <xf numFmtId="0" fontId="14" fillId="8" borderId="102" xfId="0" applyFont="1" applyFill="1" applyBorder="1" applyAlignment="1">
      <alignment horizontal="center" vertical="center"/>
    </xf>
    <xf numFmtId="0" fontId="21" fillId="8" borderId="103" xfId="0" applyFont="1" applyFill="1" applyBorder="1" applyAlignment="1">
      <alignment horizontal="center" vertical="center"/>
    </xf>
    <xf numFmtId="0" fontId="21" fillId="24" borderId="50" xfId="0" applyFont="1" applyFill="1" applyBorder="1" applyAlignment="1">
      <alignment horizontal="center" vertical="center"/>
    </xf>
    <xf numFmtId="0" fontId="26" fillId="8" borderId="104" xfId="0" applyFont="1" applyFill="1" applyBorder="1" applyAlignment="1">
      <alignment horizontal="center" vertical="center"/>
    </xf>
    <xf numFmtId="0" fontId="14" fillId="0" borderId="105" xfId="0" applyFont="1" applyBorder="1" applyAlignment="1">
      <alignment horizontal="center" vertical="center"/>
    </xf>
    <xf numFmtId="0" fontId="21" fillId="8" borderId="106" xfId="0" applyFont="1" applyFill="1" applyBorder="1" applyAlignment="1">
      <alignment horizontal="center" vertical="center"/>
    </xf>
    <xf numFmtId="0" fontId="16" fillId="11" borderId="110" xfId="0" applyFont="1" applyFill="1" applyBorder="1" applyAlignment="1">
      <alignment horizontal="center" vertical="center"/>
    </xf>
    <xf numFmtId="0" fontId="16" fillId="11" borderId="111" xfId="0" applyFont="1" applyFill="1" applyBorder="1" applyAlignment="1">
      <alignment horizontal="center" vertical="center"/>
    </xf>
    <xf numFmtId="0" fontId="16" fillId="11" borderId="5" xfId="0" applyFont="1" applyFill="1" applyBorder="1" applyAlignment="1">
      <alignment horizontal="center" vertical="center"/>
    </xf>
    <xf numFmtId="0" fontId="15" fillId="14" borderId="54" xfId="0" applyFont="1" applyFill="1" applyBorder="1" applyAlignment="1">
      <alignment horizontal="center" vertical="center"/>
    </xf>
    <xf numFmtId="0" fontId="18" fillId="8" borderId="112" xfId="0" applyFont="1" applyFill="1" applyBorder="1" applyAlignment="1">
      <alignment horizontal="center" vertical="center" wrapText="1"/>
    </xf>
    <xf numFmtId="0" fontId="18" fillId="8" borderId="113" xfId="0" applyFont="1" applyFill="1" applyBorder="1" applyAlignment="1">
      <alignment horizontal="center" vertical="center"/>
    </xf>
    <xf numFmtId="0" fontId="18" fillId="8" borderId="114" xfId="0" applyFont="1" applyFill="1" applyBorder="1" applyAlignment="1">
      <alignment horizontal="center" vertical="center"/>
    </xf>
    <xf numFmtId="0" fontId="21" fillId="8" borderId="115" xfId="0" applyFont="1" applyFill="1" applyBorder="1" applyAlignment="1">
      <alignment horizontal="center" vertical="center"/>
    </xf>
    <xf numFmtId="0" fontId="21" fillId="8" borderId="116" xfId="0" applyFont="1" applyFill="1" applyBorder="1" applyAlignment="1">
      <alignment horizontal="center" vertical="center"/>
    </xf>
    <xf numFmtId="0" fontId="21" fillId="13" borderId="117" xfId="0" applyFont="1" applyFill="1" applyBorder="1" applyAlignment="1">
      <alignment horizontal="center" vertical="center"/>
    </xf>
    <xf numFmtId="0" fontId="21" fillId="13" borderId="116" xfId="0" applyFont="1" applyFill="1" applyBorder="1" applyAlignment="1">
      <alignment horizontal="center" vertical="center"/>
    </xf>
    <xf numFmtId="0" fontId="21" fillId="13" borderId="118" xfId="0" applyFont="1" applyFill="1" applyBorder="1" applyAlignment="1">
      <alignment horizontal="center" vertical="center"/>
    </xf>
    <xf numFmtId="0" fontId="15" fillId="15" borderId="119" xfId="0" applyFont="1" applyFill="1" applyBorder="1" applyAlignment="1">
      <alignment horizontal="center" vertical="center"/>
    </xf>
    <xf numFmtId="0" fontId="19" fillId="8" borderId="4" xfId="0" applyFont="1" applyFill="1" applyBorder="1" applyAlignment="1">
      <alignment horizontal="center" vertical="center"/>
    </xf>
    <xf numFmtId="0" fontId="21" fillId="8" borderId="67" xfId="0" applyFont="1" applyFill="1" applyBorder="1" applyAlignment="1">
      <alignment horizontal="center" vertical="center"/>
    </xf>
    <xf numFmtId="0" fontId="21" fillId="13" borderId="67" xfId="0" applyFont="1" applyFill="1" applyBorder="1" applyAlignment="1">
      <alignment horizontal="center" vertical="center"/>
    </xf>
    <xf numFmtId="0" fontId="21" fillId="12" borderId="63" xfId="0" applyFont="1" applyFill="1" applyBorder="1" applyAlignment="1">
      <alignment horizontal="center" vertical="center"/>
    </xf>
    <xf numFmtId="0" fontId="21" fillId="12" borderId="67" xfId="0" applyFont="1" applyFill="1" applyBorder="1" applyAlignment="1">
      <alignment horizontal="center" vertical="center"/>
    </xf>
    <xf numFmtId="0" fontId="27" fillId="8" borderId="67" xfId="0" applyFont="1" applyFill="1" applyBorder="1" applyAlignment="1">
      <alignment horizontal="center" vertical="center"/>
    </xf>
    <xf numFmtId="0" fontId="21" fillId="10" borderId="67" xfId="0" applyFont="1" applyFill="1" applyBorder="1" applyAlignment="1">
      <alignment horizontal="center" vertical="center"/>
    </xf>
    <xf numFmtId="0" fontId="21" fillId="13" borderId="68" xfId="0" applyFont="1" applyFill="1" applyBorder="1" applyAlignment="1">
      <alignment horizontal="center" vertical="center"/>
    </xf>
    <xf numFmtId="0" fontId="12" fillId="16" borderId="120" xfId="0" applyFont="1" applyFill="1" applyBorder="1" applyAlignment="1">
      <alignment horizontal="center" vertical="center"/>
    </xf>
    <xf numFmtId="0" fontId="18" fillId="9" borderId="13" xfId="0" applyFont="1" applyFill="1" applyBorder="1" applyAlignment="1">
      <alignment horizontal="center" vertical="center" wrapText="1"/>
    </xf>
    <xf numFmtId="0" fontId="18" fillId="17" borderId="73" xfId="0" applyFont="1" applyFill="1" applyBorder="1" applyAlignment="1">
      <alignment horizontal="center" vertical="center"/>
    </xf>
    <xf numFmtId="0" fontId="18" fillId="9" borderId="121" xfId="0" applyFont="1" applyFill="1" applyBorder="1" applyAlignment="1">
      <alignment horizontal="left" vertical="center"/>
    </xf>
    <xf numFmtId="0" fontId="18" fillId="9" borderId="22" xfId="0" applyFont="1" applyFill="1" applyBorder="1" applyAlignment="1">
      <alignment horizontal="left" vertical="center"/>
    </xf>
    <xf numFmtId="0" fontId="19" fillId="8" borderId="98" xfId="0" applyFont="1" applyFill="1" applyBorder="1" applyAlignment="1">
      <alignment horizontal="center" vertical="center"/>
    </xf>
    <xf numFmtId="0" fontId="21" fillId="12" borderId="99" xfId="0" applyFont="1" applyFill="1" applyBorder="1" applyAlignment="1">
      <alignment horizontal="center" vertical="center"/>
    </xf>
    <xf numFmtId="0" fontId="21" fillId="12" borderId="32" xfId="0" applyFont="1" applyFill="1" applyBorder="1" applyAlignment="1">
      <alignment horizontal="center" vertical="center"/>
    </xf>
    <xf numFmtId="0" fontId="21" fillId="20" borderId="32" xfId="0" applyFont="1" applyFill="1" applyBorder="1" applyAlignment="1">
      <alignment horizontal="center" vertical="center"/>
    </xf>
    <xf numFmtId="0" fontId="16" fillId="8" borderId="99" xfId="0" applyFont="1" applyFill="1" applyBorder="1" applyAlignment="1">
      <alignment horizontal="center" vertical="center"/>
    </xf>
    <xf numFmtId="0" fontId="21" fillId="12" borderId="101" xfId="0" applyFont="1" applyFill="1" applyBorder="1" applyAlignment="1">
      <alignment horizontal="center" vertical="center"/>
    </xf>
    <xf numFmtId="0" fontId="21" fillId="12" borderId="33" xfId="0" applyFont="1" applyFill="1" applyBorder="1" applyAlignment="1">
      <alignment horizontal="center" vertical="center"/>
    </xf>
    <xf numFmtId="0" fontId="21" fillId="13" borderId="122" xfId="0" applyFont="1" applyFill="1" applyBorder="1" applyAlignment="1">
      <alignment horizontal="center" vertical="center"/>
    </xf>
    <xf numFmtId="0" fontId="21" fillId="8" borderId="123" xfId="0" applyFont="1" applyFill="1" applyBorder="1" applyAlignment="1">
      <alignment horizontal="center" vertical="center"/>
    </xf>
    <xf numFmtId="0" fontId="14" fillId="10" borderId="105" xfId="0" applyFont="1" applyFill="1" applyBorder="1" applyAlignment="1">
      <alignment horizontal="center" vertical="center"/>
    </xf>
    <xf numFmtId="0" fontId="21" fillId="8" borderId="124" xfId="0" applyFont="1" applyFill="1" applyBorder="1" applyAlignment="1">
      <alignment horizontal="center" vertical="center"/>
    </xf>
    <xf numFmtId="0" fontId="14" fillId="0" borderId="125" xfId="0" applyFont="1" applyBorder="1" applyAlignment="1">
      <alignment horizontal="center" vertical="center"/>
    </xf>
    <xf numFmtId="0" fontId="21" fillId="8" borderId="104" xfId="0" applyFont="1" applyFill="1" applyBorder="1" applyAlignment="1">
      <alignment horizontal="center" vertical="center"/>
    </xf>
    <xf numFmtId="0" fontId="21" fillId="10" borderId="63" xfId="0" applyFont="1" applyFill="1" applyBorder="1" applyAlignment="1">
      <alignment horizontal="center" vertical="center"/>
    </xf>
    <xf numFmtId="0" fontId="39" fillId="8" borderId="50" xfId="0" applyFont="1" applyFill="1" applyBorder="1" applyAlignment="1">
      <alignment horizontal="center" vertical="center"/>
    </xf>
    <xf numFmtId="0" fontId="21" fillId="25" borderId="50" xfId="0" applyFont="1" applyFill="1" applyBorder="1" applyAlignment="1">
      <alignment horizontal="center" vertical="center"/>
    </xf>
    <xf numFmtId="0" fontId="21" fillId="10" borderId="50" xfId="0" applyFont="1" applyFill="1" applyBorder="1" applyAlignment="1">
      <alignment horizontal="center" vertical="center"/>
    </xf>
    <xf numFmtId="0" fontId="26" fillId="13" borderId="63" xfId="0" applyFont="1" applyFill="1" applyBorder="1" applyAlignment="1">
      <alignment horizontal="center" vertical="center"/>
    </xf>
    <xf numFmtId="0" fontId="14" fillId="0" borderId="102" xfId="0" applyFont="1" applyBorder="1" applyAlignment="1">
      <alignment horizontal="center" vertical="center"/>
    </xf>
    <xf numFmtId="0" fontId="28" fillId="8" borderId="11" xfId="0" applyFont="1" applyFill="1" applyBorder="1" applyAlignment="1">
      <alignment horizontal="center" vertical="center"/>
    </xf>
    <xf numFmtId="0" fontId="29" fillId="22" borderId="11" xfId="0" applyFont="1" applyFill="1" applyBorder="1" applyAlignment="1">
      <alignment horizontal="center" vertical="center"/>
    </xf>
    <xf numFmtId="0" fontId="28" fillId="22" borderId="11" xfId="0" applyFont="1" applyFill="1" applyBorder="1" applyAlignment="1">
      <alignment horizontal="center" vertical="center"/>
    </xf>
    <xf numFmtId="0" fontId="28" fillId="22" borderId="35" xfId="0" applyFont="1" applyFill="1" applyBorder="1" applyAlignment="1">
      <alignment horizontal="center" vertical="center"/>
    </xf>
    <xf numFmtId="0" fontId="16" fillId="23" borderId="45" xfId="0" applyFont="1" applyFill="1" applyBorder="1" applyAlignment="1">
      <alignment horizontal="center" vertical="center" wrapText="1"/>
    </xf>
    <xf numFmtId="0" fontId="19" fillId="8" borderId="8" xfId="0" applyFont="1" applyFill="1" applyBorder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0" fontId="21" fillId="13" borderId="0" xfId="0" applyFont="1" applyFill="1" applyAlignment="1">
      <alignment horizontal="center" vertical="center"/>
    </xf>
    <xf numFmtId="0" fontId="21" fillId="13" borderId="65" xfId="0" applyFont="1" applyFill="1" applyBorder="1" applyAlignment="1">
      <alignment horizontal="center" vertical="center"/>
    </xf>
    <xf numFmtId="0" fontId="19" fillId="8" borderId="125" xfId="0" applyFont="1" applyFill="1" applyBorder="1" applyAlignment="1">
      <alignment horizontal="center" vertical="center"/>
    </xf>
    <xf numFmtId="0" fontId="21" fillId="9" borderId="101" xfId="0" applyFont="1" applyFill="1" applyBorder="1" applyAlignment="1">
      <alignment horizontal="center" vertical="center"/>
    </xf>
    <xf numFmtId="0" fontId="16" fillId="12" borderId="99" xfId="0" applyFont="1" applyFill="1" applyBorder="1" applyAlignment="1">
      <alignment horizontal="center" vertical="center"/>
    </xf>
    <xf numFmtId="0" fontId="21" fillId="20" borderId="103" xfId="0" applyFont="1" applyFill="1" applyBorder="1" applyAlignment="1">
      <alignment horizontal="center" vertical="center"/>
    </xf>
    <xf numFmtId="0" fontId="21" fillId="13" borderId="103" xfId="0" applyFont="1" applyFill="1" applyBorder="1" applyAlignment="1">
      <alignment horizontal="center" vertical="center"/>
    </xf>
    <xf numFmtId="0" fontId="21" fillId="8" borderId="70" xfId="0" applyFont="1" applyFill="1" applyBorder="1" applyAlignment="1">
      <alignment horizontal="center" vertical="center" wrapText="1"/>
    </xf>
    <xf numFmtId="0" fontId="21" fillId="20" borderId="70" xfId="0" applyFont="1" applyFill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8" borderId="37" xfId="0" applyFont="1" applyFill="1" applyBorder="1" applyAlignment="1">
      <alignment horizontal="center" vertical="center"/>
    </xf>
    <xf numFmtId="0" fontId="21" fillId="12" borderId="50" xfId="0" applyFont="1" applyFill="1" applyBorder="1" applyAlignment="1">
      <alignment horizontal="center" vertical="center"/>
    </xf>
    <xf numFmtId="0" fontId="14" fillId="0" borderId="73" xfId="0" applyFont="1" applyBorder="1" applyAlignment="1">
      <alignment horizontal="center" vertical="center"/>
    </xf>
    <xf numFmtId="0" fontId="21" fillId="8" borderId="126" xfId="0" applyFont="1" applyFill="1" applyBorder="1" applyAlignment="1">
      <alignment horizontal="center" vertical="center"/>
    </xf>
    <xf numFmtId="0" fontId="21" fillId="8" borderId="127" xfId="0" applyFont="1" applyFill="1" applyBorder="1" applyAlignment="1">
      <alignment horizontal="center" vertical="center"/>
    </xf>
    <xf numFmtId="0" fontId="21" fillId="8" borderId="128" xfId="0" applyFont="1" applyFill="1" applyBorder="1" applyAlignment="1">
      <alignment horizontal="center" vertical="center"/>
    </xf>
    <xf numFmtId="0" fontId="21" fillId="25" borderId="32" xfId="0" applyFont="1" applyFill="1" applyBorder="1" applyAlignment="1">
      <alignment horizontal="center" vertical="center"/>
    </xf>
    <xf numFmtId="0" fontId="21" fillId="12" borderId="70" xfId="0" applyFont="1" applyFill="1" applyBorder="1" applyAlignment="1">
      <alignment horizontal="center" vertical="center"/>
    </xf>
    <xf numFmtId="0" fontId="21" fillId="8" borderId="129" xfId="0" applyFont="1" applyFill="1" applyBorder="1" applyAlignment="1">
      <alignment horizontal="center" vertical="center"/>
    </xf>
    <xf numFmtId="0" fontId="21" fillId="8" borderId="130" xfId="0" applyFont="1" applyFill="1" applyBorder="1" applyAlignment="1">
      <alignment horizontal="center" vertical="center"/>
    </xf>
    <xf numFmtId="0" fontId="16" fillId="11" borderId="3" xfId="0" applyFont="1" applyFill="1" applyBorder="1" applyAlignment="1">
      <alignment horizontal="center" vertical="center"/>
    </xf>
    <xf numFmtId="0" fontId="16" fillId="11" borderId="29" xfId="0" applyFont="1" applyFill="1" applyBorder="1" applyAlignment="1">
      <alignment horizontal="center" vertical="center"/>
    </xf>
    <xf numFmtId="0" fontId="16" fillId="11" borderId="30" xfId="0" applyFont="1" applyFill="1" applyBorder="1" applyAlignment="1">
      <alignment horizontal="center" vertical="center"/>
    </xf>
    <xf numFmtId="0" fontId="16" fillId="8" borderId="15" xfId="0" applyFont="1" applyFill="1" applyBorder="1" applyAlignment="1">
      <alignment horizontal="center" vertical="center" wrapText="1"/>
    </xf>
    <xf numFmtId="0" fontId="16" fillId="8" borderId="16" xfId="0" applyFont="1" applyFill="1" applyBorder="1" applyAlignment="1">
      <alignment horizontal="center" vertical="center" wrapText="1"/>
    </xf>
    <xf numFmtId="0" fontId="16" fillId="8" borderId="42" xfId="0" applyFont="1" applyFill="1" applyBorder="1" applyAlignment="1">
      <alignment horizontal="center" vertical="center" wrapText="1"/>
    </xf>
    <xf numFmtId="0" fontId="16" fillId="13" borderId="42" xfId="0" applyFont="1" applyFill="1" applyBorder="1" applyAlignment="1">
      <alignment horizontal="center" vertical="center" wrapText="1"/>
    </xf>
    <xf numFmtId="0" fontId="16" fillId="13" borderId="133" xfId="0" applyFont="1" applyFill="1" applyBorder="1" applyAlignment="1">
      <alignment horizontal="center" vertical="center" wrapText="1"/>
    </xf>
    <xf numFmtId="0" fontId="21" fillId="12" borderId="103" xfId="0" applyFont="1" applyFill="1" applyBorder="1" applyAlignment="1">
      <alignment horizontal="center" vertical="center"/>
    </xf>
    <xf numFmtId="0" fontId="14" fillId="8" borderId="9" xfId="0" applyFont="1" applyFill="1" applyBorder="1" applyAlignment="1">
      <alignment horizontal="center" vertical="center"/>
    </xf>
    <xf numFmtId="0" fontId="15" fillId="22" borderId="9" xfId="0" applyFont="1" applyFill="1" applyBorder="1" applyAlignment="1">
      <alignment horizontal="center" vertical="center"/>
    </xf>
    <xf numFmtId="0" fontId="21" fillId="8" borderId="93" xfId="0" applyFont="1" applyFill="1" applyBorder="1" applyAlignment="1">
      <alignment horizontal="center" vertical="center"/>
    </xf>
    <xf numFmtId="0" fontId="21" fillId="12" borderId="40" xfId="0" applyFont="1" applyFill="1" applyBorder="1" applyAlignment="1">
      <alignment horizontal="center" vertical="center"/>
    </xf>
    <xf numFmtId="0" fontId="21" fillId="8" borderId="94" xfId="0" applyFont="1" applyFill="1" applyBorder="1" applyAlignment="1">
      <alignment horizontal="center" vertical="center"/>
    </xf>
    <xf numFmtId="0" fontId="21" fillId="8" borderId="89" xfId="0" applyFont="1" applyFill="1" applyBorder="1" applyAlignment="1">
      <alignment horizontal="center" vertical="center"/>
    </xf>
    <xf numFmtId="0" fontId="21" fillId="12" borderId="52" xfId="0" applyFont="1" applyFill="1" applyBorder="1" applyAlignment="1">
      <alignment horizontal="center" vertical="center"/>
    </xf>
    <xf numFmtId="0" fontId="21" fillId="8" borderId="134" xfId="0" applyFont="1" applyFill="1" applyBorder="1" applyAlignment="1">
      <alignment horizontal="center" vertical="center"/>
    </xf>
    <xf numFmtId="0" fontId="21" fillId="8" borderId="125" xfId="0" applyFont="1" applyFill="1" applyBorder="1" applyAlignment="1">
      <alignment horizontal="center" vertical="center"/>
    </xf>
    <xf numFmtId="0" fontId="21" fillId="8" borderId="100" xfId="0" applyFont="1" applyFill="1" applyBorder="1" applyAlignment="1">
      <alignment horizontal="center" vertical="center"/>
    </xf>
    <xf numFmtId="0" fontId="21" fillId="8" borderId="105" xfId="0" applyFont="1" applyFill="1" applyBorder="1" applyAlignment="1">
      <alignment horizontal="center" vertical="center"/>
    </xf>
    <xf numFmtId="0" fontId="21" fillId="23" borderId="116" xfId="0" applyFont="1" applyFill="1" applyBorder="1" applyAlignment="1">
      <alignment horizontal="center" vertical="center"/>
    </xf>
    <xf numFmtId="0" fontId="19" fillId="8" borderId="135" xfId="0" applyFont="1" applyFill="1" applyBorder="1" applyAlignment="1">
      <alignment horizontal="center" vertical="center"/>
    </xf>
    <xf numFmtId="0" fontId="21" fillId="8" borderId="13" xfId="0" applyFont="1" applyFill="1" applyBorder="1" applyAlignment="1">
      <alignment horizontal="center" vertical="center"/>
    </xf>
    <xf numFmtId="0" fontId="19" fillId="8" borderId="94" xfId="0" applyFont="1" applyFill="1" applyBorder="1" applyAlignment="1">
      <alignment horizontal="center" vertical="center"/>
    </xf>
    <xf numFmtId="0" fontId="14" fillId="0" borderId="89" xfId="0" applyFont="1" applyBorder="1" applyAlignment="1">
      <alignment horizontal="center" vertical="center"/>
    </xf>
    <xf numFmtId="0" fontId="21" fillId="12" borderId="62" xfId="0" applyFont="1" applyFill="1" applyBorder="1" applyAlignment="1">
      <alignment horizontal="center" vertical="center"/>
    </xf>
    <xf numFmtId="0" fontId="14" fillId="8" borderId="94" xfId="0" applyFont="1" applyFill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21" fillId="10" borderId="29" xfId="0" applyFont="1" applyFill="1" applyBorder="1" applyAlignment="1">
      <alignment horizontal="center" vertical="center"/>
    </xf>
    <xf numFmtId="0" fontId="21" fillId="12" borderId="53" xfId="0" applyFont="1" applyFill="1" applyBorder="1" applyAlignment="1">
      <alignment horizontal="center" vertical="center"/>
    </xf>
    <xf numFmtId="0" fontId="21" fillId="8" borderId="135" xfId="0" applyFont="1" applyFill="1" applyBorder="1" applyAlignment="1">
      <alignment horizontal="center" vertical="center"/>
    </xf>
    <xf numFmtId="0" fontId="19" fillId="8" borderId="9" xfId="0" applyFont="1" applyFill="1" applyBorder="1" applyAlignment="1">
      <alignment horizontal="center" vertical="center"/>
    </xf>
    <xf numFmtId="0" fontId="27" fillId="12" borderId="32" xfId="0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16" fillId="13" borderId="32" xfId="0" applyFont="1" applyFill="1" applyBorder="1" applyAlignment="1">
      <alignment horizontal="center" vertical="center"/>
    </xf>
    <xf numFmtId="0" fontId="21" fillId="8" borderId="137" xfId="0" applyFont="1" applyFill="1" applyBorder="1" applyAlignment="1">
      <alignment horizontal="center" vertical="center"/>
    </xf>
    <xf numFmtId="0" fontId="21" fillId="8" borderId="80" xfId="0" applyFont="1" applyFill="1" applyBorder="1" applyAlignment="1">
      <alignment horizontal="center" vertical="center"/>
    </xf>
    <xf numFmtId="0" fontId="21" fillId="8" borderId="140" xfId="0" applyFont="1" applyFill="1" applyBorder="1" applyAlignment="1">
      <alignment horizontal="center" vertical="center"/>
    </xf>
    <xf numFmtId="0" fontId="21" fillId="8" borderId="141" xfId="0" applyFont="1" applyFill="1" applyBorder="1" applyAlignment="1">
      <alignment horizontal="center" vertical="center"/>
    </xf>
    <xf numFmtId="0" fontId="21" fillId="13" borderId="11" xfId="0" applyFont="1" applyFill="1" applyBorder="1" applyAlignment="1">
      <alignment horizontal="center" vertical="center"/>
    </xf>
    <xf numFmtId="0" fontId="21" fillId="12" borderId="11" xfId="0" applyFont="1" applyFill="1" applyBorder="1" applyAlignment="1">
      <alignment horizontal="center" vertical="center"/>
    </xf>
    <xf numFmtId="0" fontId="21" fillId="13" borderId="35" xfId="0" applyFont="1" applyFill="1" applyBorder="1" applyAlignment="1">
      <alignment horizontal="center" vertical="center"/>
    </xf>
    <xf numFmtId="0" fontId="21" fillId="17" borderId="33" xfId="0" applyFont="1" applyFill="1" applyBorder="1" applyAlignment="1">
      <alignment horizontal="center" vertical="center"/>
    </xf>
    <xf numFmtId="0" fontId="21" fillId="17" borderId="70" xfId="0" applyFont="1" applyFill="1" applyBorder="1" applyAlignment="1">
      <alignment horizontal="center" vertical="center"/>
    </xf>
    <xf numFmtId="0" fontId="21" fillId="17" borderId="50" xfId="0" applyFont="1" applyFill="1" applyBorder="1" applyAlignment="1">
      <alignment horizontal="center" vertical="center"/>
    </xf>
    <xf numFmtId="0" fontId="30" fillId="22" borderId="11" xfId="0" applyFont="1" applyFill="1" applyBorder="1" applyAlignment="1">
      <alignment horizontal="center" vertical="center"/>
    </xf>
    <xf numFmtId="0" fontId="0" fillId="0" borderId="144" xfId="0" applyBorder="1"/>
    <xf numFmtId="0" fontId="0" fillId="0" borderId="147" xfId="0" applyBorder="1"/>
    <xf numFmtId="0" fontId="0" fillId="0" borderId="148" xfId="0" applyBorder="1"/>
    <xf numFmtId="0" fontId="6" fillId="3" borderId="149" xfId="0" applyFont="1" applyFill="1" applyBorder="1" applyAlignment="1">
      <alignment horizontal="center" vertical="center"/>
    </xf>
    <xf numFmtId="164" fontId="7" fillId="4" borderId="149" xfId="0" applyNumberFormat="1" applyFont="1" applyFill="1" applyBorder="1" applyAlignment="1">
      <alignment horizontal="center" vertical="center"/>
    </xf>
    <xf numFmtId="0" fontId="0" fillId="0" borderId="150" xfId="0" applyBorder="1"/>
    <xf numFmtId="0" fontId="0" fillId="0" borderId="151" xfId="0" applyBorder="1"/>
    <xf numFmtId="0" fontId="0" fillId="0" borderId="152" xfId="0" applyBorder="1"/>
    <xf numFmtId="0" fontId="2" fillId="2" borderId="145" xfId="0" applyFont="1" applyFill="1" applyBorder="1" applyAlignment="1">
      <alignment horizontal="center" vertical="center"/>
    </xf>
    <xf numFmtId="0" fontId="2" fillId="2" borderId="14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48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142" xfId="0" applyFont="1" applyFill="1" applyBorder="1" applyAlignment="1">
      <alignment horizontal="center" vertical="center"/>
    </xf>
    <xf numFmtId="0" fontId="4" fillId="4" borderId="143" xfId="0" applyFont="1" applyFill="1" applyBorder="1" applyAlignment="1">
      <alignment horizontal="center" vertical="center"/>
    </xf>
    <xf numFmtId="0" fontId="40" fillId="0" borderId="0" xfId="0" applyFont="1" applyAlignment="1">
      <alignment horizontal="right" vertical="center"/>
    </xf>
    <xf numFmtId="0" fontId="40" fillId="0" borderId="148" xfId="0" applyFont="1" applyBorder="1" applyAlignment="1">
      <alignment horizontal="right" vertical="center"/>
    </xf>
    <xf numFmtId="0" fontId="5" fillId="5" borderId="148" xfId="0" applyFont="1" applyFill="1" applyBorder="1" applyAlignment="1">
      <alignment horizontal="left" vertical="center" indent="1"/>
    </xf>
    <xf numFmtId="49" fontId="13" fillId="0" borderId="3" xfId="0" applyNumberFormat="1" applyFont="1" applyBorder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/>
    </xf>
    <xf numFmtId="0" fontId="13" fillId="21" borderId="11" xfId="0" applyFont="1" applyFill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9" borderId="8" xfId="0" applyFont="1" applyFill="1" applyBorder="1" applyAlignment="1">
      <alignment horizontal="center" vertical="center" wrapText="1"/>
    </xf>
    <xf numFmtId="0" fontId="24" fillId="10" borderId="35" xfId="0" applyFont="1" applyFill="1" applyBorder="1" applyAlignment="1">
      <alignment horizontal="center" vertical="center" textRotation="90" wrapText="1"/>
    </xf>
    <xf numFmtId="0" fontId="13" fillId="19" borderId="3" xfId="0" applyFont="1" applyFill="1" applyBorder="1" applyAlignment="1">
      <alignment horizontal="center" vertical="center" wrapText="1"/>
    </xf>
    <xf numFmtId="0" fontId="13" fillId="21" borderId="13" xfId="0" applyFont="1" applyFill="1" applyBorder="1" applyAlignment="1">
      <alignment horizontal="center" vertical="center" wrapText="1"/>
    </xf>
    <xf numFmtId="0" fontId="12" fillId="8" borderId="72" xfId="0" applyFont="1" applyFill="1" applyBorder="1" applyAlignment="1">
      <alignment horizontal="center" vertical="center"/>
    </xf>
    <xf numFmtId="0" fontId="18" fillId="0" borderId="73" xfId="0" applyFont="1" applyBorder="1" applyAlignment="1">
      <alignment horizontal="center" vertical="center" wrapText="1"/>
    </xf>
    <xf numFmtId="49" fontId="13" fillId="0" borderId="8" xfId="0" applyNumberFormat="1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12" fillId="23" borderId="72" xfId="0" applyFont="1" applyFill="1" applyBorder="1" applyAlignment="1">
      <alignment horizontal="center" vertical="center"/>
    </xf>
    <xf numFmtId="0" fontId="0" fillId="0" borderId="107" xfId="0" applyBorder="1" applyAlignment="1">
      <alignment horizontal="center"/>
    </xf>
    <xf numFmtId="0" fontId="18" fillId="0" borderId="8" xfId="0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3" fillId="19" borderId="10" xfId="0" applyFont="1" applyFill="1" applyBorder="1" applyAlignment="1">
      <alignment horizontal="center" vertical="center" wrapText="1"/>
    </xf>
    <xf numFmtId="0" fontId="13" fillId="21" borderId="3" xfId="0" applyFont="1" applyFill="1" applyBorder="1" applyAlignment="1">
      <alignment horizontal="center" vertical="center" wrapText="1"/>
    </xf>
    <xf numFmtId="0" fontId="12" fillId="13" borderId="63" xfId="0" applyFont="1" applyFill="1" applyBorder="1" applyAlignment="1">
      <alignment horizontal="center" vertical="center"/>
    </xf>
    <xf numFmtId="0" fontId="12" fillId="8" borderId="109" xfId="0" applyFont="1" applyFill="1" applyBorder="1" applyAlignment="1">
      <alignment horizontal="center" vertical="center"/>
    </xf>
    <xf numFmtId="0" fontId="12" fillId="13" borderId="33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2" fillId="8" borderId="108" xfId="0" applyFont="1" applyFill="1" applyBorder="1" applyAlignment="1">
      <alignment horizontal="center" vertical="center"/>
    </xf>
    <xf numFmtId="0" fontId="12" fillId="23" borderId="109" xfId="0" applyFont="1" applyFill="1" applyBorder="1" applyAlignment="1">
      <alignment horizontal="center" vertical="center"/>
    </xf>
    <xf numFmtId="0" fontId="12" fillId="23" borderId="132" xfId="0" applyFont="1" applyFill="1" applyBorder="1" applyAlignment="1">
      <alignment horizontal="center" vertical="center"/>
    </xf>
    <xf numFmtId="0" fontId="12" fillId="8" borderId="131" xfId="0" applyFont="1" applyFill="1" applyBorder="1" applyAlignment="1">
      <alignment horizontal="center" vertical="center"/>
    </xf>
    <xf numFmtId="0" fontId="12" fillId="23" borderId="6" xfId="0" applyFont="1" applyFill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136" xfId="0" applyFont="1" applyBorder="1" applyAlignment="1">
      <alignment horizontal="center" vertical="center"/>
    </xf>
    <xf numFmtId="0" fontId="12" fillId="23" borderId="139" xfId="0" applyFont="1" applyFill="1" applyBorder="1" applyAlignment="1">
      <alignment horizontal="center" vertical="center"/>
    </xf>
    <xf numFmtId="0" fontId="12" fillId="8" borderId="138" xfId="0" applyFont="1" applyFill="1" applyBorder="1" applyAlignment="1">
      <alignment horizontal="center" vertical="center"/>
    </xf>
    <xf numFmtId="0" fontId="12" fillId="8" borderId="139" xfId="0" applyFont="1" applyFill="1" applyBorder="1" applyAlignment="1">
      <alignment horizontal="center" vertical="center"/>
    </xf>
    <xf numFmtId="0" fontId="21" fillId="26" borderId="101" xfId="0" applyFont="1" applyFill="1" applyBorder="1" applyAlignment="1">
      <alignment horizontal="center" vertical="center"/>
    </xf>
    <xf numFmtId="0" fontId="21" fillId="26" borderId="33" xfId="0" applyFont="1" applyFill="1" applyBorder="1" applyAlignment="1">
      <alignment horizontal="center" vertical="center"/>
    </xf>
    <xf numFmtId="0" fontId="21" fillId="27" borderId="103" xfId="0" applyFont="1" applyFill="1" applyBorder="1" applyAlignment="1">
      <alignment horizontal="center" vertical="center"/>
    </xf>
    <xf numFmtId="0" fontId="21" fillId="27" borderId="70" xfId="0" applyFont="1" applyFill="1" applyBorder="1" applyAlignment="1">
      <alignment horizontal="center" vertical="center"/>
    </xf>
    <xf numFmtId="0" fontId="21" fillId="28" borderId="32" xfId="0" applyFont="1" applyFill="1" applyBorder="1" applyAlignment="1">
      <alignment horizontal="center" vertical="center"/>
    </xf>
  </cellXfs>
  <cellStyles count="1">
    <cellStyle name="Normal" xfId="0" builtinId="0"/>
  </cellStyles>
  <dxfs count="2849"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C55A11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C55A11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C55A11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9C0006"/>
      </font>
      <fill>
        <patternFill>
          <bgColor rgb="FFFFC000"/>
        </patternFill>
      </fill>
    </dxf>
    <dxf>
      <font>
        <b/>
        <color rgb="FF000000"/>
      </font>
      <fill>
        <patternFill>
          <bgColor rgb="FF00CC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C55A11"/>
      </font>
    </dxf>
    <dxf>
      <font>
        <b/>
        <color rgb="FFFFFFFF"/>
      </font>
      <fill>
        <patternFill>
          <bgColor theme="4" tint="-0.249977111117893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C55A11"/>
      </font>
    </dxf>
    <dxf>
      <font>
        <b/>
        <color rgb="FFC55A11"/>
      </font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9C0006"/>
      </font>
      <fill>
        <patternFill>
          <bgColor rgb="FFFFC000"/>
        </patternFill>
      </fill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C55A11"/>
      </font>
    </dxf>
    <dxf>
      <font>
        <b/>
        <color rgb="FF7030A0"/>
      </font>
    </dxf>
    <dxf>
      <font>
        <b/>
        <color rgb="FFC55A11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FFFFFF"/>
      </font>
      <fill>
        <patternFill>
          <bgColor theme="4" tint="-0.249977111117893"/>
        </patternFill>
      </fill>
    </dxf>
    <dxf>
      <font>
        <b/>
        <color rgb="FFFFFFFF"/>
      </font>
      <fill>
        <patternFill>
          <bgColor theme="4" tint="-0.249977111117893"/>
        </patternFill>
      </fill>
    </dxf>
    <dxf>
      <font>
        <b/>
        <color rgb="FFC55A11"/>
      </font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9C0006"/>
      </font>
      <fill>
        <patternFill>
          <bgColor rgb="FFFFC000"/>
        </patternFill>
      </fill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C55A11"/>
      </font>
    </dxf>
    <dxf>
      <font>
        <b/>
        <color rgb="FFC55A11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FFFFFF"/>
      </font>
      <fill>
        <patternFill>
          <bgColor theme="4" tint="-0.249977111117893"/>
        </patternFill>
      </fill>
    </dxf>
    <dxf>
      <font>
        <b/>
        <color rgb="FFFFFFFF"/>
      </font>
      <fill>
        <patternFill>
          <bgColor theme="4" tint="-0.249977111117893"/>
        </patternFill>
      </fill>
    </dxf>
    <dxf>
      <font>
        <b/>
        <color rgb="FFC55A11"/>
      </font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9C0006"/>
      </font>
      <fill>
        <patternFill>
          <bgColor rgb="FFFFC000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C55A11"/>
      </font>
    </dxf>
    <dxf>
      <font>
        <b/>
        <color rgb="FFFFFFFF"/>
      </font>
      <fill>
        <patternFill>
          <bgColor theme="4" tint="-0.249977111117893"/>
        </patternFill>
      </fill>
    </dxf>
    <dxf>
      <font>
        <b/>
        <color rgb="FFFFFFFF"/>
      </font>
      <fill>
        <patternFill>
          <bgColor theme="4" tint="-0.249977111117893"/>
        </patternFill>
      </fill>
    </dxf>
    <dxf>
      <font>
        <b/>
        <color rgb="FFC55A11"/>
      </font>
    </dxf>
    <dxf>
      <font>
        <b/>
        <color rgb="FFC55A11"/>
      </font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9C0006"/>
      </font>
      <fill>
        <patternFill>
          <bgColor rgb="FFFFC000"/>
        </patternFill>
      </fill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C55A11"/>
      </font>
    </dxf>
    <dxf>
      <font>
        <b/>
        <color rgb="FF7030A0"/>
      </font>
    </dxf>
    <dxf>
      <font>
        <b/>
        <color rgb="FFC55A11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FFFFFF"/>
      </font>
      <fill>
        <patternFill>
          <bgColor theme="4" tint="-0.249977111117893"/>
        </patternFill>
      </fill>
    </dxf>
    <dxf>
      <font>
        <b/>
        <color rgb="FFFFFFFF"/>
      </font>
      <fill>
        <patternFill>
          <bgColor theme="4" tint="-0.249977111117893"/>
        </patternFill>
      </fill>
    </dxf>
    <dxf>
      <font>
        <b/>
        <color rgb="FFC55A11"/>
      </font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843C0B"/>
      </font>
      <fill>
        <patternFill>
          <bgColor rgb="FFFFC000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C55A11"/>
      </font>
    </dxf>
    <dxf>
      <font>
        <b/>
        <color rgb="FFFFFFFF"/>
      </font>
      <fill>
        <patternFill>
          <bgColor theme="4" tint="-0.249977111117893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C55A11"/>
      </font>
    </dxf>
    <dxf>
      <font>
        <b/>
        <color rgb="FFFFFFFF"/>
      </font>
      <fill>
        <patternFill>
          <bgColor theme="4" tint="-0.249977111117893"/>
        </patternFill>
      </fill>
    </dxf>
    <dxf>
      <font>
        <b/>
        <color rgb="FFFFFFFF"/>
      </font>
      <fill>
        <patternFill>
          <bgColor theme="4" tint="-0.249977111117893"/>
        </patternFill>
      </fill>
    </dxf>
    <dxf>
      <font>
        <b/>
        <color rgb="FFC55A11"/>
      </font>
    </dxf>
    <dxf>
      <font>
        <b/>
        <color rgb="FF7030A0"/>
      </font>
    </dxf>
    <dxf>
      <font>
        <b/>
        <color rgb="FFC55A11"/>
      </font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C55A11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843C0B"/>
      </font>
      <fill>
        <patternFill>
          <bgColor rgb="FFFFC000"/>
        </patternFill>
      </fill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C55A11"/>
      </font>
    </dxf>
    <dxf>
      <font>
        <b/>
        <color rgb="FF7030A0"/>
      </font>
    </dxf>
    <dxf>
      <font>
        <b/>
        <color rgb="FFC55A11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FFFFFF"/>
      </font>
      <fill>
        <patternFill>
          <bgColor theme="4" tint="-0.249977111117893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C55A11"/>
      </font>
    </dxf>
    <dxf>
      <font>
        <b/>
        <color rgb="FFFFFFFF"/>
      </font>
      <fill>
        <patternFill>
          <bgColor theme="4" tint="-0.249977111117893"/>
        </patternFill>
      </fill>
    </dxf>
    <dxf>
      <font>
        <b/>
        <color rgb="FFFFFFFF"/>
      </font>
      <fill>
        <patternFill>
          <bgColor theme="4" tint="-0.249977111117893"/>
        </patternFill>
      </fill>
    </dxf>
    <dxf>
      <font>
        <b/>
        <color rgb="FF7030A0"/>
      </font>
    </dxf>
    <dxf>
      <font>
        <b/>
        <color rgb="FFC55A11"/>
      </font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C55A11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C55A11"/>
      </font>
    </dxf>
    <dxf>
      <font>
        <b/>
        <color rgb="FFC55A11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C55A11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C55A11"/>
      </font>
    </dxf>
    <dxf>
      <font>
        <b/>
        <color rgb="FF843C0B"/>
      </font>
      <fill>
        <patternFill>
          <bgColor theme="7"/>
        </patternFill>
      </fill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C55A11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rgb="FF9C0006"/>
      </font>
      <fill>
        <patternFill>
          <bgColor rgb="FFFFC000"/>
        </patternFill>
      </fill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FFFFFF"/>
      </font>
      <fill>
        <patternFill>
          <bgColor theme="4" tint="-0.249977111117893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C55A11"/>
      </font>
    </dxf>
    <dxf>
      <font>
        <b/>
        <color rgb="FFFFFFFF"/>
      </font>
      <fill>
        <patternFill>
          <bgColor theme="4" tint="-0.249977111117893"/>
        </patternFill>
      </fill>
    </dxf>
    <dxf>
      <font>
        <b/>
        <color rgb="FFFFFFFF"/>
      </font>
      <fill>
        <patternFill>
          <bgColor theme="4" tint="-0.249977111117893"/>
        </patternFill>
      </fill>
    </dxf>
    <dxf>
      <font>
        <b/>
        <color rgb="FFC55A11"/>
      </font>
    </dxf>
    <dxf>
      <font>
        <b/>
        <color rgb="FF7030A0"/>
      </font>
    </dxf>
    <dxf>
      <font>
        <b/>
        <color rgb="FFC55A11"/>
      </font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C55A11"/>
      </font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C55A11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C55A11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C55A11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843C0B"/>
      </font>
      <fill>
        <patternFill>
          <bgColor rgb="FFFFC000"/>
        </patternFill>
      </fill>
    </dxf>
    <dxf>
      <font>
        <b/>
        <color rgb="FF000000"/>
      </font>
      <fill>
        <patternFill>
          <bgColor rgb="FF00CC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C55A11"/>
      </font>
    </dxf>
    <dxf>
      <font>
        <b/>
        <color rgb="FFFFFFFF"/>
      </font>
      <fill>
        <patternFill>
          <bgColor theme="4" tint="-0.249977111117893"/>
        </patternFill>
      </fill>
    </dxf>
    <dxf>
      <font>
        <b/>
        <color rgb="FFFFFFFF"/>
      </font>
      <fill>
        <patternFill>
          <bgColor theme="4" tint="-0.249977111117893"/>
        </patternFill>
      </fill>
    </dxf>
    <dxf>
      <font>
        <b/>
        <color rgb="FFC55A11"/>
      </font>
    </dxf>
    <dxf>
      <font>
        <b/>
        <color rgb="FFC55A11"/>
      </font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C55A11"/>
      </font>
    </dxf>
    <dxf>
      <font>
        <b/>
        <color rgb="FF843C0B"/>
      </font>
      <fill>
        <patternFill>
          <bgColor theme="7"/>
        </patternFill>
      </fill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C55A11"/>
      </font>
    </dxf>
    <dxf>
      <font>
        <b/>
        <color rgb="FF843C0B"/>
      </font>
      <fill>
        <patternFill>
          <bgColor theme="7"/>
        </patternFill>
      </fill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C55A11"/>
      </font>
    </dxf>
    <dxf>
      <font>
        <b/>
        <color rgb="FF843C0B"/>
      </font>
      <fill>
        <patternFill>
          <bgColor theme="7"/>
        </patternFill>
      </fill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843C0B"/>
      </font>
      <fill>
        <patternFill>
          <bgColor rgb="FFFFC000"/>
        </patternFill>
      </fill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843C0B"/>
      </font>
      <fill>
        <patternFill>
          <bgColor theme="7"/>
        </patternFill>
      </fill>
    </dxf>
    <dxf>
      <font>
        <b/>
        <color rgb="FFC55A11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C55A11"/>
      </font>
    </dxf>
    <dxf>
      <font>
        <b/>
        <color rgb="FFFFFFFF"/>
      </font>
      <fill>
        <patternFill>
          <bgColor theme="4" tint="-0.249977111117893"/>
        </patternFill>
      </fill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C55A11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C55A11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C55A11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C55A11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C55A11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C55A11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C55A11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C55A11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C55A11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C55A11"/>
      </font>
    </dxf>
    <dxf>
      <font>
        <b/>
        <color rgb="FF7030A0"/>
      </font>
    </dxf>
    <dxf>
      <font>
        <b/>
        <color rgb="FF843C0B"/>
      </font>
      <fill>
        <patternFill>
          <bgColor theme="7"/>
        </patternFill>
      </fill>
    </dxf>
    <dxf>
      <font>
        <b/>
        <color rgb="FFC55A11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C55A11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C55A11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C55A11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C55A11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C55A11"/>
      </font>
    </dxf>
    <dxf>
      <font>
        <b/>
        <color rgb="FFC55A11"/>
      </font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C55A11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C55A11"/>
      </font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C55A11"/>
      </font>
    </dxf>
    <dxf>
      <font>
        <b/>
        <color rgb="FFFFFFFF"/>
      </font>
      <fill>
        <patternFill>
          <bgColor theme="4" tint="-0.249977111117893"/>
        </patternFill>
      </fill>
    </dxf>
    <dxf>
      <font>
        <b/>
        <color rgb="FFFFFFFF"/>
      </font>
      <fill>
        <patternFill>
          <bgColor theme="4" tint="-0.249977111117893"/>
        </patternFill>
      </fill>
    </dxf>
    <dxf>
      <font>
        <b/>
        <color rgb="FF843C0B"/>
      </font>
      <fill>
        <patternFill>
          <bgColor rgb="FFFFC000"/>
        </patternFill>
      </fill>
    </dxf>
    <dxf>
      <font>
        <b/>
        <color rgb="FF000000"/>
      </font>
      <fill>
        <patternFill>
          <bgColor rgb="FF00CCFF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000000"/>
      </font>
      <fill>
        <patternFill>
          <bgColor theme="9" tint="0.59987182226020086"/>
        </patternFill>
      </fill>
    </dxf>
    <dxf>
      <font>
        <b/>
        <color rgb="FF000000"/>
      </font>
      <fill>
        <patternFill>
          <bgColor rgb="FFFF0000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rgb="FFFF66FF"/>
        </patternFill>
      </fill>
    </dxf>
    <dxf>
      <font>
        <b/>
        <color rgb="FF7030A0"/>
      </font>
    </dxf>
    <dxf>
      <font>
        <b/>
        <color rgb="FFC55A11"/>
      </font>
    </dxf>
    <dxf>
      <font>
        <b/>
        <color rgb="FFFFFFFF"/>
      </font>
      <fill>
        <patternFill>
          <bgColor theme="4" tint="-0.249977111117893"/>
        </patternFill>
      </fill>
    </dxf>
    <dxf>
      <font>
        <b/>
        <color rgb="FFFFFFFF"/>
      </font>
      <fill>
        <patternFill>
          <bgColor theme="4" tint="-0.24997711111789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98B8DF"/>
      <rgbColor rgb="FF9C0006"/>
      <rgbColor rgb="FFA5A5A5"/>
      <rgbColor rgb="FF000080"/>
      <rgbColor rgb="FF70AD47"/>
      <rgbColor rgb="FF800080"/>
      <rgbColor rgb="FF00B050"/>
      <rgbColor rgb="FFBFBFBF"/>
      <rgbColor rgb="FF8B8B8B"/>
      <rgbColor rgb="FF8FAADC"/>
      <rgbColor rgb="FF7030A0"/>
      <rgbColor rgb="FFEDF2F9"/>
      <rgbColor rgb="FFD9E1F2"/>
      <rgbColor rgb="FF660066"/>
      <rgbColor rgb="FFD36F2B"/>
      <rgbColor rgb="FF2E75B6"/>
      <rgbColor rgb="FFBDD7EE"/>
      <rgbColor rgb="FF000080"/>
      <rgbColor rgb="FFFF00FF"/>
      <rgbColor rgb="FFFFCCFF"/>
      <rgbColor rgb="FFB4C6E7"/>
      <rgbColor rgb="FF800080"/>
      <rgbColor rgb="FF800000"/>
      <rgbColor rgb="FF518ABD"/>
      <rgbColor rgb="FF0000FF"/>
      <rgbColor rgb="FF00CCFF"/>
      <rgbColor rgb="FFD9D9D9"/>
      <rgbColor rgb="FFC5E0B4"/>
      <rgbColor rgb="FFFFE699"/>
      <rgbColor rgb="FF9DC3E6"/>
      <rgbColor rgb="FFFF66FF"/>
      <rgbColor rgb="FFAEAAAA"/>
      <rgbColor rgb="FFFFCC99"/>
      <rgbColor rgb="FF4472C4"/>
      <rgbColor rgb="FF5B9BD5"/>
      <rgbColor rgb="FF92D050"/>
      <rgbColor rgb="FFFFC000"/>
      <rgbColor rgb="FFE3AB00"/>
      <rgbColor rgb="FFED7D31"/>
      <rgbColor rgb="FF3C65AE"/>
      <rgbColor rgb="FF929292"/>
      <rgbColor rgb="FF1F3864"/>
      <rgbColor rgb="FF639A3F"/>
      <rgbColor rgb="FF003300"/>
      <rgbColor rgb="FFA6A6A6"/>
      <rgbColor rgb="FF843C0B"/>
      <rgbColor rgb="FFC55A11"/>
      <rgbColor rgb="FF2E5597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F38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Absences par type (année)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'TABLEAU DE BORD'!$O$7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9BD5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dLbl>
              <c:idx val="0"/>
              <c:dLblPos val="outEnd"/>
              <c:showLegendKey val="1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650-3A43-BAE4-AD9F16001468}"/>
                </c:ext>
              </c:extLst>
            </c:dLbl>
            <c:dLbl>
              <c:idx val="1"/>
              <c:dLblPos val="outEnd"/>
              <c:showLegendKey val="1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650-3A43-BAE4-AD9F16001468}"/>
                </c:ext>
              </c:extLst>
            </c:dLbl>
            <c:dLbl>
              <c:idx val="2"/>
              <c:dLblPos val="outEnd"/>
              <c:showLegendKey val="1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650-3A43-BAE4-AD9F16001468}"/>
                </c:ext>
              </c:extLst>
            </c:dLbl>
            <c:dLbl>
              <c:idx val="3"/>
              <c:dLblPos val="outEnd"/>
              <c:showLegendKey val="1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650-3A43-BAE4-AD9F16001468}"/>
                </c:ext>
              </c:extLst>
            </c:dLbl>
            <c:dLbl>
              <c:idx val="4"/>
              <c:dLblPos val="outEnd"/>
              <c:showLegendKey val="1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650-3A43-BAE4-AD9F16001468}"/>
                </c:ext>
              </c:extLst>
            </c:dLbl>
            <c:dLbl>
              <c:idx val="5"/>
              <c:dLblPos val="outEnd"/>
              <c:showLegendKey val="1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650-3A43-BAE4-AD9F1600146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 baseline="0"/>
                      <a:t> </a:t>
                    </a:r>
                    <a:fld id="{D8EC22CC-E64B-A949-BB70-9F7C558AD15D}" type="VALU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B650-3A43-BAE4-AD9F160014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BORD'!$B$8:$B$14</c:f>
              <c:strCache>
                <c:ptCount val="7"/>
                <c:pt idx="0">
                  <c:v>TP</c:v>
                </c:pt>
                <c:pt idx="1">
                  <c:v>CSE/RPX</c:v>
                </c:pt>
                <c:pt idx="2">
                  <c:v>CA/RC</c:v>
                </c:pt>
                <c:pt idx="3">
                  <c:v>ATM/ATA</c:v>
                </c:pt>
                <c:pt idx="4">
                  <c:v>ASA</c:v>
                </c:pt>
                <c:pt idx="5">
                  <c:v>FORM</c:v>
                </c:pt>
                <c:pt idx="6">
                  <c:v>Autre</c:v>
                </c:pt>
              </c:strCache>
            </c:strRef>
          </c:cat>
          <c:val>
            <c:numRef>
              <c:f>'TABLEAU DE BORD'!$O$8:$O$14</c:f>
              <c:numCache>
                <c:formatCode>0;;\-</c:formatCode>
                <c:ptCount val="7"/>
                <c:pt idx="0">
                  <c:v>173</c:v>
                </c:pt>
                <c:pt idx="1">
                  <c:v>39</c:v>
                </c:pt>
                <c:pt idx="2">
                  <c:v>516</c:v>
                </c:pt>
                <c:pt idx="3">
                  <c:v>107</c:v>
                </c:pt>
                <c:pt idx="4">
                  <c:v>11</c:v>
                </c:pt>
                <c:pt idx="5">
                  <c:v>43</c:v>
                </c:pt>
                <c:pt idx="6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50-3A43-BAE4-AD9F16001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610654"/>
        <c:axId val="69596003"/>
      </c:barChart>
      <c:catAx>
        <c:axId val="5461065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Jours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9596003"/>
        <c:crosses val="autoZero"/>
        <c:auto val="1"/>
        <c:lblAlgn val="ctr"/>
        <c:lblOffset val="100"/>
        <c:noMultiLvlLbl val="0"/>
      </c:catAx>
      <c:valAx>
        <c:axId val="69596003"/>
        <c:scaling>
          <c:orientation val="minMax"/>
        </c:scaling>
        <c:delete val="0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;;\-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46106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Total absences par agent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'TABLEAU DE BORD'!$Y$7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5A5A5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outEnd"/>
            <c:showLegendKey val="1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BORD'!$Q$8:$Q$28</c:f>
              <c:strCache>
                <c:ptCount val="21"/>
                <c:pt idx="0">
                  <c:v>BARNEIX J.</c:v>
                </c:pt>
                <c:pt idx="1">
                  <c:v>MAJET P.</c:v>
                </c:pt>
                <c:pt idx="2">
                  <c:v>LENEVEU N.</c:v>
                </c:pt>
                <c:pt idx="3">
                  <c:v>BAUDET R.</c:v>
                </c:pt>
                <c:pt idx="4">
                  <c:v>LALANNE P.</c:v>
                </c:pt>
                <c:pt idx="5">
                  <c:v>AUGE N.</c:v>
                </c:pt>
                <c:pt idx="6">
                  <c:v>LARRODE P.</c:v>
                </c:pt>
                <c:pt idx="7">
                  <c:v>FELIS K.</c:v>
                </c:pt>
                <c:pt idx="8">
                  <c:v>CLOUTE D.</c:v>
                </c:pt>
                <c:pt idx="9">
                  <c:v>BAREITS S.</c:v>
                </c:pt>
                <c:pt idx="10">
                  <c:v>GANTOY P.</c:v>
                </c:pt>
                <c:pt idx="11">
                  <c:v>TAUPIN V.</c:v>
                </c:pt>
                <c:pt idx="12">
                  <c:v>ESSAFI S.</c:v>
                </c:pt>
                <c:pt idx="13">
                  <c:v>GALLIFET A.</c:v>
                </c:pt>
                <c:pt idx="14">
                  <c:v>ROYER T.</c:v>
                </c:pt>
                <c:pt idx="15">
                  <c:v>MARTINS M.</c:v>
                </c:pt>
                <c:pt idx="16">
                  <c:v>BLANCONNIER L.</c:v>
                </c:pt>
                <c:pt idx="17">
                  <c:v>OUDOT C.</c:v>
                </c:pt>
                <c:pt idx="18">
                  <c:v>NOUAILHAS E.</c:v>
                </c:pt>
                <c:pt idx="19">
                  <c:v>LACAMOIRE N.</c:v>
                </c:pt>
                <c:pt idx="20">
                  <c:v>LINIER C.</c:v>
                </c:pt>
              </c:strCache>
            </c:strRef>
          </c:cat>
          <c:val>
            <c:numRef>
              <c:f>'TABLEAU DE BORD'!$Y$8:$Y$28</c:f>
              <c:numCache>
                <c:formatCode>0;;\-</c:formatCode>
                <c:ptCount val="21"/>
                <c:pt idx="0">
                  <c:v>115</c:v>
                </c:pt>
                <c:pt idx="1">
                  <c:v>34</c:v>
                </c:pt>
                <c:pt idx="2">
                  <c:v>42</c:v>
                </c:pt>
                <c:pt idx="3">
                  <c:v>28</c:v>
                </c:pt>
                <c:pt idx="4">
                  <c:v>19</c:v>
                </c:pt>
                <c:pt idx="5">
                  <c:v>110</c:v>
                </c:pt>
                <c:pt idx="6">
                  <c:v>20</c:v>
                </c:pt>
                <c:pt idx="7">
                  <c:v>5</c:v>
                </c:pt>
                <c:pt idx="8">
                  <c:v>35</c:v>
                </c:pt>
                <c:pt idx="9">
                  <c:v>25</c:v>
                </c:pt>
                <c:pt idx="10">
                  <c:v>27</c:v>
                </c:pt>
                <c:pt idx="11">
                  <c:v>124</c:v>
                </c:pt>
                <c:pt idx="12">
                  <c:v>28</c:v>
                </c:pt>
                <c:pt idx="13">
                  <c:v>27</c:v>
                </c:pt>
                <c:pt idx="14">
                  <c:v>21</c:v>
                </c:pt>
                <c:pt idx="15">
                  <c:v>31</c:v>
                </c:pt>
                <c:pt idx="16">
                  <c:v>32</c:v>
                </c:pt>
                <c:pt idx="17">
                  <c:v>30</c:v>
                </c:pt>
                <c:pt idx="18">
                  <c:v>41</c:v>
                </c:pt>
                <c:pt idx="19">
                  <c:v>48</c:v>
                </c:pt>
                <c:pt idx="20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AD-3245-99CB-3A7201D55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917709"/>
        <c:axId val="1270305"/>
      </c:barChart>
      <c:catAx>
        <c:axId val="4791770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270305"/>
        <c:crosses val="autoZero"/>
        <c:auto val="1"/>
        <c:lblAlgn val="ctr"/>
        <c:lblOffset val="100"/>
        <c:noMultiLvlLbl val="0"/>
      </c:catAx>
      <c:valAx>
        <c:axId val="1270305"/>
        <c:scaling>
          <c:orientation val="minMax"/>
        </c:scaling>
        <c:delete val="0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;;\-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79177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Répartition par type d'absence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5B9BD5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518A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4739-9F45-978A-3A518E220219}"/>
              </c:ext>
            </c:extLst>
          </c:dPt>
          <c:dPt>
            <c:idx val="1"/>
            <c:bubble3D val="0"/>
            <c:spPr>
              <a:solidFill>
                <a:srgbClr val="D36F2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739-9F45-978A-3A518E220219}"/>
              </c:ext>
            </c:extLst>
          </c:dPt>
          <c:dPt>
            <c:idx val="2"/>
            <c:bubble3D val="0"/>
            <c:spPr>
              <a:solidFill>
                <a:srgbClr val="92929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4739-9F45-978A-3A518E220219}"/>
              </c:ext>
            </c:extLst>
          </c:dPt>
          <c:dPt>
            <c:idx val="3"/>
            <c:bubble3D val="0"/>
            <c:spPr>
              <a:solidFill>
                <a:srgbClr val="E3AB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4739-9F45-978A-3A518E220219}"/>
              </c:ext>
            </c:extLst>
          </c:dPt>
          <c:dPt>
            <c:idx val="4"/>
            <c:bubble3D val="0"/>
            <c:spPr>
              <a:solidFill>
                <a:srgbClr val="3C65A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4739-9F45-978A-3A518E220219}"/>
              </c:ext>
            </c:extLst>
          </c:dPt>
          <c:dPt>
            <c:idx val="5"/>
            <c:bubble3D val="0"/>
            <c:spPr>
              <a:solidFill>
                <a:srgbClr val="639A3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4739-9F45-978A-3A518E220219}"/>
              </c:ext>
            </c:extLst>
          </c:dPt>
          <c:dPt>
            <c:idx val="6"/>
            <c:bubble3D val="0"/>
            <c:spPr>
              <a:solidFill>
                <a:srgbClr val="98B8D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4739-9F45-978A-3A518E220219}"/>
              </c:ext>
            </c:extLst>
          </c:dPt>
          <c:cat>
            <c:strRef>
              <c:f>'TABLEAU DE BORD'!$B$8:$B$14</c:f>
              <c:strCache>
                <c:ptCount val="7"/>
                <c:pt idx="0">
                  <c:v>TP</c:v>
                </c:pt>
                <c:pt idx="1">
                  <c:v>CSE/RPX</c:v>
                </c:pt>
                <c:pt idx="2">
                  <c:v>CA/RC</c:v>
                </c:pt>
                <c:pt idx="3">
                  <c:v>ATM/ATA</c:v>
                </c:pt>
                <c:pt idx="4">
                  <c:v>ASA</c:v>
                </c:pt>
                <c:pt idx="5">
                  <c:v>FORM</c:v>
                </c:pt>
                <c:pt idx="6">
                  <c:v>Autre</c:v>
                </c:pt>
              </c:strCache>
            </c:strRef>
          </c:cat>
          <c:val>
            <c:numRef>
              <c:f>'TABLEAU DE BORD'!$O$8:$O$14</c:f>
              <c:numCache>
                <c:formatCode>0;;\-</c:formatCode>
                <c:ptCount val="7"/>
                <c:pt idx="0">
                  <c:v>173</c:v>
                </c:pt>
                <c:pt idx="1">
                  <c:v>39</c:v>
                </c:pt>
                <c:pt idx="2">
                  <c:v>516</c:v>
                </c:pt>
                <c:pt idx="3">
                  <c:v>107</c:v>
                </c:pt>
                <c:pt idx="4">
                  <c:v>11</c:v>
                </c:pt>
                <c:pt idx="5">
                  <c:v>43</c:v>
                </c:pt>
                <c:pt idx="6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739-9F45-978A-3A518E220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  <a:round/>
    </a:ln>
    <a:effectLst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Évolution mensuelle des absences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'TABLEAU DE BORD'!$B$15</c:f>
              <c:strCache>
                <c:ptCount val="1"/>
                <c:pt idx="0">
                  <c:v>TOTAL</c:v>
                </c:pt>
              </c:strCache>
            </c:strRef>
          </c:tx>
          <c:spPr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BORD'!$C$7:$N$7</c:f>
              <c:strCache>
                <c:ptCount val="12"/>
                <c:pt idx="0">
                  <c:v>Jan</c:v>
                </c:pt>
                <c:pt idx="1">
                  <c:v>Fév</c:v>
                </c:pt>
                <c:pt idx="2">
                  <c:v>Mar</c:v>
                </c:pt>
                <c:pt idx="3">
                  <c:v>Avr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Aoû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'TABLEAU DE BORD'!$C$15:$N$15</c:f>
              <c:numCache>
                <c:formatCode>0;;\-</c:formatCode>
                <c:ptCount val="12"/>
                <c:pt idx="0">
                  <c:v>85</c:v>
                </c:pt>
                <c:pt idx="1">
                  <c:v>100</c:v>
                </c:pt>
                <c:pt idx="2">
                  <c:v>90</c:v>
                </c:pt>
                <c:pt idx="3">
                  <c:v>113</c:v>
                </c:pt>
                <c:pt idx="4">
                  <c:v>51</c:v>
                </c:pt>
                <c:pt idx="5">
                  <c:v>53</c:v>
                </c:pt>
                <c:pt idx="6">
                  <c:v>95</c:v>
                </c:pt>
                <c:pt idx="7">
                  <c:v>66</c:v>
                </c:pt>
                <c:pt idx="8">
                  <c:v>105</c:v>
                </c:pt>
                <c:pt idx="9">
                  <c:v>44</c:v>
                </c:pt>
                <c:pt idx="10">
                  <c:v>44</c:v>
                </c:pt>
                <c:pt idx="11">
                  <c:v>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5D4-8040-81C5-1598B24C1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8257059"/>
        <c:axId val="91211222"/>
      </c:lineChart>
      <c:catAx>
        <c:axId val="582570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Mois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1211222"/>
        <c:crosses val="autoZero"/>
        <c:auto val="1"/>
        <c:lblAlgn val="ctr"/>
        <c:lblOffset val="100"/>
        <c:noMultiLvlLbl val="0"/>
      </c:catAx>
      <c:valAx>
        <c:axId val="91211222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Nb jours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;;\-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82570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</xdr:row>
      <xdr:rowOff>101600</xdr:rowOff>
    </xdr:from>
    <xdr:to>
      <xdr:col>9</xdr:col>
      <xdr:colOff>127000</xdr:colOff>
      <xdr:row>41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28575</xdr:colOff>
      <xdr:row>45</xdr:row>
      <xdr:rowOff>28575</xdr:rowOff>
    </xdr:from>
    <xdr:to>
      <xdr:col>24</xdr:col>
      <xdr:colOff>647700</xdr:colOff>
      <xdr:row>74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504825</xdr:colOff>
      <xdr:row>22</xdr:row>
      <xdr:rowOff>161925</xdr:rowOff>
    </xdr:from>
    <xdr:to>
      <xdr:col>15</xdr:col>
      <xdr:colOff>123825</xdr:colOff>
      <xdr:row>44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  <a:ext uri="{147F2762-F138-4A5C-976F-8EAC2B608ADB}">
              <a16:predDERef xmlns:a16="http://schemas.microsoft.com/office/drawing/2014/main" pre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47625</xdr:colOff>
      <xdr:row>28</xdr:row>
      <xdr:rowOff>28575</xdr:rowOff>
    </xdr:from>
    <xdr:to>
      <xdr:col>24</xdr:col>
      <xdr:colOff>609600</xdr:colOff>
      <xdr:row>44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85725</xdr:colOff>
      <xdr:row>0</xdr:row>
      <xdr:rowOff>85725</xdr:rowOff>
    </xdr:from>
    <xdr:to>
      <xdr:col>3</xdr:col>
      <xdr:colOff>104775</xdr:colOff>
      <xdr:row>1</xdr:row>
      <xdr:rowOff>390525</xdr:rowOff>
    </xdr:to>
    <xdr:sp macro="" textlink="">
      <xdr:nvSpPr>
        <xdr:cNvPr id="6" name="Rectangle arrondi 5">
          <a:extLst>
            <a:ext uri="{FF2B5EF4-FFF2-40B4-BE49-F238E27FC236}">
              <a16:creationId xmlns:a16="http://schemas.microsoft.com/office/drawing/2014/main" id="{8F3E4CAB-15B6-3709-5BE4-1C758847207C}"/>
            </a:ext>
            <a:ext uri="{147F2762-F138-4A5C-976F-8EAC2B608ADB}">
              <a16:predDERef xmlns:a16="http://schemas.microsoft.com/office/drawing/2014/main" pred="{00000000-0008-0000-0000-000004000000}"/>
            </a:ext>
          </a:extLst>
        </xdr:cNvPr>
        <xdr:cNvSpPr/>
      </xdr:nvSpPr>
      <xdr:spPr>
        <a:xfrm>
          <a:off x="219075" y="85725"/>
          <a:ext cx="1781175" cy="428625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oneCell">
    <xdr:from>
      <xdr:col>1</xdr:col>
      <xdr:colOff>171450</xdr:colOff>
      <xdr:row>1</xdr:row>
      <xdr:rowOff>0</xdr:rowOff>
    </xdr:from>
    <xdr:to>
      <xdr:col>3</xdr:col>
      <xdr:colOff>19050</xdr:colOff>
      <xdr:row>1</xdr:row>
      <xdr:rowOff>361950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CD5C39B4-7D36-9BBF-2062-E7C0DC0C0669}"/>
            </a:ext>
            <a:ext uri="{147F2762-F138-4A5C-976F-8EAC2B608ADB}">
              <a16:predDERef xmlns:a16="http://schemas.microsoft.com/office/drawing/2014/main" pred="{8F3E4CAB-15B6-3709-5BE4-1C7588472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4800" y="123825"/>
          <a:ext cx="1609725" cy="361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429120</xdr:colOff>
      <xdr:row>2</xdr:row>
      <xdr:rowOff>86040</xdr:rowOff>
    </xdr:from>
    <xdr:to>
      <xdr:col>20</xdr:col>
      <xdr:colOff>552600</xdr:colOff>
      <xdr:row>2</xdr:row>
      <xdr:rowOff>409680</xdr:rowOff>
    </xdr:to>
    <xdr:pic>
      <xdr:nvPicPr>
        <xdr:cNvPr id="4" name="Image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 rot="10800000">
          <a:off x="17503560" y="561960"/>
          <a:ext cx="1150920" cy="323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304920</xdr:colOff>
      <xdr:row>2</xdr:row>
      <xdr:rowOff>66960</xdr:rowOff>
    </xdr:from>
    <xdr:to>
      <xdr:col>20</xdr:col>
      <xdr:colOff>380880</xdr:colOff>
      <xdr:row>2</xdr:row>
      <xdr:rowOff>390600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 rot="10800000">
          <a:off x="16514640" y="542880"/>
          <a:ext cx="1152720" cy="323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38520</xdr:colOff>
      <xdr:row>2</xdr:row>
      <xdr:rowOff>95400</xdr:rowOff>
    </xdr:from>
    <xdr:to>
      <xdr:col>27</xdr:col>
      <xdr:colOff>266760</xdr:colOff>
      <xdr:row>2</xdr:row>
      <xdr:rowOff>419040</xdr:rowOff>
    </xdr:to>
    <xdr:pic>
      <xdr:nvPicPr>
        <xdr:cNvPr id="6" name="Image 4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 rot="10800000">
          <a:off x="19973160" y="571320"/>
          <a:ext cx="1144440" cy="323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143280</xdr:colOff>
      <xdr:row>2</xdr:row>
      <xdr:rowOff>95400</xdr:rowOff>
    </xdr:from>
    <xdr:to>
      <xdr:col>20</xdr:col>
      <xdr:colOff>304920</xdr:colOff>
      <xdr:row>2</xdr:row>
      <xdr:rowOff>419040</xdr:rowOff>
    </xdr:to>
    <xdr:pic>
      <xdr:nvPicPr>
        <xdr:cNvPr id="7" name="Image 1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 rot="10800000">
          <a:off x="15898320" y="571320"/>
          <a:ext cx="1148400" cy="323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419400</xdr:colOff>
      <xdr:row>2</xdr:row>
      <xdr:rowOff>57240</xdr:rowOff>
    </xdr:from>
    <xdr:to>
      <xdr:col>27</xdr:col>
      <xdr:colOff>542880</xdr:colOff>
      <xdr:row>2</xdr:row>
      <xdr:rowOff>380880</xdr:rowOff>
    </xdr:to>
    <xdr:pic>
      <xdr:nvPicPr>
        <xdr:cNvPr id="8" name="Image 1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 rot="10800000">
          <a:off x="21117960" y="533160"/>
          <a:ext cx="1150920" cy="323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410040</xdr:colOff>
      <xdr:row>2</xdr:row>
      <xdr:rowOff>76320</xdr:rowOff>
    </xdr:from>
    <xdr:to>
      <xdr:col>34</xdr:col>
      <xdr:colOff>304920</xdr:colOff>
      <xdr:row>2</xdr:row>
      <xdr:rowOff>399960</xdr:rowOff>
    </xdr:to>
    <xdr:pic>
      <xdr:nvPicPr>
        <xdr:cNvPr id="9" name="Image 1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 rot="10800000">
          <a:off x="26387280" y="552240"/>
          <a:ext cx="1163520" cy="323640"/>
        </a:xfrm>
        <a:prstGeom prst="rect">
          <a:avLst/>
        </a:prstGeom>
        <a:ln w="0"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ENEVEU Nicolas" id="{47EBE9E2-2999-4556-A358-E2A02220E0C2}" userId="S::nicolas.leneveu@laposte.fr::6c96206f-cdfe-4ef6-b2da-c02793db234f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26" dT="2026-04-21T06:55:42.12" personId="{47EBE9E2-2999-4556-A358-E2A02220E0C2}" id="{E73F713A-8452-4D13-B1EC-FEC0D0B2A75B}">
    <text>validé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5"/>
  <sheetViews>
    <sheetView showGridLines="0" zoomScaleNormal="100" workbookViewId="0">
      <selection activeCell="E4" sqref="E4:I4"/>
    </sheetView>
  </sheetViews>
  <sheetFormatPr defaultColWidth="8.7109375" defaultRowHeight="15"/>
  <cols>
    <col min="1" max="1" width="2" customWidth="1"/>
    <col min="2" max="2" width="18" customWidth="1"/>
    <col min="3" max="14" width="8.42578125" customWidth="1"/>
    <col min="15" max="15" width="10" customWidth="1"/>
    <col min="16" max="16" width="3" customWidth="1"/>
    <col min="17" max="17" width="18" customWidth="1"/>
    <col min="18" max="25" width="10" customWidth="1"/>
    <col min="26" max="26" width="2" customWidth="1"/>
    <col min="28" max="30" width="13" hidden="1" customWidth="1"/>
  </cols>
  <sheetData>
    <row r="1" spans="1:30" ht="9.75" customHeight="1">
      <c r="A1" s="389"/>
      <c r="B1" s="397" t="s">
        <v>0</v>
      </c>
      <c r="C1" s="397"/>
      <c r="D1" s="397"/>
      <c r="E1" s="397"/>
      <c r="F1" s="397"/>
      <c r="G1" s="397"/>
      <c r="H1" s="397"/>
      <c r="I1" s="397"/>
      <c r="J1" s="397"/>
      <c r="K1" s="397"/>
      <c r="L1" s="397"/>
      <c r="M1" s="397"/>
      <c r="N1" s="397"/>
      <c r="O1" s="397"/>
      <c r="P1" s="397"/>
      <c r="Q1" s="397"/>
      <c r="R1" s="397"/>
      <c r="S1" s="397"/>
      <c r="T1" s="397"/>
      <c r="U1" s="397"/>
      <c r="V1" s="397"/>
      <c r="W1" s="397"/>
      <c r="X1" s="397"/>
      <c r="Y1" s="398"/>
    </row>
    <row r="2" spans="1:30" ht="37.5" customHeight="1">
      <c r="A2" s="390"/>
      <c r="B2" s="399"/>
      <c r="C2" s="399"/>
      <c r="D2" s="399"/>
      <c r="E2" s="399"/>
      <c r="F2" s="399"/>
      <c r="G2" s="399"/>
      <c r="H2" s="399"/>
      <c r="I2" s="399"/>
      <c r="J2" s="399"/>
      <c r="K2" s="399"/>
      <c r="L2" s="399"/>
      <c r="M2" s="399"/>
      <c r="N2" s="399"/>
      <c r="O2" s="399"/>
      <c r="P2" s="399"/>
      <c r="Q2" s="399"/>
      <c r="R2" s="399"/>
      <c r="S2" s="399"/>
      <c r="T2" s="399"/>
      <c r="U2" s="399"/>
      <c r="V2" s="399"/>
      <c r="W2" s="399"/>
      <c r="X2" s="399"/>
      <c r="Y2" s="400"/>
    </row>
    <row r="3" spans="1:30" ht="9.75" customHeight="1">
      <c r="A3" s="390"/>
      <c r="Y3" s="391"/>
    </row>
    <row r="4" spans="1:30" ht="30" customHeight="1">
      <c r="A4" s="390"/>
      <c r="B4" s="402" t="s">
        <v>1</v>
      </c>
      <c r="C4" s="402"/>
      <c r="D4" s="402"/>
      <c r="E4" s="403" t="s">
        <v>2</v>
      </c>
      <c r="F4" s="404"/>
      <c r="G4" s="404"/>
      <c r="H4" s="404"/>
      <c r="I4" s="405"/>
      <c r="K4" s="406" t="s">
        <v>3</v>
      </c>
      <c r="L4" s="406"/>
      <c r="M4" s="406"/>
      <c r="N4" s="406"/>
      <c r="O4" s="406"/>
      <c r="P4" s="406"/>
      <c r="Q4" s="406"/>
      <c r="R4" s="406"/>
      <c r="S4" s="406"/>
      <c r="T4" s="406"/>
      <c r="U4" s="406"/>
      <c r="V4" s="406"/>
      <c r="W4" s="406"/>
      <c r="X4" s="406"/>
      <c r="Y4" s="407"/>
    </row>
    <row r="5" spans="1:30">
      <c r="A5" s="390"/>
      <c r="Y5" s="391"/>
      <c r="AB5" t="s">
        <v>2</v>
      </c>
      <c r="AC5" t="s">
        <v>4</v>
      </c>
      <c r="AD5">
        <v>10</v>
      </c>
    </row>
    <row r="6" spans="1:30" ht="25.5" customHeight="1">
      <c r="A6" s="390"/>
      <c r="B6" s="401" t="s">
        <v>5</v>
      </c>
      <c r="C6" s="401"/>
      <c r="D6" s="401"/>
      <c r="E6" s="401"/>
      <c r="F6" s="401"/>
      <c r="G6" s="401"/>
      <c r="H6" s="401"/>
      <c r="I6" s="401"/>
      <c r="J6" s="401"/>
      <c r="K6" s="401"/>
      <c r="L6" s="401"/>
      <c r="M6" s="401"/>
      <c r="N6" s="401"/>
      <c r="O6" s="401"/>
      <c r="Q6" s="401" t="s">
        <v>6</v>
      </c>
      <c r="R6" s="401"/>
      <c r="S6" s="401"/>
      <c r="T6" s="401"/>
      <c r="U6" s="401"/>
      <c r="V6" s="401"/>
      <c r="W6" s="401"/>
      <c r="X6" s="401"/>
      <c r="Y6" s="408"/>
      <c r="AB6" t="s">
        <v>4</v>
      </c>
      <c r="AC6" t="s">
        <v>7</v>
      </c>
      <c r="AD6">
        <v>9</v>
      </c>
    </row>
    <row r="7" spans="1:30" ht="24" customHeight="1">
      <c r="A7" s="390"/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17</v>
      </c>
      <c r="L7" s="1" t="s">
        <v>18</v>
      </c>
      <c r="M7" s="1" t="s">
        <v>19</v>
      </c>
      <c r="N7" s="1" t="s">
        <v>20</v>
      </c>
      <c r="O7" s="1" t="s">
        <v>21</v>
      </c>
      <c r="Q7" s="1" t="s">
        <v>22</v>
      </c>
      <c r="R7" s="1" t="s">
        <v>23</v>
      </c>
      <c r="S7" s="1" t="s">
        <v>24</v>
      </c>
      <c r="T7" s="1" t="s">
        <v>25</v>
      </c>
      <c r="U7" s="1" t="s">
        <v>26</v>
      </c>
      <c r="V7" s="1" t="s">
        <v>27</v>
      </c>
      <c r="W7" s="1" t="s">
        <v>28</v>
      </c>
      <c r="X7" s="1" t="s">
        <v>29</v>
      </c>
      <c r="Y7" s="392" t="s">
        <v>21</v>
      </c>
      <c r="AB7" t="s">
        <v>7</v>
      </c>
      <c r="AC7" t="s">
        <v>30</v>
      </c>
      <c r="AD7">
        <v>8</v>
      </c>
    </row>
    <row r="8" spans="1:30" ht="19.5" customHeight="1">
      <c r="A8" s="390"/>
      <c r="B8" s="2" t="s">
        <v>23</v>
      </c>
      <c r="C8" s="3">
        <f ca="1">IF($E$4="TOUS",COUNTIF('01-26'!G10:AO10,"TP")+COUNTIF('01-26'!G9:AO9,"TP")+COUNTIF('01-26'!G8:AO8,"TP")+COUNTIF('01-26'!G11:AO11,"TP")+COUNTIF('01-26'!G12:AO12,"TP")+COUNTIF('01-26'!G13:AO13,"TP")+COUNTIF('01-26'!F14:AO14,"TP")+COUNTIF('01-26'!G15:AO15,"TP")+COUNTIF('01-26'!F16:AO16,"TP")+COUNTIF('01-26'!F17:AO17,"TP")+COUNTIF('01-26'!G18:AO18,"TP")+COUNTIF('01-26'!G19:AO19,"TP")+COUNTIF('01-26'!F20:AO20,"TP")+COUNTIF('01-26'!F21:AO21,"TP")+COUNTIF('01-26'!G22:AO22,"TP")+COUNTIF('01-26'!G23:AO23,"TP")+COUNTIF('01-26'!G24:AO24,"TP")+COUNTIF('01-26'!G25:AO25,"TP")+COUNTIF('01-26'!G26:AO26,"TP")+COUNTIF('01-26'!G27:AO27,"TP")+COUNTIF('01-26'!G28:AO28,"TP"),COUNTIF(INDIRECT("'01-26'!G"&amp;VLOOKUP($E$4,$AC$5:$AD$25,2,FALSE())&amp;":AO"&amp;VLOOKUP($E$4,$AC$5:$AD$25,2,FALSE())),"TP"))</f>
        <v>15</v>
      </c>
      <c r="D8" s="3">
        <f ca="1">IF($E$4="TOUS",COUNTIF('02-26'!G10:AO10,"TP")+COUNTIF('02-26'!G9:AO9,"TP")+COUNTIF('02-26'!G8:AO8,"TP")+COUNTIF('02-26'!G11:AO11,"TP")+COUNTIF('02-26'!F12:AO12,"TP")+COUNTIF('02-26'!G13:AO13,"TP")+COUNTIF('02-26'!G14:AO14,"TP")+COUNTIF('02-26'!F15:AO15,"TP")+COUNTIF('02-26'!G16:AO16,"TP")+COUNTIF('02-26'!F17:AO17,"TP")+COUNTIF('02-26'!G18:AO18,"TP")+COUNTIF('02-26'!G19:AO19,"TP")+COUNTIF('02-26'!F20:AO20,"TP")+COUNTIF('02-26'!G21:AO21,"TP")+COUNTIF('02-26'!G22:AO22,"TP")+COUNTIF('02-26'!G23:AO23,"TP")+COUNTIF('02-26'!G24:AO24,"TP")+COUNTIF('02-26'!G25:AO25,"TP")+COUNTIF('02-26'!G26:AO26,"TP")+COUNTIF('02-26'!G27:AO27,"TP")+COUNTIF('02-26'!G28:AO28,"TP"),COUNTIF(INDIRECT("'02-26'!G"&amp;VLOOKUP($E$4,$AC$5:$AD$25,2,FALSE())&amp;":AO"&amp;VLOOKUP($E$4,$AC$5:$AD$25,2,FALSE())),"TP"))</f>
        <v>15</v>
      </c>
      <c r="E8" s="3">
        <f ca="1">IF($E$4="TOUS",COUNTIF('03-26'!G10:AO10,"TP")+COUNTIF('03-26'!G9:AO9,"TP")+COUNTIF('03-26'!G8:AO8,"TP")+COUNTIF('03-26'!G11:AO11,"TP")+COUNTIF('03-26'!F12:AO12,"TP")+COUNTIF('03-26'!G13:AO13,"TP")+COUNTIF('03-26'!G14:AO14,"TP")+COUNTIF('03-26'!F15:AO15,"TP")+COUNTIF('03-26'!F16:AO16,"TP")+COUNTIF('03-26'!F17:AO17,"TP")+COUNTIF('03-26'!F18:AO18,"TP")+COUNTIF('03-26'!G19:AO19,"TP")+COUNTIF('03-26'!G20:AO20,"TP")+COUNTIF('03-26'!G21:AO21,"TP")+COUNTIF('03-26'!F22:AO22,"TP")+COUNTIF('03-26'!G23:AO23,"TP")+COUNTIF('03-26'!G24:AO24,"TP")+COUNTIF('03-26'!G25:AO25,"TP")+COUNTIF('03-26'!G26:AO26,"TP")+COUNTIF('03-26'!G27:AO27,"TP")+COUNTIF('03-26'!G28:AO28,"TP"),COUNTIF(INDIRECT("'03-26'!G"&amp;VLOOKUP($E$4,$AC$5:$AD$25,2,FALSE())&amp;":AO"&amp;VLOOKUP($E$4,$AC$5:$AD$25,2,FALSE())),"TP"))</f>
        <v>22</v>
      </c>
      <c r="F8" s="3">
        <f ca="1">IF($E$4="TOUS",COUNTIF('04-26'!G10:AO10,"TP")+COUNTIF('04-26'!G9:AO9,"TP")+COUNTIF('04-26'!G8:AO8,"TP")+COUNTIF('04-26'!G11:AO11,"TP")+COUNTIF('04-26'!F12:AO12,"TP")+COUNTIF('04-26'!G13:AO13,"TP")+COUNTIF('04-26'!F14:AO14,"TP")+COUNTIF('04-26'!G15:AO15,"TP")+COUNTIF('04-26'!G16:AO16,"TP")+COUNTIF('04-26'!G17:AO17,"TP")+COUNTIF('04-26'!G18:AO18,"TP")+COUNTIF('04-26'!G19:AO19,"TP")+COUNTIF('04-26'!G20:AO20,"TP")+COUNTIF('04-26'!G21:AO21,"TP")+COUNTIF('04-26'!G22:AO22,"TP")+COUNTIF('04-26'!G23:AO23,"TP")+COUNTIF('04-26'!G24:AO24,"TP")+COUNTIF('04-26'!G25:AO25,"TP")+COUNTIF('04-26'!G26:AO26,"TP")+COUNTIF('04-26'!G27:AO27,"TP")+COUNTIF('04-26'!G28:AO28,"TP"),COUNTIF(INDIRECT("'04-26'!G"&amp;VLOOKUP($E$4,$AC$5:$AD$25,2,FALSE())&amp;":AO"&amp;VLOOKUP($E$4,$AC$5:$AD$25,2,FALSE())),"TP"))</f>
        <v>10</v>
      </c>
      <c r="G8" s="3">
        <f ca="1">IF($E$4="TOUS",COUNTIF('05-26'!G10:AO10,"TP")+COUNTIF('05-26'!G9:AO9,"TP")+COUNTIF('05-26'!G8:AO8,"TP")+COUNTIF('05-26'!G11:AO11,"TP")+COUNTIF('05-26'!F12:AO12,"TP")+COUNTIF('05-26'!G13:AO13,"TP")+COUNTIF('05-26'!F14:AO14,"TP")+COUNTIF('05-26'!F15:AO15,"TP")+COUNTIF('05-26'!G16:AO16,"TP")+COUNTIF('05-26'!F17:AO17,"TP")+COUNTIF('05-26'!G18:AO18,"TP")+COUNTIF('05-26'!G19:AO19,"TP")+COUNTIF('05-26'!G20:AO20,"TP")+COUNTIF('05-26'!F21:AO21,"TP")+COUNTIF('05-26'!F22:AO22,"TP")+COUNTIF('05-26'!G23:AO23,"TP")+COUNTIF('05-26'!G24:AO24,"TP")+COUNTIF('05-26'!G25:AO25,"TP")+COUNTIF('05-26'!G26:AO26,"TP")+COUNTIF('05-26'!G27:AO27,"TP")+COUNTIF('05-26'!G28:AO28,"TP"),COUNTIF(INDIRECT("'05-26'!G"&amp;VLOOKUP($E$4,$AC$5:$AD$25,2,FALSE())&amp;":AO"&amp;VLOOKUP($E$4,$AC$5:$AD$25,2,FALSE())),"TP"))</f>
        <v>8</v>
      </c>
      <c r="H8" s="3">
        <f ca="1">IF($E$4="TOUS",COUNTIF('06-26'!G10:AO10,"TP")+COUNTIF('06-26'!G9:AO9,"TP")+COUNTIF('06-26'!G8:AO8,"TP")+COUNTIF('06-26'!G11:AO11,"TP")+COUNTIF('06-26'!F12:AO12,"TP")+COUNTIF('06-26'!G13:AO13,"TP")+COUNTIF('06-26'!F14:AO14,"TP")+COUNTIF('06-26'!F15:AO15,"TP")+COUNTIF('06-26'!F16:AO16,"TP")+COUNTIF('06-26'!F17:AO17,"TP")+COUNTIF('06-26'!G18:AO18,"TP")+COUNTIF('06-26'!G19:AO19,"TP")+COUNTIF('06-26'!G20:AO20,"TP")+COUNTIF('06-26'!F21:AO21,"TP")+COUNTIF('06-26'!F22:AO22,"TP")+COUNTIF('06-26'!G23:AO23,"TP")+COUNTIF('06-26'!G24:AO24,"TP")+COUNTIF('06-26'!G25:AO25,"TP")+COUNTIF('06-26'!G26:AO26,"TP")+COUNTIF('06-26'!G27:AO27,"TP")+COUNTIF('06-26'!G28:AO28,"TP"),COUNTIF(INDIRECT("'06-26'!G"&amp;VLOOKUP($E$4,$AC$5:$AD$25,2,FALSE())&amp;":AO"&amp;VLOOKUP($E$4,$AC$5:$AD$25,2,FALSE())),"TP"))</f>
        <v>20</v>
      </c>
      <c r="I8" s="3">
        <f ca="1">IF($E$4="TOUS",COUNTIF('07-26'!G10:AO10,"TP")+COUNTIF('07-26'!G9:AO9,"TP")+COUNTIF('07-26'!G8:AO8,"TP")+COUNTIF('07-26'!F11:AO11,"TP")+COUNTIF('07-26'!G12:AO12,"TP")+COUNTIF('07-26'!G13:AO13,"TP")+COUNTIF('07-26'!F14:AO14,"TP")+COUNTIF('07-26'!F15:AO15,"TP")+COUNTIF('07-26'!G16:AO16,"TP")+COUNTIF('07-26'!G17:AO17,"TP")+COUNTIF('07-26'!G18:AO18,"TP")+COUNTIF('07-26'!G19:AO19,"TP")+COUNTIF('07-26'!F20:AO20,"TP")+COUNTIF('07-26'!F21:AO21,"TP")+COUNTIF('07-26'!F22:AO22,"TP")+COUNTIF('07-26'!G23:AO23,"TP")+COUNTIF('07-26'!G24:AO24,"TP")+COUNTIF('07-26'!G25:AO25,"TP")+COUNTIF('07-26'!G26:AO26,"TP")+COUNTIF('07-26'!G27:AO27,"TP")+COUNTIF('07-26'!G28:AO28,"TP"),COUNTIF(INDIRECT("'07-26'!G"&amp;VLOOKUP($E$4,$AC$5:$AD$25,2,FALSE())&amp;":AO"&amp;VLOOKUP($E$4,$AC$5:$AD$25,2,FALSE())),"TP"))</f>
        <v>5</v>
      </c>
      <c r="J8" s="3">
        <f ca="1">IF($E$4="TOUS",COUNTIF('08-26'!G10:AO10,"TP")+COUNTIF('08-26'!G9:AO9,"TP")+COUNTIF('08-26'!G8:AO8,"TP")+COUNTIF('08-26'!F11:AO11,"TP")+COUNTIF('08-26'!F12:AO12,"TP")+COUNTIF('08-26'!F13:AO13,"TP")+COUNTIF('08-26'!F14:AO14,"TP")+COUNTIF('08-26'!F15:AO15,"TP")+COUNTIF('08-26'!G16:AO16,"TP")+COUNTIF('08-26'!F17:AO17,"TP")+COUNTIF('08-26'!G18:AO18,"TP")+COUNTIF('08-26'!F19:AO19,"TP")+COUNTIF('08-26'!F20:AO20,"TP")+COUNTIF('08-26'!G21:AO21,"TP")+COUNTIF('08-26'!F22:AO22,"TP")+COUNTIF('08-26'!G23:AO23,"TP")+COUNTIF('08-26'!G24:AO24,"TP")+COUNTIF('08-26'!G25:AO25,"TP")+COUNTIF('08-26'!G26:AO26,"TP")+COUNTIF('08-26'!G27:AO27,"TP")+COUNTIF('08-26'!G28:AO28,"TP"),COUNTIF(INDIRECT("'08-26'!G"&amp;VLOOKUP($E$4,$AC$5:$AD$25,2,FALSE())&amp;":AO"&amp;VLOOKUP($E$4,$AC$5:$AD$25,2,FALSE())),"TP"))</f>
        <v>0</v>
      </c>
      <c r="K8" s="3">
        <f ca="1">IF($E$4="TOUS",COUNTIF('09-26'!G10:AO10,"TP")+COUNTIF('09-26'!G9:AO9,"TP")+COUNTIF('09-26'!G8:AO8,"TP")+COUNTIF('09-26'!F11:AO11,"TP")+COUNTIF('09-26'!F12:AO12,"TP")+COUNTIF('09-26'!G13:AO13,"TP")+COUNTIF('09-26'!G14:AO14,"TP")+COUNTIF('09-26'!F15:AO15,"TP")+COUNTIF('09-26'!F16:AO16,"TP")+COUNTIF('09-26'!F17:AO17,"TP")+COUNTIF('09-26'!F18:AO18,"TP")+COUNTIF('09-26'!G19:AO19,"TP")+COUNTIF('09-26'!G20:AO20,"TP")+COUNTIF('09-26'!F21:AO21,"TP")+COUNTIF('09-26'!G22:AO22,"TP")+COUNTIF('09-26'!G23:AO23,"TP")+COUNTIF('09-26'!G24:AO24,"TP")+COUNTIF('09-26'!G25:AO25,"TP")+COUNTIF('09-26'!G26:AO26,"TP")+COUNTIF('09-26'!G27:AO27,"TP")+COUNTIF('09-26'!G28:AO28,"TP"),COUNTIF(INDIRECT("'09-26'!G"&amp;VLOOKUP($E$4,$AC$5:$AD$25,2,FALSE())&amp;":AO"&amp;VLOOKUP($E$4,$AC$5:$AD$25,2,FALSE())),"TP"))</f>
        <v>30</v>
      </c>
      <c r="L8" s="3">
        <f ca="1">IF($E$4="TOUS",COUNTIF('10-26'!G10:AO10,"TP")+COUNTIF('10-26'!G9:AO9,"TP")+COUNTIF('10-26'!G8:AO8,"TP")+COUNTIF('10-26'!F11:AO11,"TP")+COUNTIF('10-26'!F12:AO12,"TP")+COUNTIF('10-26'!G13:AO13,"TP")+COUNTIF('10-26'!F14:AO14,"TP")+COUNTIF('10-26'!F15:AO15,"TP")+COUNTIF('10-26'!F16:AO16,"TP")+COUNTIF('10-26'!F17:AO17,"TP")+COUNTIF('10-26'!G18:AO18,"TP")+COUNTIF('10-26'!G19:AO19,"TP")+COUNTIF('10-26'!F20:AO20,"TP")+COUNTIF('10-26'!G21:AO21,"TP")+COUNTIF('10-26'!G22:AO22,"TP")+COUNTIF('10-26'!F23:AO23,"TP")+COUNTIF('10-26'!G24:AO24,"TP")+COUNTIF('10-26'!G25:AO25,"TP")+COUNTIF('10-26'!G26:AO26,"TP")+COUNTIF('10-26'!G27:AO27,"TP")+COUNTIF('10-26'!G28:AO28,"TP"),COUNTIF(INDIRECT("'10-26'!G"&amp;VLOOKUP($E$4,$AC$5:$AD$25,2,FALSE())&amp;":AO"&amp;VLOOKUP($E$4,$AC$5:$AD$25,2,FALSE())),"TP"))</f>
        <v>15</v>
      </c>
      <c r="M8" s="3">
        <f ca="1">IF($E$4="TOUS",COUNTIF('11-26'!G10:AO10,"TP")+COUNTIF('11-26'!G9:AO9,"TP")+COUNTIF('11-26'!G8:AO8,"TP")+COUNTIF('11-26'!G11:AO11,"TP")+COUNTIF('11-26'!F12:AO12,"TP")+COUNTIF('11-26'!G13:AO13,"TP")+COUNTIF('11-26'!F14:AO14,"TP")+COUNTIF('11-26'!F15:AO15,"TP")+COUNTIF('11-26'!G16:AO16,"TP")+COUNTIF('11-26'!G17:AO17,"TP")+COUNTIF('11-26'!G18:AO18,"TP")+COUNTIF('11-26'!G19:AO19,"TP")+COUNTIF('11-26'!F20:AO20,"TP")+COUNTIF('11-26'!F21:AO21,"TP")+COUNTIF('11-26'!F22:AO22,"TP")+COUNTIF('11-26'!G23:AO23,"TP")+COUNTIF('11-26'!G24:AO24,"TP")+COUNTIF('11-26'!G25:AO25,"TP")+COUNTIF('11-26'!G26:AO26,"TP")+COUNTIF('11-26'!G27:AO27,"TP")+COUNTIF('11-26'!G28:AO28,"TP"),COUNTIF(INDIRECT("'11-26'!G"&amp;VLOOKUP($E$4,$AC$5:$AD$25,2,FALSE())&amp;":AO"&amp;VLOOKUP($E$4,$AC$5:$AD$25,2,FALSE())),"TP"))</f>
        <v>14</v>
      </c>
      <c r="N8" s="3">
        <f ca="1">IF($E$4="TOUS",COUNTIF('12-26'!G10:AO10,"TP")+COUNTIF('12-26'!G9:AO9,"TP")+COUNTIF('12-26'!G8:AO8,"TP")+COUNTIF('12-26'!G11:AO11,"TP")+COUNTIF('12-26'!G12:AO12,"TP")+COUNTIF('12-26'!G13:AO13,"TP")+COUNTIF('12-26'!G14:AO14,"TP")+COUNTIF('12-26'!F15:AO15,"TP")+COUNTIF('12-26'!G16:AO16,"TP")+COUNTIF('12-26'!F17:AO17,"TP")+COUNTIF('12-26'!G18:AO18,"TP")+COUNTIF('12-26'!G19:AO19,"TP")+COUNTIF('12-26'!F20:AO20,"TP")+COUNTIF('12-26'!F21:AO21,"TP")+COUNTIF('12-26'!F22:AO22,"TP")+COUNTIF('12-26'!G23:AO23,"TP")+COUNTIF('12-26'!G24:AO24,"TP")+COUNTIF('12-26'!G25:AO25,"TP")+COUNTIF('12-26'!G26:AO26,"TP")+COUNTIF('12-26'!G27:AO27,"TP")+COUNTIF('12-26'!G28:AO28,"TP"),COUNTIF(INDIRECT("'12-26'!G"&amp;VLOOKUP($E$4,$AC$5:$AD$25,2,FALSE())&amp;":AO"&amp;VLOOKUP($E$4,$AC$5:$AD$25,2,FALSE())),"TP"))</f>
        <v>19</v>
      </c>
      <c r="O8" s="4">
        <f t="shared" ref="O8:O14" ca="1" si="0">SUM(C8:N8)</f>
        <v>173</v>
      </c>
      <c r="Q8" s="2" t="s">
        <v>4</v>
      </c>
      <c r="R8" s="3">
        <f>COUNTIF('01-26'!G10:AO10,"TP")+COUNTIF('02-26'!G10:AO10,"TP")+COUNTIF('03-26'!G10:AO10,"TP")+COUNTIF('04-26'!G10:AO10,"TP")+COUNTIF('05-26'!G10:AO10,"TP")+COUNTIF('06-26'!G10:AO10,"TP")+COUNTIF('07-26'!G10:AO10,"TP")+COUNTIF('08-26'!G10:AO10,"TP")+COUNTIF('09-26'!G10:AO10,"TP")+COUNTIF('10-26'!G10:AO10,"TP")+COUNTIF('11-26'!G10:AO10,"TP")+COUNTIF('12-26'!G10:AO10,"TP")</f>
        <v>86</v>
      </c>
      <c r="S8" s="3">
        <f>COUNTIF('01-26'!G10:AO10,"CSE")+COUNTIF('01-26'!G10:AO10,"CSE/RPX")+COUNTIF('01-26'!G10:AO10,"RPX")+COUNTIF('02-26'!G10:AO10,"CSE")+COUNTIF('02-26'!G10:AO10,"CSE/RPX")+COUNTIF('02-26'!G10:AO10,"RPX")+COUNTIF('03-26'!G10:AO10,"CSE")+COUNTIF('03-26'!G10:AO10,"CSE/RPX")+COUNTIF('03-26'!G10:AO10,"RPX")+COUNTIF('04-26'!G10:AO10,"CSE")+COUNTIF('04-26'!G10:AO10,"CSE/RPX")+COUNTIF('04-26'!G10:AO10,"RPX")+COUNTIF('05-26'!G10:AO10,"CSE")+COUNTIF('05-26'!G10:AO10,"CSE/RPX")+COUNTIF('05-26'!G10:AO10,"RPX")+COUNTIF('06-26'!G10:AO10,"CSE")+COUNTIF('06-26'!G10:AO10,"CSE/RPX")+COUNTIF('06-26'!G10:AO10,"RPX")+COUNTIF('07-26'!G10:AO10,"CSE")+COUNTIF('07-26'!G10:AO10,"CSE/RPX")+COUNTIF('07-26'!G10:AO10,"RPX")+COUNTIF('08-26'!G10:AO10,"CSE")+COUNTIF('08-26'!G10:AO10,"CSE/RPX")+COUNTIF('08-26'!G10:AO10,"RPX")+COUNTIF('09-26'!G10:AO10,"CSE")+COUNTIF('09-26'!G10:AO10,"CSE/RPX")+COUNTIF('09-26'!G10:AO10,"RPX")+COUNTIF('10-26'!G10:AO10,"CSE")+COUNTIF('10-26'!G10:AO10,"CSE/RPX")+COUNTIF('10-26'!G10:AO10,"RPX")+COUNTIF('11-26'!G10:AO10,"CSE")+COUNTIF('11-26'!G10:AO10,"CSE/RPX")+COUNTIF('11-26'!G10:AO10,"RPX")+COUNTIF('12-26'!G10:AO10,"CSE")+COUNTIF('12-26'!G10:AO10,"CSE/RPX")+COUNTIF('12-26'!G10:AO10,"RPX")</f>
        <v>0</v>
      </c>
      <c r="T8" s="3">
        <f>COUNTIF('01-26'!G10:AO10,"CA/RC")+COUNTIF('01-26'!G10:AO10,"CA")+COUNTIF('02-26'!G10:AO10,"CA/RC")+COUNTIF('02-26'!G10:AO10,"CA")+COUNTIF('03-26'!G10:AO10,"CA/RC")+COUNTIF('03-26'!G10:AO10,"CA")+COUNTIF('04-26'!G10:AO10,"CA/RC")+COUNTIF('04-26'!G10:AO10,"CA")+COUNTIF('05-26'!G10:AO10,"CA/RC")+COUNTIF('05-26'!G10:AO10,"CA")+COUNTIF('06-26'!G10:AO10,"CA/RC")+COUNTIF('06-26'!G10:AO10,"CA")+COUNTIF('07-26'!G10:AO10,"CA/RC")+COUNTIF('07-26'!G10:AO10,"CA")+COUNTIF('08-26'!G10:AO10,"CA/RC")+COUNTIF('08-26'!G10:AO10,"CA")+COUNTIF('09-26'!G10:AO10,"CA/RC")+COUNTIF('09-26'!G10:AO10,"CA")+COUNTIF('10-26'!G10:AO10,"CA/RC")+COUNTIF('10-26'!G10:AO10,"CA")+COUNTIF('11-26'!G10:AO10,"CA/RC")+COUNTIF('11-26'!G10:AO10,"CA")+COUNTIF('12-26'!G10:AO10,"CA/RC")+COUNTIF('12-26'!G10:AO10,"CA")</f>
        <v>24</v>
      </c>
      <c r="U8" s="3">
        <f>COUNTIF('01-26'!G10:AO10,"ATM/ATA")+COUNTIF('01-26'!G10:AO10,"ATM")+COUNTIF('01-26'!G10:AO10,"ATA")+COUNTIF('02-26'!G10:AO10,"ATM/ATA")+COUNTIF('02-26'!G10:AO10,"ATM")+COUNTIF('02-26'!G10:AO10,"ATA")+COUNTIF('03-26'!G10:AO10,"ATM/ATA")+COUNTIF('03-26'!G10:AO10,"ATM")+COUNTIF('03-26'!G10:AO10,"ATA")+COUNTIF('04-26'!G10:AO10,"ATM/ATA")+COUNTIF('04-26'!G10:AO10,"ATM")+COUNTIF('04-26'!G10:AO10,"ATA")+COUNTIF('05-26'!G10:AO10,"ATM/ATA")+COUNTIF('05-26'!G10:AO10,"ATM")+COUNTIF('05-26'!G10:AO10,"ATA")+COUNTIF('06-26'!G10:AO10,"ATM/ATA")+COUNTIF('06-26'!G10:AO10,"ATM")+COUNTIF('06-26'!G10:AO10,"ATA")+COUNTIF('07-26'!G10:AO10,"ATM/ATA")+COUNTIF('07-26'!G10:AO10,"ATM")+COUNTIF('07-26'!G10:AO10,"ATA")+COUNTIF('08-26'!G10:AO10,"ATM/ATA")+COUNTIF('08-26'!G10:AO10,"ATM")+COUNTIF('08-26'!G10:AO10,"ATA")+COUNTIF('09-26'!G10:AO10,"ATM/ATA")+COUNTIF('09-26'!G10:AO10,"ATM")+COUNTIF('09-26'!G10:AO10,"ATA")+COUNTIF('10-26'!G10:AO10,"ATM/ATA")+COUNTIF('10-26'!G10:AO10,"ATM")+COUNTIF('10-26'!G10:AO10,"ATA")+COUNTIF('11-26'!G10:AO10,"ATM/ATA")+COUNTIF('11-26'!G10:AO10,"ATM")+COUNTIF('11-26'!G10:AO10,"ATA")+COUNTIF('12-26'!G10:AO10,"ATM/ATA")+COUNTIF('12-26'!G10:AO10,"ATM")+COUNTIF('12-26'!G10:AO10,"ATA")</f>
        <v>5</v>
      </c>
      <c r="V8" s="3">
        <f>COUNTIF('01-26'!G10:AO10,"ASA")+COUNTIF('02-26'!G10:AO10,"ASA")+COUNTIF('03-26'!G10:AO10,"ASA")+COUNTIF('04-26'!G10:AO10,"ASA")+COUNTIF('05-26'!G10:AO10,"ASA")+COUNTIF('06-26'!G10:AO10,"ASA")+COUNTIF('07-26'!G10:AO10,"ASA")+COUNTIF('08-26'!G10:AO10,"ASA")+COUNTIF('09-26'!G10:AO10,"ASA")+COUNTIF('10-26'!G10:AO10,"ASA")+COUNTIF('11-26'!G10:AO10,"ASA")+COUNTIF('12-26'!G10:AO10,"ASA")</f>
        <v>0</v>
      </c>
      <c r="W8" s="3">
        <f>COUNTIF('01-26'!G10:AO10,"FORM")+COUNTIF('02-26'!G10:AO10,"FORM")+COUNTIF('03-26'!G10:AO10,"FORM")+COUNTIF('04-26'!G10:AO10,"FORM")+COUNTIF('05-26'!G10:AO10,"FORM")+COUNTIF('06-26'!G10:AO10,"FORM")+COUNTIF('07-26'!G10:AO10,"FORM")+COUNTIF('08-26'!G10:AO10,"FORM")+COUNTIF('09-26'!G10:AO10,"FORM")+COUNTIF('10-26'!G10:AO10,"FORM")+COUNTIF('11-26'!G10:AO10,"FORM")+COUNTIF('12-26'!G10:AO10,"FORM")</f>
        <v>0</v>
      </c>
      <c r="X8" s="3">
        <f>COUNTIF('01-26'!G10:AO10,"RPM")+COUNTIF('01-26'!G10:AO10,"JPS")+COUNTIF('02-26'!G10:AO10,"RPM")+COUNTIF('02-26'!G10:AO10,"JPS")+COUNTIF('03-26'!G10:AO10,"RPM")+COUNTIF('03-26'!G10:AO10,"JPS")+COUNTIF('04-26'!G10:AO10,"RPM")+COUNTIF('04-26'!G10:AO10,"JPS")+COUNTIF('05-26'!G10:AO10,"RPM")+COUNTIF('05-26'!G10:AO10,"JPS")+COUNTIF('06-26'!G10:AO10,"RPM")+COUNTIF('06-26'!G10:AO10,"JPS")+COUNTIF('07-26'!G10:AO10,"RPM")+COUNTIF('07-26'!G10:AO10,"JPS")+COUNTIF('08-26'!G10:AO10,"RPM")+COUNTIF('08-26'!G10:AO10,"JPS")+COUNTIF('09-26'!G10:AO10,"RPM")+COUNTIF('09-26'!G10:AO10,"JPS")+COUNTIF('10-26'!G10:AO10,"RPM")+COUNTIF('10-26'!G10:AO10,"JPS")+COUNTIF('11-26'!G10:AO10,"RPM")+COUNTIF('11-26'!G10:AO10,"JPS")+COUNTIF('12-26'!G10:AO10,"RPM")+COUNTIF('12-26'!G10:AO10,"JPS")</f>
        <v>0</v>
      </c>
      <c r="Y8" s="393">
        <f t="shared" ref="Y8:Y28" si="1">SUM(R8:X8)</f>
        <v>115</v>
      </c>
      <c r="AB8" t="s">
        <v>30</v>
      </c>
      <c r="AC8" t="s">
        <v>31</v>
      </c>
      <c r="AD8">
        <v>11</v>
      </c>
    </row>
    <row r="9" spans="1:30" ht="19.5" customHeight="1">
      <c r="A9" s="390"/>
      <c r="B9" s="2" t="s">
        <v>24</v>
      </c>
      <c r="C9" s="5">
        <f ca="1">IF($E$4="TOUS",COUNTIF('01-26'!G10:AO10,"CSE")+COUNTIF('01-26'!G9:AO9,"CSE")+COUNTIF('01-26'!G8:AO8,"CSE")+COUNTIF('01-26'!G11:AO11,"CSE")+COUNTIF('01-26'!G12:AO12,"CSE")+COUNTIF('01-26'!G13:AO13,"CSE")+COUNTIF('01-26'!F14:AO14,"CSE")+COUNTIF('01-26'!G15:AO15,"CSE")+COUNTIF('01-26'!F16:AO16,"CSE")+COUNTIF('01-26'!F17:AO17,"CSE")+COUNTIF('01-26'!G18:AO18,"CSE")+COUNTIF('01-26'!G19:AO19,"CSE")+COUNTIF('01-26'!F20:AO20,"CSE")+COUNTIF('01-26'!F21:AO21,"CSE")+COUNTIF('01-26'!G22:AO22,"CSE")+COUNTIF('01-26'!G23:AO23,"CSE")+COUNTIF('01-26'!G24:AO24,"CSE")+COUNTIF('01-26'!G25:AO25,"CSE")+COUNTIF('01-26'!G26:AO26,"CSE")+COUNTIF('01-26'!G27:AO27,"CSE")+COUNTIF('01-26'!G28:AO28,"CSE")+COUNTIF('01-26'!G10:AO10,"CSE/RPX")+COUNTIF('01-26'!G9:AO9,"CSE/RPX")+COUNTIF('01-26'!G8:AO8,"CSE/RPX")+COUNTIF('01-26'!G11:AO11,"CSE/RPX")+COUNTIF('01-26'!G12:AO12,"CSE/RPX")+COUNTIF('01-26'!G13:AO13,"CSE/RPX")+COUNTIF('01-26'!F14:AO14,"CSE/RPX")+COUNTIF('01-26'!G15:AO15,"CSE/RPX")+COUNTIF('01-26'!F16:AO16,"CSE/RPX")+COUNTIF('01-26'!F17:AO17,"CSE/RPX")+COUNTIF('01-26'!G18:AO18,"CSE/RPX")+COUNTIF('01-26'!G19:AO19,"CSE/RPX")+COUNTIF('01-26'!F20:AO20,"CSE/RPX")+COUNTIF('01-26'!F21:AO21,"CSE/RPX")+COUNTIF('01-26'!G22:AO22,"CSE/RPX")+COUNTIF('01-26'!G23:AO23,"CSE/RPX")+COUNTIF('01-26'!G24:AO24,"CSE/RPX")+COUNTIF('01-26'!G25:AO25,"CSE/RPX")+COUNTIF('01-26'!G26:AO26,"CSE/RPX")+COUNTIF('01-26'!G27:AO27,"CSE/RPX")+COUNTIF('01-26'!G28:AO28,"CSE/RPX")+COUNTIF('01-26'!G10:AO10,"RPX")+COUNTIF('01-26'!G9:AO9,"RPX")+COUNTIF('01-26'!G8:AO8,"RPX")+COUNTIF('01-26'!G11:AO11,"RPX")+COUNTIF('01-26'!G12:AO12,"RPX")+COUNTIF('01-26'!G13:AO13,"RPX")+COUNTIF('01-26'!F14:AO14,"RPX")+COUNTIF('01-26'!G15:AO15,"RPX")+COUNTIF('01-26'!F16:AO16,"RPX")+COUNTIF('01-26'!F17:AO17,"RPX")+COUNTIF('01-26'!G18:AO18,"RPX")+COUNTIF('01-26'!G19:AO19,"RPX")+COUNTIF('01-26'!F20:AO20,"RPX")+COUNTIF('01-26'!F21:AO21,"RPX")+COUNTIF('01-26'!G22:AO22,"RPX")+COUNTIF('01-26'!G23:AO23,"RPX")+COUNTIF('01-26'!G24:AO24,"RPX")+COUNTIF('01-26'!G25:AO25,"RPX")+COUNTIF('01-26'!G26:AO26,"RPX")+COUNTIF('01-26'!G27:AO27,"RPX")+COUNTIF('01-26'!G28:AO28,"RPX"),COUNTIF(INDIRECT("'01-26'!G"&amp;VLOOKUP($E$4,$AC$5:$AD$25,2,FALSE())&amp;":AO"&amp;VLOOKUP($E$4,$AC$5:$AD$25,2,FALSE())),"CSE")+COUNTIF(INDIRECT("'01-26'!G"&amp;VLOOKUP($E$4,$AC$5:$AD$25,2,FALSE())&amp;":AO"&amp;VLOOKUP($E$4,$AC$5:$AD$25,2,FALSE())),"CSE/RPX")+COUNTIF(INDIRECT("'01-26'!G"&amp;VLOOKUP($E$4,$AC$5:$AD$25,2,FALSE())&amp;":AO"&amp;VLOOKUP($E$4,$AC$5:$AD$25,2,FALSE())),"RPX"))</f>
        <v>10</v>
      </c>
      <c r="D9" s="5">
        <f ca="1">IF($E$4="TOUS",COUNTIF('02-26'!G10:AO10,"CSE")+COUNTIF('02-26'!G9:AO9,"CSE")+COUNTIF('02-26'!G8:AO8,"CSE")+COUNTIF('02-26'!G11:AO11,"CSE")+COUNTIF('02-26'!F12:AO12,"CSE")+COUNTIF('02-26'!G13:AO13,"CSE")+COUNTIF('02-26'!G14:AO14,"CSE")+COUNTIF('02-26'!F15:AO15,"CSE")+COUNTIF('02-26'!G16:AO16,"CSE")+COUNTIF('02-26'!F17:AO17,"CSE")+COUNTIF('02-26'!G18:AO18,"CSE")+COUNTIF('02-26'!G19:AO19,"CSE")+COUNTIF('02-26'!F20:AO20,"CSE")+COUNTIF('02-26'!G21:AO21,"CSE")+COUNTIF('02-26'!G22:AO22,"CSE")+COUNTIF('02-26'!G23:AO23,"CSE")+COUNTIF('02-26'!G24:AO24,"CSE")+COUNTIF('02-26'!G25:AO25,"CSE")+COUNTIF('02-26'!G26:AO26,"CSE")+COUNTIF('02-26'!G27:AO27,"CSE")+COUNTIF('02-26'!G28:AO28,"CSE")+COUNTIF('02-26'!G10:AO10,"CSE/RPX")+COUNTIF('02-26'!G9:AO9,"CSE/RPX")+COUNTIF('02-26'!G8:AO8,"CSE/RPX")+COUNTIF('02-26'!G11:AO11,"CSE/RPX")+COUNTIF('02-26'!F12:AO12,"CSE/RPX")+COUNTIF('02-26'!G13:AO13,"CSE/RPX")+COUNTIF('02-26'!G14:AO14,"CSE/RPX")+COUNTIF('02-26'!F15:AO15,"CSE/RPX")+COUNTIF('02-26'!G16:AO16,"CSE/RPX")+COUNTIF('02-26'!F17:AO17,"CSE/RPX")+COUNTIF('02-26'!G18:AO18,"CSE/RPX")+COUNTIF('02-26'!G19:AO19,"CSE/RPX")+COUNTIF('02-26'!F20:AO20,"CSE/RPX")+COUNTIF('02-26'!G21:AO21,"CSE/RPX")+COUNTIF('02-26'!G22:AO22,"CSE/RPX")+COUNTIF('02-26'!G23:AO23,"CSE/RPX")+COUNTIF('02-26'!G24:AO24,"CSE/RPX")+COUNTIF('02-26'!G25:AO25,"CSE/RPX")+COUNTIF('02-26'!G26:AO26,"CSE/RPX")+COUNTIF('02-26'!G27:AO27,"CSE/RPX")+COUNTIF('02-26'!G28:AO28,"CSE/RPX")+COUNTIF('02-26'!G10:AO10,"RPX")+COUNTIF('02-26'!G9:AO9,"RPX")+COUNTIF('02-26'!G8:AO8,"RPX")+COUNTIF('02-26'!G11:AO11,"RPX")+COUNTIF('02-26'!F12:AO12,"RPX")+COUNTIF('02-26'!G13:AO13,"RPX")+COUNTIF('02-26'!G14:AO14,"RPX")+COUNTIF('02-26'!F15:AO15,"RPX")+COUNTIF('02-26'!G16:AO16,"RPX")+COUNTIF('02-26'!F17:AO17,"RPX")+COUNTIF('02-26'!G18:AO18,"RPX")+COUNTIF('02-26'!G19:AO19,"RPX")+COUNTIF('02-26'!F20:AO20,"RPX")+COUNTIF('02-26'!G21:AO21,"RPX")+COUNTIF('02-26'!G22:AO22,"RPX")+COUNTIF('02-26'!G23:AO23,"RPX")+COUNTIF('02-26'!G24:AO24,"RPX")+COUNTIF('02-26'!G25:AO25,"RPX")+COUNTIF('02-26'!G26:AO26,"RPX")+COUNTIF('02-26'!G27:AO27,"RPX")+COUNTIF('02-26'!G28:AO28,"RPX"),COUNTIF(INDIRECT("'02-26'!G"&amp;VLOOKUP($E$4,$AC$5:$AD$25,2,FALSE())&amp;":AO"&amp;VLOOKUP($E$4,$AC$5:$AD$25,2,FALSE())),"CSE")+COUNTIF(INDIRECT("'02-26'!G"&amp;VLOOKUP($E$4,$AC$5:$AD$25,2,FALSE())&amp;":AO"&amp;VLOOKUP($E$4,$AC$5:$AD$25,2,FALSE())),"CSE/RPX")+COUNTIF(INDIRECT("'02-26'!G"&amp;VLOOKUP($E$4,$AC$5:$AD$25,2,FALSE())&amp;":AO"&amp;VLOOKUP($E$4,$AC$5:$AD$25,2,FALSE())),"RPX"))</f>
        <v>5</v>
      </c>
      <c r="E9" s="5">
        <f ca="1">IF($E$4="TOUS",COUNTIF('03-26'!G10:AO10,"CSE")+COUNTIF('03-26'!G9:AO9,"CSE")+COUNTIF('03-26'!G8:AO8,"CSE")+COUNTIF('03-26'!G11:AO11,"CSE")+COUNTIF('03-26'!F12:AO12,"CSE")+COUNTIF('03-26'!G13:AO13,"CSE")+COUNTIF('03-26'!G14:AO14,"CSE")+COUNTIF('03-26'!F15:AO15,"CSE")+COUNTIF('03-26'!F16:AO16,"CSE")+COUNTIF('03-26'!F17:AO17,"CSE")+COUNTIF('03-26'!F18:AO18,"CSE")+COUNTIF('03-26'!G19:AO19,"CSE")+COUNTIF('03-26'!G20:AO20,"CSE")+COUNTIF('03-26'!G21:AO21,"CSE")+COUNTIF('03-26'!F22:AO22,"CSE")+COUNTIF('03-26'!G23:AO23,"CSE")+COUNTIF('03-26'!G24:AO24,"CSE")+COUNTIF('03-26'!G25:AO25,"CSE")+COUNTIF('03-26'!G26:AO26,"CSE")+COUNTIF('03-26'!G27:AO27,"CSE")+COUNTIF('03-26'!G28:AO28,"CSE")+COUNTIF('03-26'!G10:AO10,"CSE/RPX")+COUNTIF('03-26'!G9:AO9,"CSE/RPX")+COUNTIF('03-26'!G8:AO8,"CSE/RPX")+COUNTIF('03-26'!G11:AO11,"CSE/RPX")+COUNTIF('03-26'!F12:AO12,"CSE/RPX")+COUNTIF('03-26'!G13:AO13,"CSE/RPX")+COUNTIF('03-26'!G14:AO14,"CSE/RPX")+COUNTIF('03-26'!F15:AO15,"CSE/RPX")+COUNTIF('03-26'!F16:AO16,"CSE/RPX")+COUNTIF('03-26'!F17:AO17,"CSE/RPX")+COUNTIF('03-26'!F18:AO18,"CSE/RPX")+COUNTIF('03-26'!G19:AO19,"CSE/RPX")+COUNTIF('03-26'!G20:AO20,"CSE/RPX")+COUNTIF('03-26'!G21:AO21,"CSE/RPX")+COUNTIF('03-26'!F22:AO22,"CSE/RPX")+COUNTIF('03-26'!G23:AO23,"CSE/RPX")+COUNTIF('03-26'!G24:AO24,"CSE/RPX")+COUNTIF('03-26'!G25:AO25,"CSE/RPX")+COUNTIF('03-26'!G26:AO26,"CSE/RPX")+COUNTIF('03-26'!G27:AO27,"CSE/RPX")+COUNTIF('03-26'!G28:AO28,"CSE/RPX")+COUNTIF('03-26'!G10:AO10,"RPX")+COUNTIF('03-26'!G9:AO9,"RPX")+COUNTIF('03-26'!G8:AO8,"RPX")+COUNTIF('03-26'!G11:AO11,"RPX")+COUNTIF('03-26'!F12:AO12,"RPX")+COUNTIF('03-26'!G13:AO13,"RPX")+COUNTIF('03-26'!G14:AO14,"RPX")+COUNTIF('03-26'!F15:AO15,"RPX")+COUNTIF('03-26'!F16:AO16,"RPX")+COUNTIF('03-26'!F17:AO17,"RPX")+COUNTIF('03-26'!F18:AO18,"RPX")+COUNTIF('03-26'!G19:AO19,"RPX")+COUNTIF('03-26'!G20:AO20,"RPX")+COUNTIF('03-26'!G21:AO21,"RPX")+COUNTIF('03-26'!F22:AO22,"RPX")+COUNTIF('03-26'!G23:AO23,"RPX")+COUNTIF('03-26'!G24:AO24,"RPX")+COUNTIF('03-26'!G25:AO25,"RPX")+COUNTIF('03-26'!G26:AO26,"RPX")+COUNTIF('03-26'!G27:AO27,"RPX")+COUNTIF('03-26'!G28:AO28,"RPX"),COUNTIF(INDIRECT("'03-26'!G"&amp;VLOOKUP($E$4,$AC$5:$AD$25,2,FALSE())&amp;":AO"&amp;VLOOKUP($E$4,$AC$5:$AD$25,2,FALSE())),"CSE")+COUNTIF(INDIRECT("'03-26'!G"&amp;VLOOKUP($E$4,$AC$5:$AD$25,2,FALSE())&amp;":AO"&amp;VLOOKUP($E$4,$AC$5:$AD$25,2,FALSE())),"CSE/RPX")+COUNTIF(INDIRECT("'03-26'!G"&amp;VLOOKUP($E$4,$AC$5:$AD$25,2,FALSE())&amp;":AO"&amp;VLOOKUP($E$4,$AC$5:$AD$25,2,FALSE())),"RPX"))</f>
        <v>3</v>
      </c>
      <c r="F9" s="5">
        <f ca="1">IF($E$4="TOUS",COUNTIF('04-26'!G10:AO10,"CSE")+COUNTIF('04-26'!G9:AO9,"CSE")+COUNTIF('04-26'!G8:AO8,"CSE")+COUNTIF('04-26'!G11:AO11,"CSE")+COUNTIF('04-26'!F12:AO12,"CSE")+COUNTIF('04-26'!G13:AO13,"CSE")+COUNTIF('04-26'!F14:AO14,"CSE")+COUNTIF('04-26'!G15:AO15,"CSE")+COUNTIF('04-26'!G16:AO16,"CSE")+COUNTIF('04-26'!G17:AO17,"CSE")+COUNTIF('04-26'!G18:AO18,"CSE")+COUNTIF('04-26'!G19:AO19,"CSE")+COUNTIF('04-26'!G20:AO20,"CSE")+COUNTIF('04-26'!G21:AO21,"CSE")+COUNTIF('04-26'!G22:AO22,"CSE")+COUNTIF('04-26'!G23:AO23,"CSE")+COUNTIF('04-26'!G24:AO24,"CSE")+COUNTIF('04-26'!G25:AO25,"CSE")+COUNTIF('04-26'!G26:AO26,"CSE")+COUNTIF('04-26'!G27:AO27,"CSE")+COUNTIF('04-26'!G28:AO28,"CSE")+COUNTIF('04-26'!G10:AO10,"CSE/RPX")+COUNTIF('04-26'!G9:AO9,"CSE/RPX")+COUNTIF('04-26'!G8:AO8,"CSE/RPX")+COUNTIF('04-26'!G11:AO11,"CSE/RPX")+COUNTIF('04-26'!F12:AO12,"CSE/RPX")+COUNTIF('04-26'!G13:AO13,"CSE/RPX")+COUNTIF('04-26'!F14:AO14,"CSE/RPX")+COUNTIF('04-26'!G15:AO15,"CSE/RPX")+COUNTIF('04-26'!G16:AO16,"CSE/RPX")+COUNTIF('04-26'!G17:AO17,"CSE/RPX")+COUNTIF('04-26'!G18:AO18,"CSE/RPX")+COUNTIF('04-26'!G19:AO19,"CSE/RPX")+COUNTIF('04-26'!G20:AO20,"CSE/RPX")+COUNTIF('04-26'!G21:AO21,"CSE/RPX")+COUNTIF('04-26'!G22:AO22,"CSE/RPX")+COUNTIF('04-26'!G23:AO23,"CSE/RPX")+COUNTIF('04-26'!G24:AO24,"CSE/RPX")+COUNTIF('04-26'!G25:AO25,"CSE/RPX")+COUNTIF('04-26'!G26:AO26,"CSE/RPX")+COUNTIF('04-26'!G27:AO27,"CSE/RPX")+COUNTIF('04-26'!G28:AO28,"CSE/RPX")+COUNTIF('04-26'!G10:AO10,"RPX")+COUNTIF('04-26'!G9:AO9,"RPX")+COUNTIF('04-26'!G8:AO8,"RPX")+COUNTIF('04-26'!G11:AO11,"RPX")+COUNTIF('04-26'!F12:AO12,"RPX")+COUNTIF('04-26'!G13:AO13,"RPX")+COUNTIF('04-26'!F14:AO14,"RPX")+COUNTIF('04-26'!G15:AO15,"RPX")+COUNTIF('04-26'!G16:AO16,"RPX")+COUNTIF('04-26'!G17:AO17,"RPX")+COUNTIF('04-26'!G18:AO18,"RPX")+COUNTIF('04-26'!G19:AO19,"RPX")+COUNTIF('04-26'!G20:AO20,"RPX")+COUNTIF('04-26'!G21:AO21,"RPX")+COUNTIF('04-26'!G22:AO22,"RPX")+COUNTIF('04-26'!G23:AO23,"RPX")+COUNTIF('04-26'!G24:AO24,"RPX")+COUNTIF('04-26'!G25:AO25,"RPX")+COUNTIF('04-26'!G26:AO26,"RPX")+COUNTIF('04-26'!G27:AO27,"RPX")+COUNTIF('04-26'!G28:AO28,"RPX"),COUNTIF(INDIRECT("'04-26'!G"&amp;VLOOKUP($E$4,$AC$5:$AD$25,2,FALSE())&amp;":AO"&amp;VLOOKUP($E$4,$AC$5:$AD$25,2,FALSE())),"CSE")+COUNTIF(INDIRECT("'04-26'!G"&amp;VLOOKUP($E$4,$AC$5:$AD$25,2,FALSE())&amp;":AO"&amp;VLOOKUP($E$4,$AC$5:$AD$25,2,FALSE())),"CSE/RPX")+COUNTIF(INDIRECT("'04-26'!G"&amp;VLOOKUP($E$4,$AC$5:$AD$25,2,FALSE())&amp;":AO"&amp;VLOOKUP($E$4,$AC$5:$AD$25,2,FALSE())),"RPX"))</f>
        <v>8</v>
      </c>
      <c r="G9" s="5">
        <f ca="1">IF($E$4="TOUS",COUNTIF('05-26'!G10:AO10,"CSE")+COUNTIF('05-26'!G9:AO9,"CSE")+COUNTIF('05-26'!G8:AO8,"CSE")+COUNTIF('05-26'!G11:AO11,"CSE")+COUNTIF('05-26'!F12:AO12,"CSE")+COUNTIF('05-26'!G13:AO13,"CSE")+COUNTIF('05-26'!F14:AO14,"CSE")+COUNTIF('05-26'!F15:AO15,"CSE")+COUNTIF('05-26'!G16:AO16,"CSE")+COUNTIF('05-26'!F17:AO17,"CSE")+COUNTIF('05-26'!G18:AO18,"CSE")+COUNTIF('05-26'!G19:AO19,"CSE")+COUNTIF('05-26'!G20:AO20,"CSE")+COUNTIF('05-26'!F21:AO21,"CSE")+COUNTIF('05-26'!F22:AO22,"CSE")+COUNTIF('05-26'!G23:AO23,"CSE")+COUNTIF('05-26'!G24:AO24,"CSE")+COUNTIF('05-26'!G25:AO25,"CSE")+COUNTIF('05-26'!G26:AO26,"CSE")+COUNTIF('05-26'!G27:AO27,"CSE")+COUNTIF('05-26'!G28:AO28,"CSE")+COUNTIF('05-26'!G10:AO10,"CSE/RPX")+COUNTIF('05-26'!G9:AO9,"CSE/RPX")+COUNTIF('05-26'!G8:AO8,"CSE/RPX")+COUNTIF('05-26'!G11:AO11,"CSE/RPX")+COUNTIF('05-26'!F12:AO12,"CSE/RPX")+COUNTIF('05-26'!G13:AO13,"CSE/RPX")+COUNTIF('05-26'!F14:AO14,"CSE/RPX")+COUNTIF('05-26'!F15:AO15,"CSE/RPX")+COUNTIF('05-26'!G16:AO16,"CSE/RPX")+COUNTIF('05-26'!F17:AO17,"CSE/RPX")+COUNTIF('05-26'!G18:AO18,"CSE/RPX")+COUNTIF('05-26'!G19:AO19,"CSE/RPX")+COUNTIF('05-26'!G20:AO20,"CSE/RPX")+COUNTIF('05-26'!F21:AO21,"CSE/RPX")+COUNTIF('05-26'!F22:AO22,"CSE/RPX")+COUNTIF('05-26'!G23:AO23,"CSE/RPX")+COUNTIF('05-26'!G24:AO24,"CSE/RPX")+COUNTIF('05-26'!G25:AO25,"CSE/RPX")+COUNTIF('05-26'!G26:AO26,"CSE/RPX")+COUNTIF('05-26'!G27:AO27,"CSE/RPX")+COUNTIF('05-26'!G28:AO28,"CSE/RPX")+COUNTIF('05-26'!G10:AO10,"RPX")+COUNTIF('05-26'!G9:AO9,"RPX")+COUNTIF('05-26'!G8:AO8,"RPX")+COUNTIF('05-26'!G11:AO11,"RPX")+COUNTIF('05-26'!F12:AO12,"RPX")+COUNTIF('05-26'!G13:AO13,"RPX")+COUNTIF('05-26'!F14:AO14,"RPX")+COUNTIF('05-26'!F15:AO15,"RPX")+COUNTIF('05-26'!G16:AO16,"RPX")+COUNTIF('05-26'!F17:AO17,"RPX")+COUNTIF('05-26'!G18:AO18,"RPX")+COUNTIF('05-26'!G19:AO19,"RPX")+COUNTIF('05-26'!G20:AO20,"RPX")+COUNTIF('05-26'!F21:AO21,"RPX")+COUNTIF('05-26'!F22:AO22,"RPX")+COUNTIF('05-26'!G23:AO23,"RPX")+COUNTIF('05-26'!G24:AO24,"RPX")+COUNTIF('05-26'!G25:AO25,"RPX")+COUNTIF('05-26'!G26:AO26,"RPX")+COUNTIF('05-26'!G27:AO27,"RPX")+COUNTIF('05-26'!G28:AO28,"RPX"),COUNTIF(INDIRECT("'05-26'!G"&amp;VLOOKUP($E$4,$AC$5:$AD$25,2,FALSE())&amp;":AO"&amp;VLOOKUP($E$4,$AC$5:$AD$25,2,FALSE())),"CSE")+COUNTIF(INDIRECT("'05-26'!G"&amp;VLOOKUP($E$4,$AC$5:$AD$25,2,FALSE())&amp;":AO"&amp;VLOOKUP($E$4,$AC$5:$AD$25,2,FALSE())),"CSE/RPX")+COUNTIF(INDIRECT("'05-26'!G"&amp;VLOOKUP($E$4,$AC$5:$AD$25,2,FALSE())&amp;":AO"&amp;VLOOKUP($E$4,$AC$5:$AD$25,2,FALSE())),"RPX"))</f>
        <v>2</v>
      </c>
      <c r="H9" s="5">
        <f ca="1">IF($E$4="TOUS",COUNTIF('06-26'!G10:AO10,"CSE")+COUNTIF('06-26'!G9:AO9,"CSE")+COUNTIF('06-26'!G8:AO8,"CSE")+COUNTIF('06-26'!G11:AO11,"CSE")+COUNTIF('06-26'!F12:AO12,"CSE")+COUNTIF('06-26'!G13:AO13,"CSE")+COUNTIF('06-26'!F14:AO14,"CSE")+COUNTIF('06-26'!F15:AO15,"CSE")+COUNTIF('06-26'!F16:AO16,"CSE")+COUNTIF('06-26'!F17:AO17,"CSE")+COUNTIF('06-26'!G18:AO18,"CSE")+COUNTIF('06-26'!G19:AO19,"CSE")+COUNTIF('06-26'!G20:AO20,"CSE")+COUNTIF('06-26'!F21:AO21,"CSE")+COUNTIF('06-26'!F22:AO22,"CSE")+COUNTIF('06-26'!G23:AO23,"CSE")+COUNTIF('06-26'!G24:AO24,"CSE")+COUNTIF('06-26'!G25:AO25,"CSE")+COUNTIF('06-26'!G26:AO26,"CSE")+COUNTIF('06-26'!G27:AO27,"CSE")+COUNTIF('06-26'!G28:AO28,"CSE")+COUNTIF('06-26'!G10:AO10,"CSE/RPX")+COUNTIF('06-26'!G9:AO9,"CSE/RPX")+COUNTIF('06-26'!G8:AO8,"CSE/RPX")+COUNTIF('06-26'!G11:AO11,"CSE/RPX")+COUNTIF('06-26'!F12:AO12,"CSE/RPX")+COUNTIF('06-26'!G13:AO13,"CSE/RPX")+COUNTIF('06-26'!F14:AO14,"CSE/RPX")+COUNTIF('06-26'!F15:AO15,"CSE/RPX")+COUNTIF('06-26'!F16:AO16,"CSE/RPX")+COUNTIF('06-26'!F17:AO17,"CSE/RPX")+COUNTIF('06-26'!G18:AO18,"CSE/RPX")+COUNTIF('06-26'!G19:AO19,"CSE/RPX")+COUNTIF('06-26'!G20:AO20,"CSE/RPX")+COUNTIF('06-26'!F21:AO21,"CSE/RPX")+COUNTIF('06-26'!F22:AO22,"CSE/RPX")+COUNTIF('06-26'!G23:AO23,"CSE/RPX")+COUNTIF('06-26'!G24:AO24,"CSE/RPX")+COUNTIF('06-26'!G25:AO25,"CSE/RPX")+COUNTIF('06-26'!G26:AO26,"CSE/RPX")+COUNTIF('06-26'!G27:AO27,"CSE/RPX")+COUNTIF('06-26'!G28:AO28,"CSE/RPX")+COUNTIF('06-26'!G10:AO10,"RPX")+COUNTIF('06-26'!G9:AO9,"RPX")+COUNTIF('06-26'!G8:AO8,"RPX")+COUNTIF('06-26'!G11:AO11,"RPX")+COUNTIF('06-26'!F12:AO12,"RPX")+COUNTIF('06-26'!G13:AO13,"RPX")+COUNTIF('06-26'!F14:AO14,"RPX")+COUNTIF('06-26'!F15:AO15,"RPX")+COUNTIF('06-26'!F16:AO16,"RPX")+COUNTIF('06-26'!F17:AO17,"RPX")+COUNTIF('06-26'!G18:AO18,"RPX")+COUNTIF('06-26'!G19:AO19,"RPX")+COUNTIF('06-26'!G20:AO20,"RPX")+COUNTIF('06-26'!F21:AO21,"RPX")+COUNTIF('06-26'!F22:AO22,"RPX")+COUNTIF('06-26'!G23:AO23,"RPX")+COUNTIF('06-26'!G24:AO24,"RPX")+COUNTIF('06-26'!G25:AO25,"RPX")+COUNTIF('06-26'!G26:AO26,"RPX")+COUNTIF('06-26'!G27:AO27,"RPX")+COUNTIF('06-26'!G28:AO28,"RPX"),COUNTIF(INDIRECT("'06-26'!G"&amp;VLOOKUP($E$4,$AC$5:$AD$25,2,FALSE())&amp;":AO"&amp;VLOOKUP($E$4,$AC$5:$AD$25,2,FALSE())),"CSE")+COUNTIF(INDIRECT("'06-26'!G"&amp;VLOOKUP($E$4,$AC$5:$AD$25,2,FALSE())&amp;":AO"&amp;VLOOKUP($E$4,$AC$5:$AD$25,2,FALSE())),"CSE/RPX")+COUNTIF(INDIRECT("'06-26'!G"&amp;VLOOKUP($E$4,$AC$5:$AD$25,2,FALSE())&amp;":AO"&amp;VLOOKUP($E$4,$AC$5:$AD$25,2,FALSE())),"RPX"))</f>
        <v>1</v>
      </c>
      <c r="I9" s="5">
        <f ca="1">IF($E$4="TOUS",COUNTIF('07-26'!G10:AO10,"CSE")+COUNTIF('07-26'!G9:AO9,"CSE")+COUNTIF('07-26'!G8:AO8,"CSE")+COUNTIF('07-26'!F11:AO11,"CSE")+COUNTIF('07-26'!G12:AO12,"CSE")+COUNTIF('07-26'!G13:AO13,"CSE")+COUNTIF('07-26'!F14:AO14,"CSE")+COUNTIF('07-26'!F15:AO15,"CSE")+COUNTIF('07-26'!G16:AO16,"CSE")+COUNTIF('07-26'!G17:AO17,"CSE")+COUNTIF('07-26'!G18:AO18,"CSE")+COUNTIF('07-26'!G19:AO19,"CSE")+COUNTIF('07-26'!F20:AO20,"CSE")+COUNTIF('07-26'!F21:AO21,"CSE")+COUNTIF('07-26'!F22:AO22,"CSE")+COUNTIF('07-26'!G23:AO23,"CSE")+COUNTIF('07-26'!G24:AO24,"CSE")+COUNTIF('07-26'!G25:AO25,"CSE")+COUNTIF('07-26'!G26:AO26,"CSE")+COUNTIF('07-26'!G27:AO27,"CSE")+COUNTIF('07-26'!G28:AO28,"CSE")+COUNTIF('07-26'!G10:AO10,"CSE/RPX")+COUNTIF('07-26'!G9:AO9,"CSE/RPX")+COUNTIF('07-26'!G8:AO8,"CSE/RPX")+COUNTIF('07-26'!F11:AO11,"CSE/RPX")+COUNTIF('07-26'!G12:AO12,"CSE/RPX")+COUNTIF('07-26'!G13:AO13,"CSE/RPX")+COUNTIF('07-26'!F14:AO14,"CSE/RPX")+COUNTIF('07-26'!F15:AO15,"CSE/RPX")+COUNTIF('07-26'!G16:AO16,"CSE/RPX")+COUNTIF('07-26'!G17:AO17,"CSE/RPX")+COUNTIF('07-26'!G18:AO18,"CSE/RPX")+COUNTIF('07-26'!G19:AO19,"CSE/RPX")+COUNTIF('07-26'!F20:AO20,"CSE/RPX")+COUNTIF('07-26'!F21:AO21,"CSE/RPX")+COUNTIF('07-26'!F22:AO22,"CSE/RPX")+COUNTIF('07-26'!G23:AO23,"CSE/RPX")+COUNTIF('07-26'!G24:AO24,"CSE/RPX")+COUNTIF('07-26'!G25:AO25,"CSE/RPX")+COUNTIF('07-26'!G26:AO26,"CSE/RPX")+COUNTIF('07-26'!G27:AO27,"CSE/RPX")+COUNTIF('07-26'!G28:AO28,"CSE/RPX")+COUNTIF('07-26'!G10:AO10,"RPX")+COUNTIF('07-26'!G9:AO9,"RPX")+COUNTIF('07-26'!G8:AO8,"RPX")+COUNTIF('07-26'!F11:AO11,"RPX")+COUNTIF('07-26'!G12:AO12,"RPX")+COUNTIF('07-26'!G13:AO13,"RPX")+COUNTIF('07-26'!F14:AO14,"RPX")+COUNTIF('07-26'!F15:AO15,"RPX")+COUNTIF('07-26'!G16:AO16,"RPX")+COUNTIF('07-26'!G17:AO17,"RPX")+COUNTIF('07-26'!G18:AO18,"RPX")+COUNTIF('07-26'!G19:AO19,"RPX")+COUNTIF('07-26'!F20:AO20,"RPX")+COUNTIF('07-26'!F21:AO21,"RPX")+COUNTIF('07-26'!F22:AO22,"RPX")+COUNTIF('07-26'!G23:AO23,"RPX")+COUNTIF('07-26'!G24:AO24,"RPX")+COUNTIF('07-26'!G25:AO25,"RPX")+COUNTIF('07-26'!G26:AO26,"RPX")+COUNTIF('07-26'!G27:AO27,"RPX")+COUNTIF('07-26'!G28:AO28,"RPX"),COUNTIF(INDIRECT("'07-26'!G"&amp;VLOOKUP($E$4,$AC$5:$AD$25,2,FALSE())&amp;":AO"&amp;VLOOKUP($E$4,$AC$5:$AD$25,2,FALSE())),"CSE")+COUNTIF(INDIRECT("'07-26'!G"&amp;VLOOKUP($E$4,$AC$5:$AD$25,2,FALSE())&amp;":AO"&amp;VLOOKUP($E$4,$AC$5:$AD$25,2,FALSE())),"CSE/RPX")+COUNTIF(INDIRECT("'07-26'!G"&amp;VLOOKUP($E$4,$AC$5:$AD$25,2,FALSE())&amp;":AO"&amp;VLOOKUP($E$4,$AC$5:$AD$25,2,FALSE())),"RPX"))</f>
        <v>3</v>
      </c>
      <c r="J9" s="5">
        <f ca="1">IF($E$4="TOUS",COUNTIF('08-26'!G10:AO10,"CSE")+COUNTIF('08-26'!G9:AO9,"CSE")+COUNTIF('08-26'!G8:AO8,"CSE")+COUNTIF('08-26'!F11:AO11,"CSE")+COUNTIF('08-26'!F12:AO12,"CSE")+COUNTIF('08-26'!F13:AO13,"CSE")+COUNTIF('08-26'!F14:AO14,"CSE")+COUNTIF('08-26'!F15:AO15,"CSE")+COUNTIF('08-26'!G16:AO16,"CSE")+COUNTIF('08-26'!F17:AO17,"CSE")+COUNTIF('08-26'!G18:AO18,"CSE")+COUNTIF('08-26'!F19:AO19,"CSE")+COUNTIF('08-26'!F20:AO20,"CSE")+COUNTIF('08-26'!G21:AO21,"CSE")+COUNTIF('08-26'!F22:AO22,"CSE")+COUNTIF('08-26'!G23:AO23,"CSE")+COUNTIF('08-26'!G24:AO24,"CSE")+COUNTIF('08-26'!G25:AO25,"CSE")+COUNTIF('08-26'!G26:AO26,"CSE")+COUNTIF('08-26'!G27:AO27,"CSE")+COUNTIF('08-26'!G28:AO28,"CSE")+COUNTIF('08-26'!G10:AO10,"CSE/RPX")+COUNTIF('08-26'!G9:AO9,"CSE/RPX")+COUNTIF('08-26'!G8:AO8,"CSE/RPX")+COUNTIF('08-26'!F11:AO11,"CSE/RPX")+COUNTIF('08-26'!F12:AO12,"CSE/RPX")+COUNTIF('08-26'!F13:AO13,"CSE/RPX")+COUNTIF('08-26'!F14:AO14,"CSE/RPX")+COUNTIF('08-26'!F15:AO15,"CSE/RPX")+COUNTIF('08-26'!G16:AO16,"CSE/RPX")+COUNTIF('08-26'!F17:AO17,"CSE/RPX")+COUNTIF('08-26'!G18:AO18,"CSE/RPX")+COUNTIF('08-26'!F19:AO19,"CSE/RPX")+COUNTIF('08-26'!F20:AO20,"CSE/RPX")+COUNTIF('08-26'!G21:AO21,"CSE/RPX")+COUNTIF('08-26'!F22:AO22,"CSE/RPX")+COUNTIF('08-26'!G23:AO23,"CSE/RPX")+COUNTIF('08-26'!G24:AO24,"CSE/RPX")+COUNTIF('08-26'!G25:AO25,"CSE/RPX")+COUNTIF('08-26'!G26:AO26,"CSE/RPX")+COUNTIF('08-26'!G27:AO27,"CSE/RPX")+COUNTIF('08-26'!G28:AO28,"CSE/RPX")+COUNTIF('08-26'!G10:AO10,"RPX")+COUNTIF('08-26'!G9:AO9,"RPX")+COUNTIF('08-26'!G8:AO8,"RPX")+COUNTIF('08-26'!F11:AO11,"RPX")+COUNTIF('08-26'!F12:AO12,"RPX")+COUNTIF('08-26'!F13:AO13,"RPX")+COUNTIF('08-26'!F14:AO14,"RPX")+COUNTIF('08-26'!F15:AO15,"RPX")+COUNTIF('08-26'!G16:AO16,"RPX")+COUNTIF('08-26'!F17:AO17,"RPX")+COUNTIF('08-26'!G18:AO18,"RPX")+COUNTIF('08-26'!F19:AO19,"RPX")+COUNTIF('08-26'!F20:AO20,"RPX")+COUNTIF('08-26'!G21:AO21,"RPX")+COUNTIF('08-26'!F22:AO22,"RPX")+COUNTIF('08-26'!G23:AO23,"RPX")+COUNTIF('08-26'!G24:AO24,"RPX")+COUNTIF('08-26'!G25:AO25,"RPX")+COUNTIF('08-26'!G26:AO26,"RPX")+COUNTIF('08-26'!G27:AO27,"RPX")+COUNTIF('08-26'!G28:AO28,"RPX"),COUNTIF(INDIRECT("'08-26'!G"&amp;VLOOKUP($E$4,$AC$5:$AD$25,2,FALSE())&amp;":AO"&amp;VLOOKUP($E$4,$AC$5:$AD$25,2,FALSE())),"CSE")+COUNTIF(INDIRECT("'08-26'!G"&amp;VLOOKUP($E$4,$AC$5:$AD$25,2,FALSE())&amp;":AO"&amp;VLOOKUP($E$4,$AC$5:$AD$25,2,FALSE())),"CSE/RPX")+COUNTIF(INDIRECT("'08-26'!G"&amp;VLOOKUP($E$4,$AC$5:$AD$25,2,FALSE())&amp;":AO"&amp;VLOOKUP($E$4,$AC$5:$AD$25,2,FALSE())),"RPX"))</f>
        <v>0</v>
      </c>
      <c r="K9" s="5">
        <f ca="1">IF($E$4="TOUS",COUNTIF('09-26'!G10:AO10,"CSE")+COUNTIF('09-26'!G9:AO9,"CSE")+COUNTIF('09-26'!G8:AO8,"CSE")+COUNTIF('09-26'!F11:AO11,"CSE")+COUNTIF('09-26'!F12:AO12,"CSE")+COUNTIF('09-26'!G13:AO13,"CSE")+COUNTIF('09-26'!G14:AO14,"CSE")+COUNTIF('09-26'!F15:AO15,"CSE")+COUNTIF('09-26'!F16:AO16,"CSE")+COUNTIF('09-26'!F17:AO17,"CSE")+COUNTIF('09-26'!F18:AO18,"CSE")+COUNTIF('09-26'!G19:AO19,"CSE")+COUNTIF('09-26'!G20:AO20,"CSE")+COUNTIF('09-26'!F21:AO21,"CSE")+COUNTIF('09-26'!G22:AO22,"CSE")+COUNTIF('09-26'!G23:AO23,"CSE")+COUNTIF('09-26'!G24:AO24,"CSE")+COUNTIF('09-26'!G25:AO25,"CSE")+COUNTIF('09-26'!G26:AO26,"CSE")+COUNTIF('09-26'!G27:AO27,"CSE")+COUNTIF('09-26'!G28:AO28,"CSE")+COUNTIF('09-26'!G10:AO10,"CSE/RPX")+COUNTIF('09-26'!G9:AO9,"CSE/RPX")+COUNTIF('09-26'!G8:AO8,"CSE/RPX")+COUNTIF('09-26'!F11:AO11,"CSE/RPX")+COUNTIF('09-26'!F12:AO12,"CSE/RPX")+COUNTIF('09-26'!G13:AO13,"CSE/RPX")+COUNTIF('09-26'!G14:AO14,"CSE/RPX")+COUNTIF('09-26'!F15:AO15,"CSE/RPX")+COUNTIF('09-26'!F16:AO16,"CSE/RPX")+COUNTIF('09-26'!F17:AO17,"CSE/RPX")+COUNTIF('09-26'!F18:AO18,"CSE/RPX")+COUNTIF('09-26'!G19:AO19,"CSE/RPX")+COUNTIF('09-26'!G20:AO20,"CSE/RPX")+COUNTIF('09-26'!F21:AO21,"CSE/RPX")+COUNTIF('09-26'!G22:AO22,"CSE/RPX")+COUNTIF('09-26'!G23:AO23,"CSE/RPX")+COUNTIF('09-26'!G24:AO24,"CSE/RPX")+COUNTIF('09-26'!G25:AO25,"CSE/RPX")+COUNTIF('09-26'!G26:AO26,"CSE/RPX")+COUNTIF('09-26'!G27:AO27,"CSE/RPX")+COUNTIF('09-26'!G28:AO28,"CSE/RPX")+COUNTIF('09-26'!G10:AO10,"RPX")+COUNTIF('09-26'!G9:AO9,"RPX")+COUNTIF('09-26'!G8:AO8,"RPX")+COUNTIF('09-26'!F11:AO11,"RPX")+COUNTIF('09-26'!F12:AO12,"RPX")+COUNTIF('09-26'!G13:AO13,"RPX")+COUNTIF('09-26'!G14:AO14,"RPX")+COUNTIF('09-26'!F15:AO15,"RPX")+COUNTIF('09-26'!F16:AO16,"RPX")+COUNTIF('09-26'!F17:AO17,"RPX")+COUNTIF('09-26'!F18:AO18,"RPX")+COUNTIF('09-26'!G19:AO19,"RPX")+COUNTIF('09-26'!G20:AO20,"RPX")+COUNTIF('09-26'!F21:AO21,"RPX")+COUNTIF('09-26'!G22:AO22,"RPX")+COUNTIF('09-26'!G23:AO23,"RPX")+COUNTIF('09-26'!G24:AO24,"RPX")+COUNTIF('09-26'!G25:AO25,"RPX")+COUNTIF('09-26'!G26:AO26,"RPX")+COUNTIF('09-26'!G27:AO27,"RPX")+COUNTIF('09-26'!G28:AO28,"RPX"),COUNTIF(INDIRECT("'09-26'!G"&amp;VLOOKUP($E$4,$AC$5:$AD$25,2,FALSE())&amp;":AO"&amp;VLOOKUP($E$4,$AC$5:$AD$25,2,FALSE())),"CSE")+COUNTIF(INDIRECT("'09-26'!G"&amp;VLOOKUP($E$4,$AC$5:$AD$25,2,FALSE())&amp;":AO"&amp;VLOOKUP($E$4,$AC$5:$AD$25,2,FALSE())),"CSE/RPX")+COUNTIF(INDIRECT("'09-26'!G"&amp;VLOOKUP($E$4,$AC$5:$AD$25,2,FALSE())&amp;":AO"&amp;VLOOKUP($E$4,$AC$5:$AD$25,2,FALSE())),"RPX"))</f>
        <v>3</v>
      </c>
      <c r="L9" s="5">
        <f ca="1">IF($E$4="TOUS",COUNTIF('10-26'!G10:AO10,"CSE")+COUNTIF('10-26'!G9:AO9,"CSE")+COUNTIF('10-26'!G8:AO8,"CSE")+COUNTIF('10-26'!F11:AO11,"CSE")+COUNTIF('10-26'!F12:AO12,"CSE")+COUNTIF('10-26'!G13:AO13,"CSE")+COUNTIF('10-26'!F14:AO14,"CSE")+COUNTIF('10-26'!F15:AO15,"CSE")+COUNTIF('10-26'!F16:AO16,"CSE")+COUNTIF('10-26'!F17:AO17,"CSE")+COUNTIF('10-26'!G18:AO18,"CSE")+COUNTIF('10-26'!G19:AO19,"CSE")+COUNTIF('10-26'!F20:AO20,"CSE")+COUNTIF('10-26'!G21:AO21,"CSE")+COUNTIF('10-26'!G22:AO22,"CSE")+COUNTIF('10-26'!F23:AO23,"CSE")+COUNTIF('10-26'!G24:AO24,"CSE")+COUNTIF('10-26'!G25:AO25,"CSE")+COUNTIF('10-26'!G26:AO26,"CSE")+COUNTIF('10-26'!G27:AO27,"CSE")+COUNTIF('10-26'!G28:AO28,"CSE")+COUNTIF('10-26'!G10:AO10,"CSE/RPX")+COUNTIF('10-26'!G9:AO9,"CSE/RPX")+COUNTIF('10-26'!G8:AO8,"CSE/RPX")+COUNTIF('10-26'!F11:AO11,"CSE/RPX")+COUNTIF('10-26'!F12:AO12,"CSE/RPX")+COUNTIF('10-26'!G13:AO13,"CSE/RPX")+COUNTIF('10-26'!F14:AO14,"CSE/RPX")+COUNTIF('10-26'!F15:AO15,"CSE/RPX")+COUNTIF('10-26'!F16:AO16,"CSE/RPX")+COUNTIF('10-26'!F17:AO17,"CSE/RPX")+COUNTIF('10-26'!G18:AO18,"CSE/RPX")+COUNTIF('10-26'!G19:AO19,"CSE/RPX")+COUNTIF('10-26'!F20:AO20,"CSE/RPX")+COUNTIF('10-26'!G21:AO21,"CSE/RPX")+COUNTIF('10-26'!G22:AO22,"CSE/RPX")+COUNTIF('10-26'!F23:AO23,"CSE/RPX")+COUNTIF('10-26'!G24:AO24,"CSE/RPX")+COUNTIF('10-26'!G25:AO25,"CSE/RPX")+COUNTIF('10-26'!G26:AO26,"CSE/RPX")+COUNTIF('10-26'!G27:AO27,"CSE/RPX")+COUNTIF('10-26'!G28:AO28,"CSE/RPX")+COUNTIF('10-26'!G10:AO10,"RPX")+COUNTIF('10-26'!G9:AO9,"RPX")+COUNTIF('10-26'!G8:AO8,"RPX")+COUNTIF('10-26'!F11:AO11,"RPX")+COUNTIF('10-26'!F12:AO12,"RPX")+COUNTIF('10-26'!G13:AO13,"RPX")+COUNTIF('10-26'!F14:AO14,"RPX")+COUNTIF('10-26'!F15:AO15,"RPX")+COUNTIF('10-26'!F16:AO16,"RPX")+COUNTIF('10-26'!F17:AO17,"RPX")+COUNTIF('10-26'!G18:AO18,"RPX")+COUNTIF('10-26'!G19:AO19,"RPX")+COUNTIF('10-26'!F20:AO20,"RPX")+COUNTIF('10-26'!G21:AO21,"RPX")+COUNTIF('10-26'!G22:AO22,"RPX")+COUNTIF('10-26'!F23:AO23,"RPX")+COUNTIF('10-26'!G24:AO24,"RPX")+COUNTIF('10-26'!G25:AO25,"RPX")+COUNTIF('10-26'!G26:AO26,"RPX")+COUNTIF('10-26'!G27:AO27,"RPX")+COUNTIF('10-26'!G28:AO28,"RPX"),COUNTIF(INDIRECT("'10-26'!G"&amp;VLOOKUP($E$4,$AC$5:$AD$25,2,FALSE())&amp;":AO"&amp;VLOOKUP($E$4,$AC$5:$AD$25,2,FALSE())),"CSE")+COUNTIF(INDIRECT("'10-26'!G"&amp;VLOOKUP($E$4,$AC$5:$AD$25,2,FALSE())&amp;":AO"&amp;VLOOKUP($E$4,$AC$5:$AD$25,2,FALSE())),"CSE/RPX")+COUNTIF(INDIRECT("'10-26'!G"&amp;VLOOKUP($E$4,$AC$5:$AD$25,2,FALSE())&amp;":AO"&amp;VLOOKUP($E$4,$AC$5:$AD$25,2,FALSE())),"RPX"))</f>
        <v>2</v>
      </c>
      <c r="M9" s="5">
        <f ca="1">IF($E$4="TOUS",COUNTIF('11-26'!G10:AO10,"CSE")+COUNTIF('11-26'!G9:AO9,"CSE")+COUNTIF('11-26'!G8:AO8,"CSE")+COUNTIF('11-26'!G11:AO11,"CSE")+COUNTIF('11-26'!F12:AO12,"CSE")+COUNTIF('11-26'!G13:AO13,"CSE")+COUNTIF('11-26'!F14:AO14,"CSE")+COUNTIF('11-26'!F15:AO15,"CSE")+COUNTIF('11-26'!G16:AO16,"CSE")+COUNTIF('11-26'!G17:AO17,"CSE")+COUNTIF('11-26'!G18:AO18,"CSE")+COUNTIF('11-26'!G19:AO19,"CSE")+COUNTIF('11-26'!F20:AO20,"CSE")+COUNTIF('11-26'!F21:AO21,"CSE")+COUNTIF('11-26'!F22:AO22,"CSE")+COUNTIF('11-26'!G23:AO23,"CSE")+COUNTIF('11-26'!G24:AO24,"CSE")+COUNTIF('11-26'!G25:AO25,"CSE")+COUNTIF('11-26'!G26:AO26,"CSE")+COUNTIF('11-26'!G27:AO27,"CSE")+COUNTIF('11-26'!G28:AO28,"CSE")+COUNTIF('11-26'!G10:AO10,"CSE/RPX")+COUNTIF('11-26'!G9:AO9,"CSE/RPX")+COUNTIF('11-26'!G8:AO8,"CSE/RPX")+COUNTIF('11-26'!G11:AO11,"CSE/RPX")+COUNTIF('11-26'!F12:AO12,"CSE/RPX")+COUNTIF('11-26'!G13:AO13,"CSE/RPX")+COUNTIF('11-26'!F14:AO14,"CSE/RPX")+COUNTIF('11-26'!F15:AO15,"CSE/RPX")+COUNTIF('11-26'!G16:AO16,"CSE/RPX")+COUNTIF('11-26'!G17:AO17,"CSE/RPX")+COUNTIF('11-26'!G18:AO18,"CSE/RPX")+COUNTIF('11-26'!G19:AO19,"CSE/RPX")+COUNTIF('11-26'!F20:AO20,"CSE/RPX")+COUNTIF('11-26'!F21:AO21,"CSE/RPX")+COUNTIF('11-26'!F22:AO22,"CSE/RPX")+COUNTIF('11-26'!G23:AO23,"CSE/RPX")+COUNTIF('11-26'!G24:AO24,"CSE/RPX")+COUNTIF('11-26'!G25:AO25,"CSE/RPX")+COUNTIF('11-26'!G26:AO26,"CSE/RPX")+COUNTIF('11-26'!G27:AO27,"CSE/RPX")+COUNTIF('11-26'!G28:AO28,"CSE/RPX")+COUNTIF('11-26'!G10:AO10,"RPX")+COUNTIF('11-26'!G9:AO9,"RPX")+COUNTIF('11-26'!G8:AO8,"RPX")+COUNTIF('11-26'!G11:AO11,"RPX")+COUNTIF('11-26'!F12:AO12,"RPX")+COUNTIF('11-26'!G13:AO13,"RPX")+COUNTIF('11-26'!F14:AO14,"RPX")+COUNTIF('11-26'!F15:AO15,"RPX")+COUNTIF('11-26'!G16:AO16,"RPX")+COUNTIF('11-26'!G17:AO17,"RPX")+COUNTIF('11-26'!G18:AO18,"RPX")+COUNTIF('11-26'!G19:AO19,"RPX")+COUNTIF('11-26'!F20:AO20,"RPX")+COUNTIF('11-26'!F21:AO21,"RPX")+COUNTIF('11-26'!F22:AO22,"RPX")+COUNTIF('11-26'!G23:AO23,"RPX")+COUNTIF('11-26'!G24:AO24,"RPX")+COUNTIF('11-26'!G25:AO25,"RPX")+COUNTIF('11-26'!G26:AO26,"RPX")+COUNTIF('11-26'!G27:AO27,"RPX")+COUNTIF('11-26'!G28:AO28,"RPX"),COUNTIF(INDIRECT("'11-26'!G"&amp;VLOOKUP($E$4,$AC$5:$AD$25,2,FALSE())&amp;":AO"&amp;VLOOKUP($E$4,$AC$5:$AD$25,2,FALSE())),"CSE")+COUNTIF(INDIRECT("'11-26'!G"&amp;VLOOKUP($E$4,$AC$5:$AD$25,2,FALSE())&amp;":AO"&amp;VLOOKUP($E$4,$AC$5:$AD$25,2,FALSE())),"CSE/RPX")+COUNTIF(INDIRECT("'11-26'!G"&amp;VLOOKUP($E$4,$AC$5:$AD$25,2,FALSE())&amp;":AO"&amp;VLOOKUP($E$4,$AC$5:$AD$25,2,FALSE())),"RPX"))</f>
        <v>2</v>
      </c>
      <c r="N9" s="5">
        <f ca="1">IF($E$4="TOUS",COUNTIF('12-26'!G10:AO10,"CSE")+COUNTIF('12-26'!G9:AO9,"CSE")+COUNTIF('12-26'!G8:AO8,"CSE")+COUNTIF('12-26'!G11:AO11,"CSE")+COUNTIF('12-26'!G12:AO12,"CSE")+COUNTIF('12-26'!G13:AO13,"CSE")+COUNTIF('12-26'!G14:AO14,"CSE")+COUNTIF('12-26'!F15:AO15,"CSE")+COUNTIF('12-26'!G16:AO16,"CSE")+COUNTIF('12-26'!F17:AO17,"CSE")+COUNTIF('12-26'!G18:AO18,"CSE")+COUNTIF('12-26'!G19:AO19,"CSE")+COUNTIF('12-26'!F20:AO20,"CSE")+COUNTIF('12-26'!F21:AO21,"CSE")+COUNTIF('12-26'!F22:AO22,"CSE")+COUNTIF('12-26'!G23:AO23,"CSE")+COUNTIF('12-26'!G24:AO24,"CSE")+COUNTIF('12-26'!G25:AO25,"CSE")+COUNTIF('12-26'!G26:AO26,"CSE")+COUNTIF('12-26'!G27:AO27,"CSE")+COUNTIF('12-26'!G28:AO28,"CSE")+COUNTIF('12-26'!G10:AO10,"CSE/RPX")+COUNTIF('12-26'!G9:AO9,"CSE/RPX")+COUNTIF('12-26'!G8:AO8,"CSE/RPX")+COUNTIF('12-26'!G11:AO11,"CSE/RPX")+COUNTIF('12-26'!G12:AO12,"CSE/RPX")+COUNTIF('12-26'!G13:AO13,"CSE/RPX")+COUNTIF('12-26'!G14:AO14,"CSE/RPX")+COUNTIF('12-26'!F15:AO15,"CSE/RPX")+COUNTIF('12-26'!G16:AO16,"CSE/RPX")+COUNTIF('12-26'!F17:AO17,"CSE/RPX")+COUNTIF('12-26'!G18:AO18,"CSE/RPX")+COUNTIF('12-26'!G19:AO19,"CSE/RPX")+COUNTIF('12-26'!F20:AO20,"CSE/RPX")+COUNTIF('12-26'!F21:AO21,"CSE/RPX")+COUNTIF('12-26'!F22:AO22,"CSE/RPX")+COUNTIF('12-26'!G23:AO23,"CSE/RPX")+COUNTIF('12-26'!G24:AO24,"CSE/RPX")+COUNTIF('12-26'!G25:AO25,"CSE/RPX")+COUNTIF('12-26'!G26:AO26,"CSE/RPX")+COUNTIF('12-26'!G27:AO27,"CSE/RPX")+COUNTIF('12-26'!G28:AO28,"CSE/RPX")+COUNTIF('12-26'!G10:AO10,"RPX")+COUNTIF('12-26'!G9:AO9,"RPX")+COUNTIF('12-26'!G8:AO8,"RPX")+COUNTIF('12-26'!G11:AO11,"RPX")+COUNTIF('12-26'!G12:AO12,"RPX")+COUNTIF('12-26'!G13:AO13,"RPX")+COUNTIF('12-26'!G14:AO14,"RPX")+COUNTIF('12-26'!F15:AO15,"RPX")+COUNTIF('12-26'!G16:AO16,"RPX")+COUNTIF('12-26'!F17:AO17,"RPX")+COUNTIF('12-26'!G18:AO18,"RPX")+COUNTIF('12-26'!G19:AO19,"RPX")+COUNTIF('12-26'!F20:AO20,"RPX")+COUNTIF('12-26'!F21:AO21,"RPX")+COUNTIF('12-26'!F22:AO22,"RPX")+COUNTIF('12-26'!G23:AO23,"RPX")+COUNTIF('12-26'!G24:AO24,"RPX")+COUNTIF('12-26'!G25:AO25,"RPX")+COUNTIF('12-26'!G26:AO26,"RPX")+COUNTIF('12-26'!G27:AO27,"RPX")+COUNTIF('12-26'!G28:AO28,"RPX"),COUNTIF(INDIRECT("'12-26'!G"&amp;VLOOKUP($E$4,$AC$5:$AD$25,2,FALSE())&amp;":AO"&amp;VLOOKUP($E$4,$AC$5:$AD$25,2,FALSE())),"CSE")+COUNTIF(INDIRECT("'12-26'!G"&amp;VLOOKUP($E$4,$AC$5:$AD$25,2,FALSE())&amp;":AO"&amp;VLOOKUP($E$4,$AC$5:$AD$25,2,FALSE())),"CSE/RPX")+COUNTIF(INDIRECT("'12-26'!G"&amp;VLOOKUP($E$4,$AC$5:$AD$25,2,FALSE())&amp;":AO"&amp;VLOOKUP($E$4,$AC$5:$AD$25,2,FALSE())),"RPX"))</f>
        <v>0</v>
      </c>
      <c r="O9" s="4">
        <f t="shared" ca="1" si="0"/>
        <v>39</v>
      </c>
      <c r="Q9" s="6" t="s">
        <v>7</v>
      </c>
      <c r="R9" s="5">
        <f>COUNTIF('01-26'!G9:AO9,"TP")+COUNTIF('02-26'!G9:AO9,"TP")+COUNTIF('03-26'!G9:AO9,"TP")+COUNTIF('04-26'!G9:AO9,"TP")+COUNTIF('05-26'!G9:AO9,"TP")+COUNTIF('06-26'!G9:AO9,"TP")+COUNTIF('07-26'!G9:AO9,"TP")+COUNTIF('08-26'!G9:AO9,"TP")+COUNTIF('09-26'!G9:AO9,"TP")+COUNTIF('10-26'!G9:AO9,"TP")+COUNTIF('11-26'!G9:AO9,"TP")+COUNTIF('12-26'!G9:AO9,"TP")</f>
        <v>0</v>
      </c>
      <c r="S9" s="5">
        <f>COUNTIF('01-26'!G9:AO9,"CSE")+COUNTIF('01-26'!G9:AO9,"CSE/RPX")+COUNTIF('01-26'!G9:AO9,"RPX")+COUNTIF('02-26'!G9:AO9,"CSE")+COUNTIF('02-26'!G9:AO9,"CSE/RPX")+COUNTIF('02-26'!G9:AO9,"RPX")+COUNTIF('03-26'!G9:AO9,"CSE")+COUNTIF('03-26'!G9:AO9,"CSE/RPX")+COUNTIF('03-26'!G9:AO9,"RPX")+COUNTIF('04-26'!G9:AO9,"CSE")+COUNTIF('04-26'!G9:AO9,"CSE/RPX")+COUNTIF('04-26'!G9:AO9,"RPX")+COUNTIF('05-26'!G9:AO9,"CSE")+COUNTIF('05-26'!G9:AO9,"CSE/RPX")+COUNTIF('05-26'!G9:AO9,"RPX")+COUNTIF('06-26'!G9:AO9,"CSE")+COUNTIF('06-26'!G9:AO9,"CSE/RPX")+COUNTIF('06-26'!G9:AO9,"RPX")+COUNTIF('07-26'!G9:AO9,"CSE")+COUNTIF('07-26'!G9:AO9,"CSE/RPX")+COUNTIF('07-26'!G9:AO9,"RPX")+COUNTIF('08-26'!G9:AO9,"CSE")+COUNTIF('08-26'!G9:AO9,"CSE/RPX")+COUNTIF('08-26'!G9:AO9,"RPX")+COUNTIF('09-26'!G9:AO9,"CSE")+COUNTIF('09-26'!G9:AO9,"CSE/RPX")+COUNTIF('09-26'!G9:AO9,"RPX")+COUNTIF('10-26'!G9:AO9,"CSE")+COUNTIF('10-26'!G9:AO9,"CSE/RPX")+COUNTIF('10-26'!G9:AO9,"RPX")+COUNTIF('11-26'!G9:AO9,"CSE")+COUNTIF('11-26'!G9:AO9,"CSE/RPX")+COUNTIF('11-26'!G9:AO9,"RPX")+COUNTIF('12-26'!G9:AO9,"CSE")+COUNTIF('12-26'!G9:AO9,"CSE/RPX")+COUNTIF('12-26'!G9:AO9,"RPX")</f>
        <v>0</v>
      </c>
      <c r="T9" s="5">
        <f>COUNTIF('01-26'!G9:AO9,"CA/RC")+COUNTIF('01-26'!G9:AO9,"CA")+COUNTIF('02-26'!G9:AO9,"CA/RC")+COUNTIF('02-26'!G9:AO9,"CA")+COUNTIF('03-26'!G9:AO9,"CA/RC")+COUNTIF('03-26'!G9:AO9,"CA")+COUNTIF('04-26'!G9:AO9,"CA/RC")+COUNTIF('04-26'!G9:AO9,"CA")+COUNTIF('05-26'!G9:AO9,"CA/RC")+COUNTIF('05-26'!G9:AO9,"CA")+COUNTIF('06-26'!G9:AO9,"CA/RC")+COUNTIF('06-26'!G9:AO9,"CA")+COUNTIF('07-26'!G9:AO9,"CA/RC")+COUNTIF('07-26'!G9:AO9,"CA")+COUNTIF('08-26'!G9:AO9,"CA/RC")+COUNTIF('08-26'!G9:AO9,"CA")+COUNTIF('09-26'!G9:AO9,"CA/RC")+COUNTIF('09-26'!G9:AO9,"CA")+COUNTIF('10-26'!G9:AO9,"CA/RC")+COUNTIF('10-26'!G9:AO9,"CA")+COUNTIF('11-26'!G9:AO9,"CA/RC")+COUNTIF('11-26'!G9:AO9,"CA")+COUNTIF('12-26'!G9:AO9,"CA/RC")+COUNTIF('12-26'!G9:AO9,"CA")</f>
        <v>34</v>
      </c>
      <c r="U9" s="5">
        <f>COUNTIF('01-26'!G9:AO9,"ATM/ATA")+COUNTIF('01-26'!G9:AO9,"ATM")+COUNTIF('01-26'!G9:AO9,"ATA")+COUNTIF('02-26'!G9:AO9,"ATM/ATA")+COUNTIF('02-26'!G9:AO9,"ATM")+COUNTIF('02-26'!G9:AO9,"ATA")+COUNTIF('03-26'!G9:AO9,"ATM/ATA")+COUNTIF('03-26'!G9:AO9,"ATM")+COUNTIF('03-26'!G9:AO9,"ATA")+COUNTIF('04-26'!G9:AO9,"ATM/ATA")+COUNTIF('04-26'!G9:AO9,"ATM")+COUNTIF('04-26'!G9:AO9,"ATA")+COUNTIF('05-26'!G9:AO9,"ATM/ATA")+COUNTIF('05-26'!G9:AO9,"ATM")+COUNTIF('05-26'!G9:AO9,"ATA")+COUNTIF('06-26'!G9:AO9,"ATM/ATA")+COUNTIF('06-26'!G9:AO9,"ATM")+COUNTIF('06-26'!G9:AO9,"ATA")+COUNTIF('07-26'!G9:AO9,"ATM/ATA")+COUNTIF('07-26'!G9:AO9,"ATM")+COUNTIF('07-26'!G9:AO9,"ATA")+COUNTIF('08-26'!G9:AO9,"ATM/ATA")+COUNTIF('08-26'!G9:AO9,"ATM")+COUNTIF('08-26'!G9:AO9,"ATA")+COUNTIF('09-26'!G9:AO9,"ATM/ATA")+COUNTIF('09-26'!G9:AO9,"ATM")+COUNTIF('09-26'!G9:AO9,"ATA")+COUNTIF('10-26'!G9:AO9,"ATM/ATA")+COUNTIF('10-26'!G9:AO9,"ATM")+COUNTIF('10-26'!G9:AO9,"ATA")+COUNTIF('11-26'!G9:AO9,"ATM/ATA")+COUNTIF('11-26'!G9:AO9,"ATM")+COUNTIF('11-26'!G9:AO9,"ATA")+COUNTIF('12-26'!G9:AO9,"ATM/ATA")+COUNTIF('12-26'!G9:AO9,"ATM")+COUNTIF('12-26'!G9:AO9,"ATA")</f>
        <v>0</v>
      </c>
      <c r="V9" s="5">
        <f>COUNTIF('01-26'!G9:AO9,"ASA")+COUNTIF('02-26'!G9:AO9,"ASA")+COUNTIF('03-26'!G9:AO9,"ASA")+COUNTIF('04-26'!G9:AO9,"ASA")+COUNTIF('05-26'!G9:AO9,"ASA")+COUNTIF('06-26'!G9:AO9,"ASA")+COUNTIF('07-26'!G9:AO9,"ASA")+COUNTIF('08-26'!G9:AO9,"ASA")+COUNTIF('09-26'!G9:AO9,"ASA")+COUNTIF('10-26'!G9:AO9,"ASA")+COUNTIF('11-26'!G9:AO9,"ASA")+COUNTIF('12-26'!G9:AO9,"ASA")</f>
        <v>0</v>
      </c>
      <c r="W9" s="5">
        <f>COUNTIF('01-26'!G9:AO9,"FORM")+COUNTIF('02-26'!G9:AO9,"FORM")+COUNTIF('03-26'!G9:AO9,"FORM")+COUNTIF('04-26'!G9:AO9,"FORM")+COUNTIF('05-26'!G9:AO9,"FORM")+COUNTIF('06-26'!G9:AO9,"FORM")+COUNTIF('07-26'!G9:AO9,"FORM")+COUNTIF('08-26'!G9:AO9,"FORM")+COUNTIF('09-26'!G9:AO9,"FORM")+COUNTIF('10-26'!G9:AO9,"FORM")+COUNTIF('11-26'!G9:AO9,"FORM")+COUNTIF('12-26'!G9:AO9,"FORM")</f>
        <v>0</v>
      </c>
      <c r="X9" s="5">
        <f>COUNTIF('01-26'!G9:AO9,"RPM")+COUNTIF('01-26'!G9:AO9,"JPS")+COUNTIF('02-26'!G9:AO9,"RPM")+COUNTIF('02-26'!G9:AO9,"JPS")+COUNTIF('03-26'!G9:AO9,"RPM")+COUNTIF('03-26'!G9:AO9,"JPS")+COUNTIF('04-26'!G9:AO9,"RPM")+COUNTIF('04-26'!G9:AO9,"JPS")+COUNTIF('05-26'!G9:AO9,"RPM")+COUNTIF('05-26'!G9:AO9,"JPS")+COUNTIF('06-26'!G9:AO9,"RPM")+COUNTIF('06-26'!G9:AO9,"JPS")+COUNTIF('07-26'!G9:AO9,"RPM")+COUNTIF('07-26'!G9:AO9,"JPS")+COUNTIF('08-26'!G9:AO9,"RPM")+COUNTIF('08-26'!G9:AO9,"JPS")+COUNTIF('09-26'!G9:AO9,"RPM")+COUNTIF('09-26'!G9:AO9,"JPS")+COUNTIF('10-26'!G9:AO9,"RPM")+COUNTIF('10-26'!G9:AO9,"JPS")+COUNTIF('11-26'!G9:AO9,"RPM")+COUNTIF('11-26'!G9:AO9,"JPS")+COUNTIF('12-26'!G9:AO9,"RPM")+COUNTIF('12-26'!G9:AO9,"JPS")</f>
        <v>0</v>
      </c>
      <c r="Y9" s="393">
        <f t="shared" si="1"/>
        <v>34</v>
      </c>
      <c r="AB9" t="s">
        <v>31</v>
      </c>
      <c r="AC9" t="s">
        <v>32</v>
      </c>
      <c r="AD9">
        <v>12</v>
      </c>
    </row>
    <row r="10" spans="1:30" ht="19.5" customHeight="1">
      <c r="A10" s="390"/>
      <c r="B10" s="2" t="s">
        <v>25</v>
      </c>
      <c r="C10" s="3">
        <f ca="1">IF($E$4="TOUS",COUNTIF('01-26'!G10:AO10,"CA/RC")+COUNTIF('01-26'!G9:AO9,"CA/RC")+COUNTIF('01-26'!G8:AO8,"CA/RC")+COUNTIF('01-26'!G11:AO11,"CA/RC")+COUNTIF('01-26'!G12:AO12,"CA/RC")+COUNTIF('01-26'!G13:AO13,"CA/RC")+COUNTIF('01-26'!F14:AO14,"CA/RC")+COUNTIF('01-26'!G15:AO15,"CA/RC")+COUNTIF('01-26'!F16:AO16,"CA/RC")+COUNTIF('01-26'!F17:AO17,"CA/RC")+COUNTIF('01-26'!G18:AO18,"CA/RC")+COUNTIF('01-26'!G19:AO19,"CA/RC")+COUNTIF('01-26'!F20:AO20,"CA/RC")+COUNTIF('01-26'!F21:AO21,"CA/RC")+COUNTIF('01-26'!G22:AO22,"CA/RC")+COUNTIF('01-26'!G23:AO23,"CA/RC")+COUNTIF('01-26'!G24:AO24,"CA/RC")+COUNTIF('01-26'!G25:AO25,"CA/RC")+COUNTIF('01-26'!G26:AO26,"CA/RC")+COUNTIF('01-26'!G27:AO27,"CA/RC")+COUNTIF('01-26'!G28:AO28,"CA/RC")+COUNTIF('01-26'!G10:AO10,"CA")+COUNTIF('01-26'!G9:AO9,"CA")+COUNTIF('01-26'!G8:AO8,"CA")+COUNTIF('01-26'!G11:AO11,"CA")+COUNTIF('01-26'!G12:AO12,"CA")+COUNTIF('01-26'!G13:AO13,"CA")+COUNTIF('01-26'!F14:AO14,"CA")+COUNTIF('01-26'!G15:AO15,"CA")+COUNTIF('01-26'!F16:AO16,"CA")+COUNTIF('01-26'!F17:AO17,"CA")+COUNTIF('01-26'!G18:AO18,"CA")+COUNTIF('01-26'!G19:AO19,"CA")+COUNTIF('01-26'!F20:AO20,"CA")+COUNTIF('01-26'!F21:AO21,"CA")+COUNTIF('01-26'!G22:AO22,"CA")+COUNTIF('01-26'!G23:AO23,"CA")+COUNTIF('01-26'!G24:AO24,"CA")+COUNTIF('01-26'!G25:AO25,"CA")+COUNTIF('01-26'!G26:AO26,"CA")+COUNTIF('01-26'!G27:AO27,"CA")+COUNTIF('01-26'!G28:AO28,"CA"),COUNTIF(INDIRECT("'01-26'!G"&amp;VLOOKUP($E$4,$AC$5:$AD$25,2,FALSE())&amp;":AO"&amp;VLOOKUP($E$4,$AC$5:$AD$25,2,FALSE())),"CA/RC")+COUNTIF(INDIRECT("'01-26'!G"&amp;VLOOKUP($E$4,$AC$5:$AD$25,2,FALSE())&amp;":AO"&amp;VLOOKUP($E$4,$AC$5:$AD$25,2,FALSE())),"CA"))</f>
        <v>18</v>
      </c>
      <c r="D10" s="3">
        <f ca="1">IF($E$4="TOUS",COUNTIF('02-26'!G10:AO10,"CA/RC")+COUNTIF('02-26'!G9:AO9,"CA/RC")+COUNTIF('02-26'!G8:AO8,"CA/RC")+COUNTIF('02-26'!G11:AO11,"CA/RC")+COUNTIF('02-26'!F12:AO12,"CA/RC")+COUNTIF('02-26'!G13:AO13,"CA/RC")+COUNTIF('02-26'!G14:AO14,"CA/RC")+COUNTIF('02-26'!F15:AO15,"CA/RC")+COUNTIF('02-26'!G16:AO16,"CA/RC")+COUNTIF('02-26'!F17:AO17,"CA/RC")+COUNTIF('02-26'!G18:AO18,"CA/RC")+COUNTIF('02-26'!G19:AO19,"CA/RC")+COUNTIF('02-26'!F20:AO20,"CA/RC")+COUNTIF('02-26'!G21:AO21,"CA/RC")+COUNTIF('02-26'!G22:AO22,"CA/RC")+COUNTIF('02-26'!G23:AO23,"CA/RC")+COUNTIF('02-26'!G24:AO24,"CA/RC")+COUNTIF('02-26'!G25:AO25,"CA/RC")+COUNTIF('02-26'!G26:AO26,"CA/RC")+COUNTIF('02-26'!G27:AO27,"CA/RC")+COUNTIF('02-26'!G28:AO28,"CA/RC")+COUNTIF('02-26'!G10:AO10,"CA")+COUNTIF('02-26'!G9:AO9,"CA")+COUNTIF('02-26'!G8:AO8,"CA")+COUNTIF('02-26'!G11:AO11,"CA")+COUNTIF('02-26'!F12:AO12,"CA")+COUNTIF('02-26'!G13:AO13,"CA")+COUNTIF('02-26'!G14:AO14,"CA")+COUNTIF('02-26'!F15:AO15,"CA")+COUNTIF('02-26'!G16:AO16,"CA")+COUNTIF('02-26'!F17:AO17,"CA")+COUNTIF('02-26'!G18:AO18,"CA")+COUNTIF('02-26'!G19:AO19,"CA")+COUNTIF('02-26'!F20:AO20,"CA")+COUNTIF('02-26'!G21:AO21,"CA")+COUNTIF('02-26'!G22:AO22,"CA")+COUNTIF('02-26'!G23:AO23,"CA")+COUNTIF('02-26'!G24:AO24,"CA")+COUNTIF('02-26'!G25:AO25,"CA")+COUNTIF('02-26'!G26:AO26,"CA")+COUNTIF('02-26'!G27:AO27,"CA")+COUNTIF('02-26'!G28:AO28,"CA"),COUNTIF(INDIRECT("'02-26'!G"&amp;VLOOKUP($E$4,$AC$5:$AD$25,2,FALSE())&amp;":AO"&amp;VLOOKUP($E$4,$AC$5:$AD$25,2,FALSE())),"CA/RC")+COUNTIF(INDIRECT("'02-26'!G"&amp;VLOOKUP($E$4,$AC$5:$AD$25,2,FALSE())&amp;":AO"&amp;VLOOKUP($E$4,$AC$5:$AD$25,2,FALSE())),"CA"))</f>
        <v>26</v>
      </c>
      <c r="E10" s="3">
        <f ca="1">IF($E$4="TOUS",COUNTIF('03-26'!G10:AO10,"CA/RC")+COUNTIF('03-26'!G9:AO9,"CA/RC")+COUNTIF('03-26'!G8:AO8,"CA/RC")+COUNTIF('03-26'!G11:AO11,"CA/RC")+COUNTIF('03-26'!F12:AO12,"CA/RC")+COUNTIF('03-26'!G13:AO13,"CA/RC")+COUNTIF('03-26'!G14:AO14,"CA/RC")+COUNTIF('03-26'!F15:AO15,"CA/RC")+COUNTIF('03-26'!F16:AO16,"CA/RC")+COUNTIF('03-26'!F17:AO17,"CA/RC")+COUNTIF('03-26'!F18:AO18,"CA/RC")+COUNTIF('03-26'!G19:AO19,"CA/RC")+COUNTIF('03-26'!G20:AO20,"CA/RC")+COUNTIF('03-26'!G21:AO21,"CA/RC")+COUNTIF('03-26'!F22:AO22,"CA/RC")+COUNTIF('03-26'!G23:AO23,"CA/RC")+COUNTIF('03-26'!G24:AO24,"CA/RC")+COUNTIF('03-26'!G25:AO25,"CA/RC")+COUNTIF('03-26'!G26:AO26,"CA/RC")+COUNTIF('03-26'!G27:AO27,"CA/RC")+COUNTIF('03-26'!G28:AO28,"CA/RC")+COUNTIF('03-26'!G10:AO10,"CA")+COUNTIF('03-26'!G9:AO9,"CA")+COUNTIF('03-26'!G8:AO8,"CA")+COUNTIF('03-26'!G11:AO11,"CA")+COUNTIF('03-26'!F12:AO12,"CA")+COUNTIF('03-26'!G13:AO13,"CA")+COUNTIF('03-26'!G14:AO14,"CA")+COUNTIF('03-26'!F15:AO15,"CA")+COUNTIF('03-26'!F16:AO16,"CA")+COUNTIF('03-26'!F17:AO17,"CA")+COUNTIF('03-26'!F18:AO18,"CA")+COUNTIF('03-26'!G19:AO19,"CA")+COUNTIF('03-26'!G20:AO20,"CA")+COUNTIF('03-26'!G21:AO21,"CA")+COUNTIF('03-26'!F22:AO22,"CA")+COUNTIF('03-26'!G23:AO23,"CA")+COUNTIF('03-26'!G24:AO24,"CA")+COUNTIF('03-26'!G25:AO25,"CA")+COUNTIF('03-26'!G26:AO26,"CA")+COUNTIF('03-26'!G27:AO27,"CA")+COUNTIF('03-26'!G28:AO28,"CA"),COUNTIF(INDIRECT("'03-26'!G"&amp;VLOOKUP($E$4,$AC$5:$AD$25,2,FALSE())&amp;":AO"&amp;VLOOKUP($E$4,$AC$5:$AD$25,2,FALSE())),"CA/RC")+COUNTIF(INDIRECT("'03-26'!G"&amp;VLOOKUP($E$4,$AC$5:$AD$25,2,FALSE())&amp;":AO"&amp;VLOOKUP($E$4,$AC$5:$AD$25,2,FALSE())),"CA"))</f>
        <v>33</v>
      </c>
      <c r="F10" s="3">
        <f ca="1">IF($E$4="TOUS",COUNTIF('04-26'!G10:AO10,"CA/RC")+COUNTIF('04-26'!G9:AO9,"CA/RC")+COUNTIF('04-26'!G8:AO8,"CA/RC")+COUNTIF('04-26'!G11:AO11,"CA/RC")+COUNTIF('04-26'!F12:AO12,"CA/RC")+COUNTIF('04-26'!G13:AO13,"CA/RC")+COUNTIF('04-26'!F14:AO14,"CA/RC")+COUNTIF('04-26'!G15:AO15,"CA/RC")+COUNTIF('04-26'!G16:AO16,"CA/RC")+COUNTIF('04-26'!G17:AO17,"CA/RC")+COUNTIF('04-26'!G18:AO18,"CA/RC")+COUNTIF('04-26'!G19:AO19,"CA/RC")+COUNTIF('04-26'!G20:AO20,"CA/RC")+COUNTIF('04-26'!G21:AO21,"CA/RC")+COUNTIF('04-26'!G22:AO22,"CA/RC")+COUNTIF('04-26'!G23:AO23,"CA/RC")+COUNTIF('04-26'!G24:AO24,"CA/RC")+COUNTIF('04-26'!G25:AO25,"CA/RC")+COUNTIF('04-26'!G26:AO26,"CA/RC")+COUNTIF('04-26'!G27:AO27,"CA/RC")+COUNTIF('04-26'!G28:AO28,"CA/RC")+COUNTIF('04-26'!G10:AO10,"CA")+COUNTIF('04-26'!G9:AO9,"CA")+COUNTIF('04-26'!G8:AO8,"CA")+COUNTIF('04-26'!G11:AO11,"CA")+COUNTIF('04-26'!F12:AO12,"CA")+COUNTIF('04-26'!G13:AO13,"CA")+COUNTIF('04-26'!F14:AO14,"CA")+COUNTIF('04-26'!G15:AO15,"CA")+COUNTIF('04-26'!G16:AO16,"CA")+COUNTIF('04-26'!G17:AO17,"CA")+COUNTIF('04-26'!G18:AO18,"CA")+COUNTIF('04-26'!G19:AO19,"CA")+COUNTIF('04-26'!G20:AO20,"CA")+COUNTIF('04-26'!G21:AO21,"CA")+COUNTIF('04-26'!G22:AO22,"CA")+COUNTIF('04-26'!G23:AO23,"CA")+COUNTIF('04-26'!G24:AO24,"CA")+COUNTIF('04-26'!G25:AO25,"CA")+COUNTIF('04-26'!G26:AO26,"CA")+COUNTIF('04-26'!G27:AO27,"CA")+COUNTIF('04-26'!G28:AO28,"CA"),COUNTIF(INDIRECT("'04-26'!G"&amp;VLOOKUP($E$4,$AC$5:$AD$25,2,FALSE())&amp;":AO"&amp;VLOOKUP($E$4,$AC$5:$AD$25,2,FALSE())),"CA/RC")+COUNTIF(INDIRECT("'04-26'!G"&amp;VLOOKUP($E$4,$AC$5:$AD$25,2,FALSE())&amp;":AO"&amp;VLOOKUP($E$4,$AC$5:$AD$25,2,FALSE())),"CA"))</f>
        <v>66</v>
      </c>
      <c r="G10" s="3">
        <f ca="1">IF($E$4="TOUS",COUNTIF('05-26'!G10:AO10,"CA/RC")+COUNTIF('05-26'!G9:AO9,"CA/RC")+COUNTIF('05-26'!G8:AO8,"CA/RC")+COUNTIF('05-26'!G11:AO11,"CA/RC")+COUNTIF('05-26'!F12:AO12,"CA/RC")+COUNTIF('05-26'!G13:AO13,"CA/RC")+COUNTIF('05-26'!F14:AO14,"CA/RC")+COUNTIF('05-26'!F15:AO15,"CA/RC")+COUNTIF('05-26'!G16:AO16,"CA/RC")+COUNTIF('05-26'!F17:AO17,"CA/RC")+COUNTIF('05-26'!G18:AO18,"CA/RC")+COUNTIF('05-26'!G19:AO19,"CA/RC")+COUNTIF('05-26'!G20:AO20,"CA/RC")+COUNTIF('05-26'!F21:AO21,"CA/RC")+COUNTIF('05-26'!F22:AO22,"CA/RC")+COUNTIF('05-26'!G23:AO23,"CA/RC")+COUNTIF('05-26'!G24:AO24,"CA/RC")+COUNTIF('05-26'!G25:AO25,"CA/RC")+COUNTIF('05-26'!G26:AO26,"CA/RC")+COUNTIF('05-26'!G27:AO27,"CA/RC")+COUNTIF('05-26'!G28:AO28,"CA/RC")+COUNTIF('05-26'!G10:AO10,"CA")+COUNTIF('05-26'!G9:AO9,"CA")+COUNTIF('05-26'!G8:AO8,"CA")+COUNTIF('05-26'!G11:AO11,"CA")+COUNTIF('05-26'!F12:AO12,"CA")+COUNTIF('05-26'!G13:AO13,"CA")+COUNTIF('05-26'!F14:AO14,"CA")+COUNTIF('05-26'!F15:AO15,"CA")+COUNTIF('05-26'!G16:AO16,"CA")+COUNTIF('05-26'!F17:AO17,"CA")+COUNTIF('05-26'!G18:AO18,"CA")+COUNTIF('05-26'!G19:AO19,"CA")+COUNTIF('05-26'!G20:AO20,"CA")+COUNTIF('05-26'!F21:AO21,"CA")+COUNTIF('05-26'!F22:AO22,"CA")+COUNTIF('05-26'!G23:AO23,"CA")+COUNTIF('05-26'!G24:AO24,"CA")+COUNTIF('05-26'!G25:AO25,"CA")+COUNTIF('05-26'!G26:AO26,"CA")+COUNTIF('05-26'!G27:AO27,"CA")+COUNTIF('05-26'!G28:AO28,"CA"),COUNTIF(INDIRECT("'05-26'!G"&amp;VLOOKUP($E$4,$AC$5:$AD$25,2,FALSE())&amp;":AO"&amp;VLOOKUP($E$4,$AC$5:$AD$25,2,FALSE())),"CA/RC")+COUNTIF(INDIRECT("'05-26'!G"&amp;VLOOKUP($E$4,$AC$5:$AD$25,2,FALSE())&amp;":AO"&amp;VLOOKUP($E$4,$AC$5:$AD$25,2,FALSE())),"CA"))</f>
        <v>31</v>
      </c>
      <c r="H10" s="3">
        <f ca="1">IF($E$4="TOUS",COUNTIF('06-26'!G10:AO10,"CA/RC")+COUNTIF('06-26'!G9:AO9,"CA/RC")+COUNTIF('06-26'!G8:AO8,"CA/RC")+COUNTIF('06-26'!G11:AO11,"CA/RC")+COUNTIF('06-26'!F12:AO12,"CA/RC")+COUNTIF('06-26'!G13:AO13,"CA/RC")+COUNTIF('06-26'!F14:AO14,"CA/RC")+COUNTIF('06-26'!F15:AO15,"CA/RC")+COUNTIF('06-26'!F16:AO16,"CA/RC")+COUNTIF('06-26'!F17:AO17,"CA/RC")+COUNTIF('06-26'!G18:AO18,"CA/RC")+COUNTIF('06-26'!G19:AO19,"CA/RC")+COUNTIF('06-26'!G20:AO20,"CA/RC")+COUNTIF('06-26'!F21:AO21,"CA/RC")+COUNTIF('06-26'!F22:AO22,"CA/RC")+COUNTIF('06-26'!G23:AO23,"CA/RC")+COUNTIF('06-26'!G24:AO24,"CA/RC")+COUNTIF('06-26'!G25:AO25,"CA/RC")+COUNTIF('06-26'!G26:AO26,"CA/RC")+COUNTIF('06-26'!G27:AO27,"CA/RC")+COUNTIF('06-26'!G28:AO28,"CA/RC")+COUNTIF('06-26'!G10:AO10,"CA")+COUNTIF('06-26'!G9:AO9,"CA")+COUNTIF('06-26'!G8:AO8,"CA")+COUNTIF('06-26'!G11:AO11,"CA")+COUNTIF('06-26'!F12:AO12,"CA")+COUNTIF('06-26'!G13:AO13,"CA")+COUNTIF('06-26'!F14:AO14,"CA")+COUNTIF('06-26'!F15:AO15,"CA")+COUNTIF('06-26'!F16:AO16,"CA")+COUNTIF('06-26'!F17:AO17,"CA")+COUNTIF('06-26'!G18:AO18,"CA")+COUNTIF('06-26'!G19:AO19,"CA")+COUNTIF('06-26'!G20:AO20,"CA")+COUNTIF('06-26'!F21:AO21,"CA")+COUNTIF('06-26'!F22:AO22,"CA")+COUNTIF('06-26'!G23:AO23,"CA")+COUNTIF('06-26'!G24:AO24,"CA")+COUNTIF('06-26'!G25:AO25,"CA")+COUNTIF('06-26'!G26:AO26,"CA")+COUNTIF('06-26'!G27:AO27,"CA")+COUNTIF('06-26'!G28:AO28,"CA"),COUNTIF(INDIRECT("'06-26'!G"&amp;VLOOKUP($E$4,$AC$5:$AD$25,2,FALSE())&amp;":AO"&amp;VLOOKUP($E$4,$AC$5:$AD$25,2,FALSE())),"CA/RC")+COUNTIF(INDIRECT("'06-26'!G"&amp;VLOOKUP($E$4,$AC$5:$AD$25,2,FALSE())&amp;":AO"&amp;VLOOKUP($E$4,$AC$5:$AD$25,2,FALSE())),"CA"))</f>
        <v>31</v>
      </c>
      <c r="I10" s="3">
        <f ca="1">IF($E$4="TOUS",COUNTIF('07-26'!G10:AO10,"CA/RC")+COUNTIF('07-26'!G9:AO9,"CA/RC")+COUNTIF('07-26'!G8:AO8,"CA/RC")+COUNTIF('07-26'!F11:AO11,"CA/RC")+COUNTIF('07-26'!G12:AO12,"CA/RC")+COUNTIF('07-26'!G13:AO13,"CA/RC")+COUNTIF('07-26'!F14:AO14,"CA/RC")+COUNTIF('07-26'!F15:AO15,"CA/RC")+COUNTIF('07-26'!G16:AO16,"CA/RC")+COUNTIF('07-26'!G17:AO17,"CA/RC")+COUNTIF('07-26'!G18:AO18,"CA/RC")+COUNTIF('07-26'!G19:AO19,"CA/RC")+COUNTIF('07-26'!F20:AO20,"CA/RC")+COUNTIF('07-26'!F21:AO21,"CA/RC")+COUNTIF('07-26'!F22:AO22,"CA/RC")+COUNTIF('07-26'!G23:AO23,"CA/RC")+COUNTIF('07-26'!G24:AO24,"CA/RC")+COUNTIF('07-26'!G25:AO25,"CA/RC")+COUNTIF('07-26'!G26:AO26,"CA/RC")+COUNTIF('07-26'!G27:AO27,"CA/RC")+COUNTIF('07-26'!G28:AO28,"CA/RC")+COUNTIF('07-26'!G10:AO10,"CA")+COUNTIF('07-26'!G9:AO9,"CA")+COUNTIF('07-26'!G8:AO8,"CA")+COUNTIF('07-26'!F11:AO11,"CA")+COUNTIF('07-26'!G12:AO12,"CA")+COUNTIF('07-26'!G13:AO13,"CA")+COUNTIF('07-26'!F14:AO14,"CA")+COUNTIF('07-26'!F15:AO15,"CA")+COUNTIF('07-26'!G16:AO16,"CA")+COUNTIF('07-26'!G17:AO17,"CA")+COUNTIF('07-26'!G18:AO18,"CA")+COUNTIF('07-26'!G19:AO19,"CA")+COUNTIF('07-26'!F20:AO20,"CA")+COUNTIF('07-26'!F21:AO21,"CA")+COUNTIF('07-26'!F22:AO22,"CA")+COUNTIF('07-26'!G23:AO23,"CA")+COUNTIF('07-26'!G24:AO24,"CA")+COUNTIF('07-26'!G25:AO25,"CA")+COUNTIF('07-26'!G26:AO26,"CA")+COUNTIF('07-26'!G27:AO27,"CA")+COUNTIF('07-26'!G28:AO28,"CA"),COUNTIF(INDIRECT("'07-26'!G"&amp;VLOOKUP($E$4,$AC$5:$AD$25,2,FALSE())&amp;":AO"&amp;VLOOKUP($E$4,$AC$5:$AD$25,2,FALSE())),"CA/RC")+COUNTIF(INDIRECT("'07-26'!G"&amp;VLOOKUP($E$4,$AC$5:$AD$25,2,FALSE())&amp;":AO"&amp;VLOOKUP($E$4,$AC$5:$AD$25,2,FALSE())),"CA"))</f>
        <v>85</v>
      </c>
      <c r="J10" s="3">
        <f ca="1">IF($E$4="TOUS",COUNTIF('08-26'!G10:AO10,"CA/RC")+COUNTIF('08-26'!G9:AO9,"CA/RC")+COUNTIF('08-26'!G8:AO8,"CA/RC")+COUNTIF('08-26'!F11:AO11,"CA/RC")+COUNTIF('08-26'!F12:AO12,"CA/RC")+COUNTIF('08-26'!F13:AO13,"CA/RC")+COUNTIF('08-26'!F14:AO14,"CA/RC")+COUNTIF('08-26'!F15:AO15,"CA/RC")+COUNTIF('08-26'!G16:AO16,"CA/RC")+COUNTIF('08-26'!F17:AO17,"CA/RC")+COUNTIF('08-26'!G18:AO18,"CA/RC")+COUNTIF('08-26'!F19:AO19,"CA/RC")+COUNTIF('08-26'!F20:AO20,"CA/RC")+COUNTIF('08-26'!G21:AO21,"CA/RC")+COUNTIF('08-26'!F22:AO22,"CA/RC")+COUNTIF('08-26'!G23:AO23,"CA/RC")+COUNTIF('08-26'!G24:AO24,"CA/RC")+COUNTIF('08-26'!G25:AO25,"CA/RC")+COUNTIF('08-26'!G26:AO26,"CA/RC")+COUNTIF('08-26'!G27:AO27,"CA/RC")+COUNTIF('08-26'!G28:AO28,"CA/RC")+COUNTIF('08-26'!G10:AO10,"CA")+COUNTIF('08-26'!G9:AO9,"CA")+COUNTIF('08-26'!G8:AO8,"CA")+COUNTIF('08-26'!F11:AO11,"CA")+COUNTIF('08-26'!F12:AO12,"CA")+COUNTIF('08-26'!F13:AO13,"CA")+COUNTIF('08-26'!F14:AO14,"CA")+COUNTIF('08-26'!F15:AO15,"CA")+COUNTIF('08-26'!G16:AO16,"CA")+COUNTIF('08-26'!F17:AO17,"CA")+COUNTIF('08-26'!G18:AO18,"CA")+COUNTIF('08-26'!F19:AO19,"CA")+COUNTIF('08-26'!F20:AO20,"CA")+COUNTIF('08-26'!G21:AO21,"CA")+COUNTIF('08-26'!F22:AO22,"CA")+COUNTIF('08-26'!G23:AO23,"CA")+COUNTIF('08-26'!G24:AO24,"CA")+COUNTIF('08-26'!G25:AO25,"CA")+COUNTIF('08-26'!G26:AO26,"CA")+COUNTIF('08-26'!G27:AO27,"CA")+COUNTIF('08-26'!G28:AO28,"CA"),COUNTIF(INDIRECT("'08-26'!G"&amp;VLOOKUP($E$4,$AC$5:$AD$25,2,FALSE())&amp;":AO"&amp;VLOOKUP($E$4,$AC$5:$AD$25,2,FALSE())),"CA/RC")+COUNTIF(INDIRECT("'08-26'!G"&amp;VLOOKUP($E$4,$AC$5:$AD$25,2,FALSE())&amp;":AO"&amp;VLOOKUP($E$4,$AC$5:$AD$25,2,FALSE())),"CA"))</f>
        <v>65</v>
      </c>
      <c r="K10" s="3">
        <f ca="1">IF($E$4="TOUS",COUNTIF('09-26'!G10:AO10,"CA/RC")+COUNTIF('09-26'!G9:AO9,"CA/RC")+COUNTIF('09-26'!G8:AO8,"CA/RC")+COUNTIF('09-26'!F11:AO11,"CA/RC")+COUNTIF('09-26'!F12:AO12,"CA/RC")+COUNTIF('09-26'!G13:AO13,"CA/RC")+COUNTIF('09-26'!G14:AO14,"CA/RC")+COUNTIF('09-26'!F15:AO15,"CA/RC")+COUNTIF('09-26'!F16:AO16,"CA/RC")+COUNTIF('09-26'!F17:AO17,"CA/RC")+COUNTIF('09-26'!F18:AO18,"CA/RC")+COUNTIF('09-26'!G19:AO19,"CA/RC")+COUNTIF('09-26'!G20:AO20,"CA/RC")+COUNTIF('09-26'!F21:AO21,"CA/RC")+COUNTIF('09-26'!G22:AO22,"CA/RC")+COUNTIF('09-26'!G23:AO23,"CA/RC")+COUNTIF('09-26'!G24:AO24,"CA/RC")+COUNTIF('09-26'!G25:AO25,"CA/RC")+COUNTIF('09-26'!G26:AO26,"CA/RC")+COUNTIF('09-26'!G27:AO27,"CA/RC")+COUNTIF('09-26'!G28:AO28,"CA/RC")+COUNTIF('09-26'!G10:AO10,"CA")+COUNTIF('09-26'!G9:AO9,"CA")+COUNTIF('09-26'!G8:AO8,"CA")+COUNTIF('09-26'!F11:AO11,"CA")+COUNTIF('09-26'!F12:AO12,"CA")+COUNTIF('09-26'!G13:AO13,"CA")+COUNTIF('09-26'!G14:AO14,"CA")+COUNTIF('09-26'!F15:AO15,"CA")+COUNTIF('09-26'!F16:AO16,"CA")+COUNTIF('09-26'!F17:AO17,"CA")+COUNTIF('09-26'!F18:AO18,"CA")+COUNTIF('09-26'!G19:AO19,"CA")+COUNTIF('09-26'!G20:AO20,"CA")+COUNTIF('09-26'!F21:AO21,"CA")+COUNTIF('09-26'!G22:AO22,"CA")+COUNTIF('09-26'!G23:AO23,"CA")+COUNTIF('09-26'!G24:AO24,"CA")+COUNTIF('09-26'!G25:AO25,"CA")+COUNTIF('09-26'!G26:AO26,"CA")+COUNTIF('09-26'!G27:AO27,"CA")+COUNTIF('09-26'!G28:AO28,"CA"),COUNTIF(INDIRECT("'09-26'!G"&amp;VLOOKUP($E$4,$AC$5:$AD$25,2,FALSE())&amp;":AO"&amp;VLOOKUP($E$4,$AC$5:$AD$25,2,FALSE())),"CA/RC")+COUNTIF(INDIRECT("'09-26'!G"&amp;VLOOKUP($E$4,$AC$5:$AD$25,2,FALSE())&amp;":AO"&amp;VLOOKUP($E$4,$AC$5:$AD$25,2,FALSE())),"CA"))</f>
        <v>70</v>
      </c>
      <c r="L10" s="3">
        <f ca="1">IF($E$4="TOUS",COUNTIF('10-26'!G10:AO10,"CA/RC")+COUNTIF('10-26'!G9:AO9,"CA/RC")+COUNTIF('10-26'!G8:AO8,"CA/RC")+COUNTIF('10-26'!F11:AO11,"CA/RC")+COUNTIF('10-26'!F12:AO12,"CA/RC")+COUNTIF('10-26'!G13:AO13,"CA/RC")+COUNTIF('10-26'!F14:AO14,"CA/RC")+COUNTIF('10-26'!F15:AO15,"CA/RC")+COUNTIF('10-26'!F16:AO16,"CA/RC")+COUNTIF('10-26'!F17:AO17,"CA/RC")+COUNTIF('10-26'!G18:AO18,"CA/RC")+COUNTIF('10-26'!G19:AO19,"CA/RC")+COUNTIF('10-26'!F20:AO20,"CA/RC")+COUNTIF('10-26'!G21:AO21,"CA/RC")+COUNTIF('10-26'!G22:AO22,"CA/RC")+COUNTIF('10-26'!F23:AO23,"CA/RC")+COUNTIF('10-26'!G24:AO24,"CA/RC")+COUNTIF('10-26'!G25:AO25,"CA/RC")+COUNTIF('10-26'!G26:AO26,"CA/RC")+COUNTIF('10-26'!G27:AO27,"CA/RC")+COUNTIF('10-26'!G28:AO28,"CA/RC")+COUNTIF('10-26'!G10:AO10,"CA")+COUNTIF('10-26'!G9:AO9,"CA")+COUNTIF('10-26'!G8:AO8,"CA")+COUNTIF('10-26'!F11:AO11,"CA")+COUNTIF('10-26'!F12:AO12,"CA")+COUNTIF('10-26'!G13:AO13,"CA")+COUNTIF('10-26'!F14:AO14,"CA")+COUNTIF('10-26'!F15:AO15,"CA")+COUNTIF('10-26'!F16:AO16,"CA")+COUNTIF('10-26'!F17:AO17,"CA")+COUNTIF('10-26'!G18:AO18,"CA")+COUNTIF('10-26'!G19:AO19,"CA")+COUNTIF('10-26'!F20:AO20,"CA")+COUNTIF('10-26'!G21:AO21,"CA")+COUNTIF('10-26'!G22:AO22,"CA")+COUNTIF('10-26'!F23:AO23,"CA")+COUNTIF('10-26'!G24:AO24,"CA")+COUNTIF('10-26'!G25:AO25,"CA")+COUNTIF('10-26'!G26:AO26,"CA")+COUNTIF('10-26'!G27:AO27,"CA")+COUNTIF('10-26'!G28:AO28,"CA"),COUNTIF(INDIRECT("'10-26'!G"&amp;VLOOKUP($E$4,$AC$5:$AD$25,2,FALSE())&amp;":AO"&amp;VLOOKUP($E$4,$AC$5:$AD$25,2,FALSE())),"CA/RC")+COUNTIF(INDIRECT("'10-26'!G"&amp;VLOOKUP($E$4,$AC$5:$AD$25,2,FALSE())&amp;":AO"&amp;VLOOKUP($E$4,$AC$5:$AD$25,2,FALSE())),"CA"))</f>
        <v>26</v>
      </c>
      <c r="M10" s="3">
        <f ca="1">IF($E$4="TOUS",COUNTIF('11-26'!G10:AO10,"CA/RC")+COUNTIF('11-26'!G9:AO9,"CA/RC")+COUNTIF('11-26'!G8:AO8,"CA/RC")+COUNTIF('11-26'!G11:AO11,"CA/RC")+COUNTIF('11-26'!F12:AO12,"CA/RC")+COUNTIF('11-26'!G13:AO13,"CA/RC")+COUNTIF('11-26'!F14:AO14,"CA/RC")+COUNTIF('11-26'!F15:AO15,"CA/RC")+COUNTIF('11-26'!G16:AO16,"CA/RC")+COUNTIF('11-26'!G17:AO17,"CA/RC")+COUNTIF('11-26'!G18:AO18,"CA/RC")+COUNTIF('11-26'!G19:AO19,"CA/RC")+COUNTIF('11-26'!F20:AO20,"CA/RC")+COUNTIF('11-26'!F21:AO21,"CA/RC")+COUNTIF('11-26'!F22:AO22,"CA/RC")+COUNTIF('11-26'!G23:AO23,"CA/RC")+COUNTIF('11-26'!G24:AO24,"CA/RC")+COUNTIF('11-26'!G25:AO25,"CA/RC")+COUNTIF('11-26'!G26:AO26,"CA/RC")+COUNTIF('11-26'!G27:AO27,"CA/RC")+COUNTIF('11-26'!G28:AO28,"CA/RC")+COUNTIF('11-26'!G10:AO10,"CA")+COUNTIF('11-26'!G9:AO9,"CA")+COUNTIF('11-26'!G8:AO8,"CA")+COUNTIF('11-26'!G11:AO11,"CA")+COUNTIF('11-26'!F12:AO12,"CA")+COUNTIF('11-26'!G13:AO13,"CA")+COUNTIF('11-26'!F14:AO14,"CA")+COUNTIF('11-26'!F15:AO15,"CA")+COUNTIF('11-26'!G16:AO16,"CA")+COUNTIF('11-26'!G17:AO17,"CA")+COUNTIF('11-26'!G18:AO18,"CA")+COUNTIF('11-26'!G19:AO19,"CA")+COUNTIF('11-26'!F20:AO20,"CA")+COUNTIF('11-26'!F21:AO21,"CA")+COUNTIF('11-26'!F22:AO22,"CA")+COUNTIF('11-26'!G23:AO23,"CA")+COUNTIF('11-26'!G24:AO24,"CA")+COUNTIF('11-26'!G25:AO25,"CA")+COUNTIF('11-26'!G26:AO26,"CA")+COUNTIF('11-26'!G27:AO27,"CA")+COUNTIF('11-26'!G28:AO28,"CA"),COUNTIF(INDIRECT("'11-26'!G"&amp;VLOOKUP($E$4,$AC$5:$AD$25,2,FALSE())&amp;":AO"&amp;VLOOKUP($E$4,$AC$5:$AD$25,2,FALSE())),"CA/RC")+COUNTIF(INDIRECT("'11-26'!G"&amp;VLOOKUP($E$4,$AC$5:$AD$25,2,FALSE())&amp;":AO"&amp;VLOOKUP($E$4,$AC$5:$AD$25,2,FALSE())),"CA"))</f>
        <v>23</v>
      </c>
      <c r="N10" s="3">
        <f ca="1">IF($E$4="TOUS",COUNTIF('12-26'!G10:AO10,"CA/RC")+COUNTIF('12-26'!G9:AO9,"CA/RC")+COUNTIF('12-26'!G8:AO8,"CA/RC")+COUNTIF('12-26'!G11:AO11,"CA/RC")+COUNTIF('12-26'!G12:AO12,"CA/RC")+COUNTIF('12-26'!G13:AO13,"CA/RC")+COUNTIF('12-26'!G14:AO14,"CA/RC")+COUNTIF('12-26'!F15:AO15,"CA/RC")+COUNTIF('12-26'!G16:AO16,"CA/RC")+COUNTIF('12-26'!F17:AO17,"CA/RC")+COUNTIF('12-26'!G18:AO18,"CA/RC")+COUNTIF('12-26'!G19:AO19,"CA/RC")+COUNTIF('12-26'!F20:AO20,"CA/RC")+COUNTIF('12-26'!F21:AO21,"CA/RC")+COUNTIF('12-26'!F22:AO22,"CA/RC")+COUNTIF('12-26'!G23:AO23,"CA/RC")+COUNTIF('12-26'!G24:AO24,"CA/RC")+COUNTIF('12-26'!G25:AO25,"CA/RC")+COUNTIF('12-26'!G26:AO26,"CA/RC")+COUNTIF('12-26'!G27:AO27,"CA/RC")+COUNTIF('12-26'!G28:AO28,"CA/RC")+COUNTIF('12-26'!G10:AO10,"CA")+COUNTIF('12-26'!G9:AO9,"CA")+COUNTIF('12-26'!G8:AO8,"CA")+COUNTIF('12-26'!G11:AO11,"CA")+COUNTIF('12-26'!G12:AO12,"CA")+COUNTIF('12-26'!G13:AO13,"CA")+COUNTIF('12-26'!G14:AO14,"CA")+COUNTIF('12-26'!F15:AO15,"CA")+COUNTIF('12-26'!G16:AO16,"CA")+COUNTIF('12-26'!F17:AO17,"CA")+COUNTIF('12-26'!G18:AO18,"CA")+COUNTIF('12-26'!G19:AO19,"CA")+COUNTIF('12-26'!F20:AO20,"CA")+COUNTIF('12-26'!F21:AO21,"CA")+COUNTIF('12-26'!F22:AO22,"CA")+COUNTIF('12-26'!G23:AO23,"CA")+COUNTIF('12-26'!G24:AO24,"CA")+COUNTIF('12-26'!G25:AO25,"CA")+COUNTIF('12-26'!G26:AO26,"CA")+COUNTIF('12-26'!G27:AO27,"CA")+COUNTIF('12-26'!G28:AO28,"CA"),COUNTIF(INDIRECT("'12-26'!G"&amp;VLOOKUP($E$4,$AC$5:$AD$25,2,FALSE())&amp;":AO"&amp;VLOOKUP($E$4,$AC$5:$AD$25,2,FALSE())),"CA/RC")+COUNTIF(INDIRECT("'12-26'!G"&amp;VLOOKUP($E$4,$AC$5:$AD$25,2,FALSE())&amp;":AO"&amp;VLOOKUP($E$4,$AC$5:$AD$25,2,FALSE())),"CA"))</f>
        <v>42</v>
      </c>
      <c r="O10" s="4">
        <f t="shared" ca="1" si="0"/>
        <v>516</v>
      </c>
      <c r="Q10" s="2" t="s">
        <v>30</v>
      </c>
      <c r="R10" s="3">
        <f>COUNTIF('01-26'!G8:AO8,"TP")+COUNTIF('02-26'!G8:AO8,"TP")+COUNTIF('03-26'!G8:AO8,"TP")+COUNTIF('04-26'!G8:AO8,"TP")+COUNTIF('05-26'!G8:AO8,"TP")+COUNTIF('06-26'!G8:AO8,"TP")+COUNTIF('07-26'!G8:AO8,"TP")+COUNTIF('08-26'!G8:AO8,"TP")+COUNTIF('09-26'!G8:AO8,"TP")+COUNTIF('10-26'!G8:AO8,"TP")+COUNTIF('11-26'!G8:AO8,"TP")+COUNTIF('12-26'!G8:AO8,"TP")</f>
        <v>0</v>
      </c>
      <c r="S10" s="3">
        <f>COUNTIF('01-26'!G8:AO8,"CSE")+COUNTIF('01-26'!G8:AO8,"CSE/RPX")+COUNTIF('01-26'!G8:AO8,"RPX")+COUNTIF('02-26'!G8:AO8,"CSE")+COUNTIF('02-26'!G8:AO8,"CSE/RPX")+COUNTIF('02-26'!G8:AO8,"RPX")+COUNTIF('03-26'!G8:AO8,"CSE")+COUNTIF('03-26'!G8:AO8,"CSE/RPX")+COUNTIF('03-26'!G8:AO8,"RPX")+COUNTIF('04-26'!G8:AO8,"CSE")+COUNTIF('04-26'!G8:AO8,"CSE/RPX")+COUNTIF('04-26'!G8:AO8,"RPX")+COUNTIF('05-26'!G8:AO8,"CSE")+COUNTIF('05-26'!G8:AO8,"CSE/RPX")+COUNTIF('05-26'!G8:AO8,"RPX")+COUNTIF('06-26'!G8:AO8,"CSE")+COUNTIF('06-26'!G8:AO8,"CSE/RPX")+COUNTIF('06-26'!G8:AO8,"RPX")+COUNTIF('07-26'!G8:AO8,"CSE")+COUNTIF('07-26'!G8:AO8,"CSE/RPX")+COUNTIF('07-26'!G8:AO8,"RPX")+COUNTIF('08-26'!G8:AO8,"CSE")+COUNTIF('08-26'!G8:AO8,"CSE/RPX")+COUNTIF('08-26'!G8:AO8,"RPX")+COUNTIF('09-26'!G8:AO8,"CSE")+COUNTIF('09-26'!G8:AO8,"CSE/RPX")+COUNTIF('09-26'!G8:AO8,"RPX")+COUNTIF('10-26'!G8:AO8,"CSE")+COUNTIF('10-26'!G8:AO8,"CSE/RPX")+COUNTIF('10-26'!G8:AO8,"RPX")+COUNTIF('11-26'!G8:AO8,"CSE")+COUNTIF('11-26'!G8:AO8,"CSE/RPX")+COUNTIF('11-26'!G8:AO8,"RPX")+COUNTIF('12-26'!G8:AO8,"CSE")+COUNTIF('12-26'!G8:AO8,"CSE/RPX")+COUNTIF('12-26'!G8:AO8,"RPX")</f>
        <v>0</v>
      </c>
      <c r="T10" s="3">
        <f>COUNTIF('01-26'!G8:AO8,"CA/RC")+COUNTIF('01-26'!G8:AO8,"CA")+COUNTIF('02-26'!G8:AO8,"CA/RC")+COUNTIF('02-26'!G8:AO8,"CA")+COUNTIF('03-26'!G8:AO8,"CA/RC")+COUNTIF('03-26'!G8:AO8,"CA")+COUNTIF('04-26'!G8:AO8,"CA/RC")+COUNTIF('04-26'!G8:AO8,"CA")+COUNTIF('05-26'!G8:AO8,"CA/RC")+COUNTIF('05-26'!G8:AO8,"CA")+COUNTIF('06-26'!G8:AO8,"CA/RC")+COUNTIF('06-26'!G8:AO8,"CA")+COUNTIF('07-26'!G8:AO8,"CA/RC")+COUNTIF('07-26'!G8:AO8,"CA")+COUNTIF('08-26'!G8:AO8,"CA/RC")+COUNTIF('08-26'!G8:AO8,"CA")+COUNTIF('09-26'!G8:AO8,"CA/RC")+COUNTIF('09-26'!G8:AO8,"CA")+COUNTIF('10-26'!G8:AO8,"CA/RC")+COUNTIF('10-26'!G8:AO8,"CA")+COUNTIF('11-26'!G8:AO8,"CA/RC")+COUNTIF('11-26'!G8:AO8,"CA")+COUNTIF('12-26'!G8:AO8,"CA/RC")+COUNTIF('12-26'!G8:AO8,"CA")</f>
        <v>32</v>
      </c>
      <c r="U10" s="3">
        <f>COUNTIF('01-26'!G8:AO8,"ATM/ATA")+COUNTIF('01-26'!G8:AO8,"ATM")+COUNTIF('01-26'!G8:AO8,"ATA")+COUNTIF('02-26'!G8:AO8,"ATM/ATA")+COUNTIF('02-26'!G8:AO8,"ATM")+COUNTIF('02-26'!G8:AO8,"ATA")+COUNTIF('03-26'!G8:AO8,"ATM/ATA")+COUNTIF('03-26'!G8:AO8,"ATM")+COUNTIF('03-26'!G8:AO8,"ATA")+COUNTIF('04-26'!G8:AO8,"ATM/ATA")+COUNTIF('04-26'!G8:AO8,"ATM")+COUNTIF('04-26'!G8:AO8,"ATA")+COUNTIF('05-26'!G8:AO8,"ATM/ATA")+COUNTIF('05-26'!G8:AO8,"ATM")+COUNTIF('05-26'!G8:AO8,"ATA")+COUNTIF('06-26'!G8:AO8,"ATM/ATA")+COUNTIF('06-26'!G8:AO8,"ATM")+COUNTIF('06-26'!G8:AO8,"ATA")+COUNTIF('07-26'!G8:AO8,"ATM/ATA")+COUNTIF('07-26'!G8:AO8,"ATM")+COUNTIF('07-26'!G8:AO8,"ATA")+COUNTIF('08-26'!G8:AO8,"ATM/ATA")+COUNTIF('08-26'!G8:AO8,"ATM")+COUNTIF('08-26'!G8:AO8,"ATA")+COUNTIF('09-26'!G8:AO8,"ATM/ATA")+COUNTIF('09-26'!G8:AO8,"ATM")+COUNTIF('09-26'!G8:AO8,"ATA")+COUNTIF('10-26'!G8:AO8,"ATM/ATA")+COUNTIF('10-26'!G8:AO8,"ATM")+COUNTIF('10-26'!G8:AO8,"ATA")+COUNTIF('11-26'!G8:AO8,"ATM/ATA")+COUNTIF('11-26'!G8:AO8,"ATM")+COUNTIF('11-26'!G8:AO8,"ATA")+COUNTIF('12-26'!G8:AO8,"ATM/ATA")+COUNTIF('12-26'!G8:AO8,"ATM")+COUNTIF('12-26'!G8:AO8,"ATA")</f>
        <v>0</v>
      </c>
      <c r="V10" s="3">
        <f>COUNTIF('01-26'!G8:AO8,"ASA")+COUNTIF('02-26'!G8:AO8,"ASA")+COUNTIF('03-26'!G8:AO8,"ASA")+COUNTIF('04-26'!G8:AO8,"ASA")+COUNTIF('05-26'!G8:AO8,"ASA")+COUNTIF('06-26'!G8:AO8,"ASA")+COUNTIF('07-26'!G8:AO8,"ASA")+COUNTIF('08-26'!G8:AO8,"ASA")+COUNTIF('09-26'!G8:AO8,"ASA")+COUNTIF('10-26'!G8:AO8,"ASA")+COUNTIF('11-26'!G8:AO8,"ASA")+COUNTIF('12-26'!G8:AO8,"ASA")</f>
        <v>0</v>
      </c>
      <c r="W10" s="3">
        <f>COUNTIF('01-26'!G8:AO8,"FORM")+COUNTIF('02-26'!G8:AO8,"FORM")+COUNTIF('03-26'!G8:AO8,"FORM")+COUNTIF('04-26'!G8:AO8,"FORM")+COUNTIF('05-26'!G8:AO8,"FORM")+COUNTIF('06-26'!G8:AO8,"FORM")+COUNTIF('07-26'!G8:AO8,"FORM")+COUNTIF('08-26'!G8:AO8,"FORM")+COUNTIF('09-26'!G8:AO8,"FORM")+COUNTIF('10-26'!G8:AO8,"FORM")+COUNTIF('11-26'!G8:AO8,"FORM")+COUNTIF('12-26'!G8:AO8,"FORM")</f>
        <v>0</v>
      </c>
      <c r="X10" s="3">
        <f>COUNTIF('01-26'!G8:AO8,"RPM")+COUNTIF('01-26'!G8:AO8,"JPS")+COUNTIF('02-26'!G8:AO8,"RPM")+COUNTIF('02-26'!G8:AO8,"JPS")+COUNTIF('03-26'!G8:AO8,"RPM")+COUNTIF('03-26'!G8:AO8,"JPS")+COUNTIF('04-26'!G8:AO8,"RPM")+COUNTIF('04-26'!G8:AO8,"JPS")+COUNTIF('05-26'!G8:AO8,"RPM")+COUNTIF('05-26'!G8:AO8,"JPS")+COUNTIF('06-26'!G8:AO8,"RPM")+COUNTIF('06-26'!G8:AO8,"JPS")+COUNTIF('07-26'!G8:AO8,"RPM")+COUNTIF('07-26'!G8:AO8,"JPS")+COUNTIF('08-26'!G8:AO8,"RPM")+COUNTIF('08-26'!G8:AO8,"JPS")+COUNTIF('09-26'!G8:AO8,"RPM")+COUNTIF('09-26'!G8:AO8,"JPS")+COUNTIF('10-26'!G8:AO8,"RPM")+COUNTIF('10-26'!G8:AO8,"JPS")+COUNTIF('11-26'!G8:AO8,"RPM")+COUNTIF('11-26'!G8:AO8,"JPS")+COUNTIF('12-26'!G8:AO8,"RPM")+COUNTIF('12-26'!G8:AO8,"JPS")</f>
        <v>10</v>
      </c>
      <c r="Y10" s="393">
        <f t="shared" si="1"/>
        <v>42</v>
      </c>
      <c r="AB10" t="s">
        <v>32</v>
      </c>
      <c r="AC10" t="s">
        <v>33</v>
      </c>
      <c r="AD10">
        <v>13</v>
      </c>
    </row>
    <row r="11" spans="1:30" ht="19.5" customHeight="1">
      <c r="A11" s="390"/>
      <c r="B11" s="2" t="s">
        <v>26</v>
      </c>
      <c r="C11" s="5">
        <f ca="1">IF($E$4="TOUS",COUNTIF('01-26'!G10:AO10,"ATM/ATA")+COUNTIF('01-26'!G9:AO9,"ATM/ATA")+COUNTIF('01-26'!G8:AO8,"ATM/ATA")+COUNTIF('01-26'!G11:AO11,"ATM/ATA")+COUNTIF('01-26'!G12:AO12,"ATM/ATA")+COUNTIF('01-26'!G13:AO13,"ATM/ATA")+COUNTIF('01-26'!F14:AO14,"ATM/ATA")+COUNTIF('01-26'!G15:AO15,"ATM/ATA")+COUNTIF('01-26'!F16:AO16,"ATM/ATA")+COUNTIF('01-26'!F17:AO17,"ATM/ATA")+COUNTIF('01-26'!G18:AO18,"ATM/ATA")+COUNTIF('01-26'!G19:AO19,"ATM/ATA")+COUNTIF('01-26'!F20:AO20,"ATM/ATA")+COUNTIF('01-26'!F21:AO21,"ATM/ATA")+COUNTIF('01-26'!G22:AO22,"ATM/ATA")+COUNTIF('01-26'!G23:AO23,"ATM/ATA")+COUNTIF('01-26'!G24:AO24,"ATM/ATA")+COUNTIF('01-26'!G25:AO25,"ATM/ATA")+COUNTIF('01-26'!G26:AO26,"ATM/ATA")+COUNTIF('01-26'!G27:AO27,"ATM/ATA")+COUNTIF('01-26'!G28:AO28,"ATM/ATA")+COUNTIF('01-26'!G10:AO10,"ATM")+COUNTIF('01-26'!G9:AO9,"ATM")+COUNTIF('01-26'!G8:AO8,"ATM")+COUNTIF('01-26'!G11:AO11,"ATM")+COUNTIF('01-26'!G12:AO12,"ATM")+COUNTIF('01-26'!G13:AO13,"ATM")+COUNTIF('01-26'!F14:AO14,"ATM")+COUNTIF('01-26'!G15:AO15,"ATM")+COUNTIF('01-26'!F16:AO16,"ATM")+COUNTIF('01-26'!F17:AO17,"ATM")+COUNTIF('01-26'!G18:AO18,"ATM")+COUNTIF('01-26'!G19:AO19,"ATM")+COUNTIF('01-26'!F20:AO20,"ATM")+COUNTIF('01-26'!F21:AO21,"ATM")+COUNTIF('01-26'!G22:AO22,"ATM")+COUNTIF('01-26'!G23:AO23,"ATM")+COUNTIF('01-26'!G24:AO24,"ATM")+COUNTIF('01-26'!G25:AO25,"ATM")+COUNTIF('01-26'!G26:AO26,"ATM")+COUNTIF('01-26'!G27:AO27,"ATM")+COUNTIF('01-26'!G28:AO28,"ATM")+COUNTIF('01-26'!G10:AO10,"ATA")+COUNTIF('01-26'!G9:AO9,"ATA")+COUNTIF('01-26'!G8:AO8,"ATA")+COUNTIF('01-26'!G11:AO11,"ATA")+COUNTIF('01-26'!G12:AO12,"ATA")+COUNTIF('01-26'!G13:AO13,"ATA")+COUNTIF('01-26'!F14:AO14,"ATA")+COUNTIF('01-26'!G15:AO15,"ATA")+COUNTIF('01-26'!F16:AO16,"ATA")+COUNTIF('01-26'!F17:AO17,"ATA")+COUNTIF('01-26'!G18:AO18,"ATA")+COUNTIF('01-26'!G19:AO19,"ATA")+COUNTIF('01-26'!F20:AO20,"ATA")+COUNTIF('01-26'!F21:AO21,"ATA")+COUNTIF('01-26'!G22:AO22,"ATA")+COUNTIF('01-26'!G23:AO23,"ATA")+COUNTIF('01-26'!G24:AO24,"ATA")+COUNTIF('01-26'!G25:AO25,"ATA")+COUNTIF('01-26'!G26:AO26,"ATA")+COUNTIF('01-26'!G27:AO27,"ATA")+COUNTIF('01-26'!G28:AO28,"ATA"),COUNTIF(INDIRECT("'01-26'!G"&amp;VLOOKUP($E$4,$AC$5:$AD$25,2,FALSE())&amp;":AO"&amp;VLOOKUP($E$4,$AC$5:$AD$25,2,FALSE())),"ATM/ATA")+COUNTIF(INDIRECT("'01-26'!G"&amp;VLOOKUP($E$4,$AC$5:$AD$25,2,FALSE())&amp;":AO"&amp;VLOOKUP($E$4,$AC$5:$AD$25,2,FALSE())),"ATM")+COUNTIF(INDIRECT("'01-26'!G"&amp;VLOOKUP($E$4,$AC$5:$AD$25,2,FALSE())&amp;":AO"&amp;VLOOKUP($E$4,$AC$5:$AD$25,2,FALSE())),"ATA"))</f>
        <v>15</v>
      </c>
      <c r="D11" s="5">
        <f ca="1">IF($E$4="TOUS",COUNTIF('02-26'!G10:AO10,"ATM/ATA")+COUNTIF('02-26'!G9:AO9,"ATM/ATA")+COUNTIF('02-26'!G8:AO8,"ATM/ATA")+COUNTIF('02-26'!G11:AO11,"ATM/ATA")+COUNTIF('02-26'!F12:AO12,"ATM/ATA")+COUNTIF('02-26'!G13:AO13,"ATM/ATA")+COUNTIF('02-26'!G14:AO14,"ATM/ATA")+COUNTIF('02-26'!F15:AO15,"ATM/ATA")+COUNTIF('02-26'!G16:AO16,"ATM/ATA")+COUNTIF('02-26'!F17:AO17,"ATM/ATA")+COUNTIF('02-26'!G18:AO18,"ATM/ATA")+COUNTIF('02-26'!G19:AO19,"ATM/ATA")+COUNTIF('02-26'!F20:AO20,"ATM/ATA")+COUNTIF('02-26'!G21:AO21,"ATM/ATA")+COUNTIF('02-26'!G22:AO22,"ATM/ATA")+COUNTIF('02-26'!G23:AO23,"ATM/ATA")+COUNTIF('02-26'!G24:AO24,"ATM/ATA")+COUNTIF('02-26'!G25:AO25,"ATM/ATA")+COUNTIF('02-26'!G26:AO26,"ATM/ATA")+COUNTIF('02-26'!G27:AO27,"ATM/ATA")+COUNTIF('02-26'!G28:AO28,"ATM/ATA")+COUNTIF('02-26'!G10:AO10,"ATM")+COUNTIF('02-26'!G9:AO9,"ATM")+COUNTIF('02-26'!G8:AO8,"ATM")+COUNTIF('02-26'!G11:AO11,"ATM")+COUNTIF('02-26'!F12:AO12,"ATM")+COUNTIF('02-26'!G13:AO13,"ATM")+COUNTIF('02-26'!G14:AO14,"ATM")+COUNTIF('02-26'!F15:AO15,"ATM")+COUNTIF('02-26'!G16:AO16,"ATM")+COUNTIF('02-26'!F17:AO17,"ATM")+COUNTIF('02-26'!G18:AO18,"ATM")+COUNTIF('02-26'!G19:AO19,"ATM")+COUNTIF('02-26'!F20:AO20,"ATM")+COUNTIF('02-26'!G21:AO21,"ATM")+COUNTIF('02-26'!G22:AO22,"ATM")+COUNTIF('02-26'!G23:AO23,"ATM")+COUNTIF('02-26'!G24:AO24,"ATM")+COUNTIF('02-26'!G25:AO25,"ATM")+COUNTIF('02-26'!G26:AO26,"ATM")+COUNTIF('02-26'!G27:AO27,"ATM")+COUNTIF('02-26'!G28:AO28,"ATM")+COUNTIF('02-26'!G10:AO10,"ATA")+COUNTIF('02-26'!G9:AO9,"ATA")+COUNTIF('02-26'!G8:AO8,"ATA")+COUNTIF('02-26'!G11:AO11,"ATA")+COUNTIF('02-26'!F12:AO12,"ATA")+COUNTIF('02-26'!G13:AO13,"ATA")+COUNTIF('02-26'!G14:AO14,"ATA")+COUNTIF('02-26'!F15:AO15,"ATA")+COUNTIF('02-26'!G16:AO16,"ATA")+COUNTIF('02-26'!F17:AO17,"ATA")+COUNTIF('02-26'!G18:AO18,"ATA")+COUNTIF('02-26'!G19:AO19,"ATA")+COUNTIF('02-26'!F20:AO20,"ATA")+COUNTIF('02-26'!G21:AO21,"ATA")+COUNTIF('02-26'!G22:AO22,"ATA")+COUNTIF('02-26'!G23:AO23,"ATA")+COUNTIF('02-26'!G24:AO24,"ATA")+COUNTIF('02-26'!G25:AO25,"ATA")+COUNTIF('02-26'!G26:AO26,"ATA")+COUNTIF('02-26'!G27:AO27,"ATA")+COUNTIF('02-26'!G28:AO28,"ATA"),COUNTIF(INDIRECT("'02-26'!G"&amp;VLOOKUP($E$4,$AC$5:$AD$25,2,FALSE())&amp;":AO"&amp;VLOOKUP($E$4,$AC$5:$AD$25,2,FALSE())),"ATM/ATA")+COUNTIF(INDIRECT("'02-26'!G"&amp;VLOOKUP($E$4,$AC$5:$AD$25,2,FALSE())&amp;":AO"&amp;VLOOKUP($E$4,$AC$5:$AD$25,2,FALSE())),"ATM")+COUNTIF(INDIRECT("'02-26'!G"&amp;VLOOKUP($E$4,$AC$5:$AD$25,2,FALSE())&amp;":AO"&amp;VLOOKUP($E$4,$AC$5:$AD$25,2,FALSE())),"ATA"))</f>
        <v>33</v>
      </c>
      <c r="E11" s="5">
        <f ca="1">IF($E$4="TOUS",COUNTIF('03-26'!G10:AO10,"ATM/ATA")+COUNTIF('03-26'!G9:AO9,"ATM/ATA")+COUNTIF('03-26'!G8:AO8,"ATM/ATA")+COUNTIF('03-26'!G11:AO11,"ATM/ATA")+COUNTIF('03-26'!F12:AO12,"ATM/ATA")+COUNTIF('03-26'!G13:AO13,"ATM/ATA")+COUNTIF('03-26'!G14:AO14,"ATM/ATA")+COUNTIF('03-26'!F15:AO15,"ATM/ATA")+COUNTIF('03-26'!F16:AO16,"ATM/ATA")+COUNTIF('03-26'!F17:AO17,"ATM/ATA")+COUNTIF('03-26'!F18:AO18,"ATM/ATA")+COUNTIF('03-26'!G19:AO19,"ATM/ATA")+COUNTIF('03-26'!G20:AO20,"ATM/ATA")+COUNTIF('03-26'!G21:AO21,"ATM/ATA")+COUNTIF('03-26'!F22:AO22,"ATM/ATA")+COUNTIF('03-26'!G23:AO23,"ATM/ATA")+COUNTIF('03-26'!G24:AO24,"ATM/ATA")+COUNTIF('03-26'!G25:AO25,"ATM/ATA")+COUNTIF('03-26'!G26:AO26,"ATM/ATA")+COUNTIF('03-26'!G27:AO27,"ATM/ATA")+COUNTIF('03-26'!G28:AO28,"ATM/ATA")+COUNTIF('03-26'!G10:AO10,"ATM")+COUNTIF('03-26'!G9:AO9,"ATM")+COUNTIF('03-26'!G8:AO8,"ATM")+COUNTIF('03-26'!G11:AO11,"ATM")+COUNTIF('03-26'!F12:AO12,"ATM")+COUNTIF('03-26'!G13:AO13,"ATM")+COUNTIF('03-26'!G14:AO14,"ATM")+COUNTIF('03-26'!F15:AO15,"ATM")+COUNTIF('03-26'!F16:AO16,"ATM")+COUNTIF('03-26'!F17:AO17,"ATM")+COUNTIF('03-26'!F18:AO18,"ATM")+COUNTIF('03-26'!G19:AO19,"ATM")+COUNTIF('03-26'!G20:AO20,"ATM")+COUNTIF('03-26'!G21:AO21,"ATM")+COUNTIF('03-26'!F22:AO22,"ATM")+COUNTIF('03-26'!G23:AO23,"ATM")+COUNTIF('03-26'!G24:AO24,"ATM")+COUNTIF('03-26'!G25:AO25,"ATM")+COUNTIF('03-26'!G26:AO26,"ATM")+COUNTIF('03-26'!G27:AO27,"ATM")+COUNTIF('03-26'!G28:AO28,"ATM")+COUNTIF('03-26'!G10:AO10,"ATA")+COUNTIF('03-26'!G9:AO9,"ATA")+COUNTIF('03-26'!G8:AO8,"ATA")+COUNTIF('03-26'!G11:AO11,"ATA")+COUNTIF('03-26'!F12:AO12,"ATA")+COUNTIF('03-26'!G13:AO13,"ATA")+COUNTIF('03-26'!G14:AO14,"ATA")+COUNTIF('03-26'!F15:AO15,"ATA")+COUNTIF('03-26'!F16:AO16,"ATA")+COUNTIF('03-26'!F17:AO17,"ATA")+COUNTIF('03-26'!F18:AO18,"ATA")+COUNTIF('03-26'!G19:AO19,"ATA")+COUNTIF('03-26'!G20:AO20,"ATA")+COUNTIF('03-26'!G21:AO21,"ATA")+COUNTIF('03-26'!F22:AO22,"ATA")+COUNTIF('03-26'!G23:AO23,"ATA")+COUNTIF('03-26'!G24:AO24,"ATA")+COUNTIF('03-26'!G25:AO25,"ATA")+COUNTIF('03-26'!G26:AO26,"ATA")+COUNTIF('03-26'!G27:AO27,"ATA")+COUNTIF('03-26'!G28:AO28,"ATA"),COUNTIF(INDIRECT("'03-26'!G"&amp;VLOOKUP($E$4,$AC$5:$AD$25,2,FALSE())&amp;":AO"&amp;VLOOKUP($E$4,$AC$5:$AD$25,2,FALSE())),"ATM/ATA")+COUNTIF(INDIRECT("'03-26'!G"&amp;VLOOKUP($E$4,$AC$5:$AD$25,2,FALSE())&amp;":AO"&amp;VLOOKUP($E$4,$AC$5:$AD$25,2,FALSE())),"ATM")+COUNTIF(INDIRECT("'03-26'!G"&amp;VLOOKUP($E$4,$AC$5:$AD$25,2,FALSE())&amp;":AO"&amp;VLOOKUP($E$4,$AC$5:$AD$25,2,FALSE())),"ATA"))</f>
        <v>25</v>
      </c>
      <c r="F11" s="5">
        <f ca="1">IF($E$4="TOUS",COUNTIF('04-26'!G10:AO10,"ATM/ATA")+COUNTIF('04-26'!G9:AO9,"ATM/ATA")+COUNTIF('04-26'!G8:AO8,"ATM/ATA")+COUNTIF('04-26'!G11:AO11,"ATM/ATA")+COUNTIF('04-26'!F12:AO12,"ATM/ATA")+COUNTIF('04-26'!G13:AO13,"ATM/ATA")+COUNTIF('04-26'!F14:AO14,"ATM/ATA")+COUNTIF('04-26'!G15:AO15,"ATM/ATA")+COUNTIF('04-26'!G16:AO16,"ATM/ATA")+COUNTIF('04-26'!G17:AO17,"ATM/ATA")+COUNTIF('04-26'!G18:AO18,"ATM/ATA")+COUNTIF('04-26'!G19:AO19,"ATM/ATA")+COUNTIF('04-26'!G20:AO20,"ATM/ATA")+COUNTIF('04-26'!G21:AO21,"ATM/ATA")+COUNTIF('04-26'!G22:AO22,"ATM/ATA")+COUNTIF('04-26'!G23:AO23,"ATM/ATA")+COUNTIF('04-26'!G24:AO24,"ATM/ATA")+COUNTIF('04-26'!G25:AO25,"ATM/ATA")+COUNTIF('04-26'!G26:AO26,"ATM/ATA")+COUNTIF('04-26'!G27:AO27,"ATM/ATA")+COUNTIF('04-26'!G28:AO28,"ATM/ATA")+COUNTIF('04-26'!G10:AO10,"ATM")+COUNTIF('04-26'!G9:AO9,"ATM")+COUNTIF('04-26'!G8:AO8,"ATM")+COUNTIF('04-26'!G11:AO11,"ATM")+COUNTIF('04-26'!F12:AO12,"ATM")+COUNTIF('04-26'!G13:AO13,"ATM")+COUNTIF('04-26'!F14:AO14,"ATM")+COUNTIF('04-26'!G15:AO15,"ATM")+COUNTIF('04-26'!G16:AO16,"ATM")+COUNTIF('04-26'!G17:AO17,"ATM")+COUNTIF('04-26'!G18:AO18,"ATM")+COUNTIF('04-26'!G19:AO19,"ATM")+COUNTIF('04-26'!G20:AO20,"ATM")+COUNTIF('04-26'!G21:AO21,"ATM")+COUNTIF('04-26'!G22:AO22,"ATM")+COUNTIF('04-26'!G23:AO23,"ATM")+COUNTIF('04-26'!G24:AO24,"ATM")+COUNTIF('04-26'!G25:AO25,"ATM")+COUNTIF('04-26'!G26:AO26,"ATM")+COUNTIF('04-26'!G27:AO27,"ATM")+COUNTIF('04-26'!G28:AO28,"ATM")+COUNTIF('04-26'!G10:AO10,"ATA")+COUNTIF('04-26'!G9:AO9,"ATA")+COUNTIF('04-26'!G8:AO8,"ATA")+COUNTIF('04-26'!G11:AO11,"ATA")+COUNTIF('04-26'!F12:AO12,"ATA")+COUNTIF('04-26'!G13:AO13,"ATA")+COUNTIF('04-26'!F14:AO14,"ATA")+COUNTIF('04-26'!G15:AO15,"ATA")+COUNTIF('04-26'!G16:AO16,"ATA")+COUNTIF('04-26'!G17:AO17,"ATA")+COUNTIF('04-26'!G18:AO18,"ATA")+COUNTIF('04-26'!G19:AO19,"ATA")+COUNTIF('04-26'!G20:AO20,"ATA")+COUNTIF('04-26'!G21:AO21,"ATA")+COUNTIF('04-26'!G22:AO22,"ATA")+COUNTIF('04-26'!G23:AO23,"ATA")+COUNTIF('04-26'!G24:AO24,"ATA")+COUNTIF('04-26'!G25:AO25,"ATA")+COUNTIF('04-26'!G26:AO26,"ATA")+COUNTIF('04-26'!G27:AO27,"ATA")+COUNTIF('04-26'!G28:AO28,"ATA"),COUNTIF(INDIRECT("'04-26'!G"&amp;VLOOKUP($E$4,$AC$5:$AD$25,2,FALSE())&amp;":AO"&amp;VLOOKUP($E$4,$AC$5:$AD$25,2,FALSE())),"ATM/ATA")+COUNTIF(INDIRECT("'04-26'!G"&amp;VLOOKUP($E$4,$AC$5:$AD$25,2,FALSE())&amp;":AO"&amp;VLOOKUP($E$4,$AC$5:$AD$25,2,FALSE())),"ATM")+COUNTIF(INDIRECT("'04-26'!G"&amp;VLOOKUP($E$4,$AC$5:$AD$25,2,FALSE())&amp;":AO"&amp;VLOOKUP($E$4,$AC$5:$AD$25,2,FALSE())),"ATA"))</f>
        <v>26</v>
      </c>
      <c r="G11" s="5">
        <f ca="1">IF($E$4="TOUS",COUNTIF('05-26'!G10:AO10,"ATM/ATA")+COUNTIF('05-26'!G9:AO9,"ATM/ATA")+COUNTIF('05-26'!G8:AO8,"ATM/ATA")+COUNTIF('05-26'!G11:AO11,"ATM/ATA")+COUNTIF('05-26'!F12:AO12,"ATM/ATA")+COUNTIF('05-26'!G13:AO13,"ATM/ATA")+COUNTIF('05-26'!F14:AO14,"ATM/ATA")+COUNTIF('05-26'!F15:AO15,"ATM/ATA")+COUNTIF('05-26'!G16:AO16,"ATM/ATA")+COUNTIF('05-26'!F17:AO17,"ATM/ATA")+COUNTIF('05-26'!G18:AO18,"ATM/ATA")+COUNTIF('05-26'!G19:AO19,"ATM/ATA")+COUNTIF('05-26'!G20:AO20,"ATM/ATA")+COUNTIF('05-26'!F21:AO21,"ATM/ATA")+COUNTIF('05-26'!F22:AO22,"ATM/ATA")+COUNTIF('05-26'!G23:AO23,"ATM/ATA")+COUNTIF('05-26'!G24:AO24,"ATM/ATA")+COUNTIF('05-26'!G25:AO25,"ATM/ATA")+COUNTIF('05-26'!G26:AO26,"ATM/ATA")+COUNTIF('05-26'!G27:AO27,"ATM/ATA")+COUNTIF('05-26'!G28:AO28,"ATM/ATA")+COUNTIF('05-26'!G10:AO10,"ATM")+COUNTIF('05-26'!G9:AO9,"ATM")+COUNTIF('05-26'!G8:AO8,"ATM")+COUNTIF('05-26'!G11:AO11,"ATM")+COUNTIF('05-26'!F12:AO12,"ATM")+COUNTIF('05-26'!G13:AO13,"ATM")+COUNTIF('05-26'!F14:AO14,"ATM")+COUNTIF('05-26'!F15:AO15,"ATM")+COUNTIF('05-26'!G16:AO16,"ATM")+COUNTIF('05-26'!F17:AO17,"ATM")+COUNTIF('05-26'!G18:AO18,"ATM")+COUNTIF('05-26'!G19:AO19,"ATM")+COUNTIF('05-26'!G20:AO20,"ATM")+COUNTIF('05-26'!F21:AO21,"ATM")+COUNTIF('05-26'!F22:AO22,"ATM")+COUNTIF('05-26'!G23:AO23,"ATM")+COUNTIF('05-26'!G24:AO24,"ATM")+COUNTIF('05-26'!G25:AO25,"ATM")+COUNTIF('05-26'!G26:AO26,"ATM")+COUNTIF('05-26'!G27:AO27,"ATM")+COUNTIF('05-26'!G28:AO28,"ATM")+COUNTIF('05-26'!G10:AO10,"ATA")+COUNTIF('05-26'!G9:AO9,"ATA")+COUNTIF('05-26'!G8:AO8,"ATA")+COUNTIF('05-26'!G11:AO11,"ATA")+COUNTIF('05-26'!F12:AO12,"ATA")+COUNTIF('05-26'!G13:AO13,"ATA")+COUNTIF('05-26'!F14:AO14,"ATA")+COUNTIF('05-26'!F15:AO15,"ATA")+COUNTIF('05-26'!G16:AO16,"ATA")+COUNTIF('05-26'!F17:AO17,"ATA")+COUNTIF('05-26'!G18:AO18,"ATA")+COUNTIF('05-26'!G19:AO19,"ATA")+COUNTIF('05-26'!G20:AO20,"ATA")+COUNTIF('05-26'!F21:AO21,"ATA")+COUNTIF('05-26'!F22:AO22,"ATA")+COUNTIF('05-26'!G23:AO23,"ATA")+COUNTIF('05-26'!G24:AO24,"ATA")+COUNTIF('05-26'!G25:AO25,"ATA")+COUNTIF('05-26'!G26:AO26,"ATA")+COUNTIF('05-26'!G27:AO27,"ATA")+COUNTIF('05-26'!G28:AO28,"ATA"),COUNTIF(INDIRECT("'05-26'!G"&amp;VLOOKUP($E$4,$AC$5:$AD$25,2,FALSE())&amp;":AO"&amp;VLOOKUP($E$4,$AC$5:$AD$25,2,FALSE())),"ATM/ATA")+COUNTIF(INDIRECT("'05-26'!G"&amp;VLOOKUP($E$4,$AC$5:$AD$25,2,FALSE())&amp;":AO"&amp;VLOOKUP($E$4,$AC$5:$AD$25,2,FALSE())),"ATM")+COUNTIF(INDIRECT("'05-26'!G"&amp;VLOOKUP($E$4,$AC$5:$AD$25,2,FALSE())&amp;":AO"&amp;VLOOKUP($E$4,$AC$5:$AD$25,2,FALSE())),"ATA"))</f>
        <v>8</v>
      </c>
      <c r="H11" s="5">
        <f ca="1">IF($E$4="TOUS",COUNTIF('06-26'!G10:AO10,"ATM/ATA")+COUNTIF('06-26'!G9:AO9,"ATM/ATA")+COUNTIF('06-26'!G8:AO8,"ATM/ATA")+COUNTIF('06-26'!G11:AO11,"ATM/ATA")+COUNTIF('06-26'!F12:AO12,"ATM/ATA")+COUNTIF('06-26'!G13:AO13,"ATM/ATA")+COUNTIF('06-26'!F14:AO14,"ATM/ATA")+COUNTIF('06-26'!F15:AO15,"ATM/ATA")+COUNTIF('06-26'!F16:AO16,"ATM/ATA")+COUNTIF('06-26'!F17:AO17,"ATM/ATA")+COUNTIF('06-26'!G18:AO18,"ATM/ATA")+COUNTIF('06-26'!G19:AO19,"ATM/ATA")+COUNTIF('06-26'!G20:AO20,"ATM/ATA")+COUNTIF('06-26'!F21:AO21,"ATM/ATA")+COUNTIF('06-26'!F22:AO22,"ATM/ATA")+COUNTIF('06-26'!G23:AO23,"ATM/ATA")+COUNTIF('06-26'!G24:AO24,"ATM/ATA")+COUNTIF('06-26'!G25:AO25,"ATM/ATA")+COUNTIF('06-26'!G26:AO26,"ATM/ATA")+COUNTIF('06-26'!G27:AO27,"ATM/ATA")+COUNTIF('06-26'!G28:AO28,"ATM/ATA")+COUNTIF('06-26'!G10:AO10,"ATM")+COUNTIF('06-26'!G9:AO9,"ATM")+COUNTIF('06-26'!G8:AO8,"ATM")+COUNTIF('06-26'!G11:AO11,"ATM")+COUNTIF('06-26'!F12:AO12,"ATM")+COUNTIF('06-26'!G13:AO13,"ATM")+COUNTIF('06-26'!F14:AO14,"ATM")+COUNTIF('06-26'!F15:AO15,"ATM")+COUNTIF('06-26'!F16:AO16,"ATM")+COUNTIF('06-26'!F17:AO17,"ATM")+COUNTIF('06-26'!G18:AO18,"ATM")+COUNTIF('06-26'!G19:AO19,"ATM")+COUNTIF('06-26'!G20:AO20,"ATM")+COUNTIF('06-26'!F21:AO21,"ATM")+COUNTIF('06-26'!F22:AO22,"ATM")+COUNTIF('06-26'!G23:AO23,"ATM")+COUNTIF('06-26'!G24:AO24,"ATM")+COUNTIF('06-26'!G25:AO25,"ATM")+COUNTIF('06-26'!G26:AO26,"ATM")+COUNTIF('06-26'!G27:AO27,"ATM")+COUNTIF('06-26'!G28:AO28,"ATM")+COUNTIF('06-26'!G10:AO10,"ATA")+COUNTIF('06-26'!G9:AO9,"ATA")+COUNTIF('06-26'!G8:AO8,"ATA")+COUNTIF('06-26'!G11:AO11,"ATA")+COUNTIF('06-26'!F12:AO12,"ATA")+COUNTIF('06-26'!G13:AO13,"ATA")+COUNTIF('06-26'!F14:AO14,"ATA")+COUNTIF('06-26'!F15:AO15,"ATA")+COUNTIF('06-26'!F16:AO16,"ATA")+COUNTIF('06-26'!F17:AO17,"ATA")+COUNTIF('06-26'!G18:AO18,"ATA")+COUNTIF('06-26'!G19:AO19,"ATA")+COUNTIF('06-26'!G20:AO20,"ATA")+COUNTIF('06-26'!F21:AO21,"ATA")+COUNTIF('06-26'!F22:AO22,"ATA")+COUNTIF('06-26'!G23:AO23,"ATA")+COUNTIF('06-26'!G24:AO24,"ATA")+COUNTIF('06-26'!G25:AO25,"ATA")+COUNTIF('06-26'!G26:AO26,"ATA")+COUNTIF('06-26'!G27:AO27,"ATA")+COUNTIF('06-26'!G28:AO28,"ATA"),COUNTIF(INDIRECT("'06-26'!G"&amp;VLOOKUP($E$4,$AC$5:$AD$25,2,FALSE())&amp;":AO"&amp;VLOOKUP($E$4,$AC$5:$AD$25,2,FALSE())),"ATM/ATA")+COUNTIF(INDIRECT("'06-26'!G"&amp;VLOOKUP($E$4,$AC$5:$AD$25,2,FALSE())&amp;":AO"&amp;VLOOKUP($E$4,$AC$5:$AD$25,2,FALSE())),"ATM")+COUNTIF(INDIRECT("'06-26'!G"&amp;VLOOKUP($E$4,$AC$5:$AD$25,2,FALSE())&amp;":AO"&amp;VLOOKUP($E$4,$AC$5:$AD$25,2,FALSE())),"ATA"))</f>
        <v>0</v>
      </c>
      <c r="I11" s="5">
        <f ca="1">IF($E$4="TOUS",COUNTIF('07-26'!G10:AO10,"ATM/ATA")+COUNTIF('07-26'!G9:AO9,"ATM/ATA")+COUNTIF('07-26'!G8:AO8,"ATM/ATA")+COUNTIF('07-26'!F11:AO11,"ATM/ATA")+COUNTIF('07-26'!G12:AO12,"ATM/ATA")+COUNTIF('07-26'!G13:AO13,"ATM/ATA")+COUNTIF('07-26'!F14:AO14,"ATM/ATA")+COUNTIF('07-26'!F15:AO15,"ATM/ATA")+COUNTIF('07-26'!G16:AO16,"ATM/ATA")+COUNTIF('07-26'!G17:AO17,"ATM/ATA")+COUNTIF('07-26'!G18:AO18,"ATM/ATA")+COUNTIF('07-26'!G19:AO19,"ATM/ATA")+COUNTIF('07-26'!F20:AO20,"ATM/ATA")+COUNTIF('07-26'!F21:AO21,"ATM/ATA")+COUNTIF('07-26'!F22:AO22,"ATM/ATA")+COUNTIF('07-26'!G23:AO23,"ATM/ATA")+COUNTIF('07-26'!G24:AO24,"ATM/ATA")+COUNTIF('07-26'!G25:AO25,"ATM/ATA")+COUNTIF('07-26'!G26:AO26,"ATM/ATA")+COUNTIF('07-26'!G27:AO27,"ATM/ATA")+COUNTIF('07-26'!G28:AO28,"ATM/ATA")+COUNTIF('07-26'!G10:AO10,"ATM")+COUNTIF('07-26'!G9:AO9,"ATM")+COUNTIF('07-26'!G8:AO8,"ATM")+COUNTIF('07-26'!F11:AO11,"ATM")+COUNTIF('07-26'!G12:AO12,"ATM")+COUNTIF('07-26'!G13:AO13,"ATM")+COUNTIF('07-26'!F14:AO14,"ATM")+COUNTIF('07-26'!F15:AO15,"ATM")+COUNTIF('07-26'!G16:AO16,"ATM")+COUNTIF('07-26'!G17:AO17,"ATM")+COUNTIF('07-26'!G18:AO18,"ATM")+COUNTIF('07-26'!G19:AO19,"ATM")+COUNTIF('07-26'!F20:AO20,"ATM")+COUNTIF('07-26'!F21:AO21,"ATM")+COUNTIF('07-26'!F22:AO22,"ATM")+COUNTIF('07-26'!G23:AO23,"ATM")+COUNTIF('07-26'!G24:AO24,"ATM")+COUNTIF('07-26'!G25:AO25,"ATM")+COUNTIF('07-26'!G26:AO26,"ATM")+COUNTIF('07-26'!G27:AO27,"ATM")+COUNTIF('07-26'!G28:AO28,"ATM")+COUNTIF('07-26'!G10:AO10,"ATA")+COUNTIF('07-26'!G9:AO9,"ATA")+COUNTIF('07-26'!G8:AO8,"ATA")+COUNTIF('07-26'!F11:AO11,"ATA")+COUNTIF('07-26'!G12:AO12,"ATA")+COUNTIF('07-26'!G13:AO13,"ATA")+COUNTIF('07-26'!F14:AO14,"ATA")+COUNTIF('07-26'!F15:AO15,"ATA")+COUNTIF('07-26'!G16:AO16,"ATA")+COUNTIF('07-26'!G17:AO17,"ATA")+COUNTIF('07-26'!G18:AO18,"ATA")+COUNTIF('07-26'!G19:AO19,"ATA")+COUNTIF('07-26'!F20:AO20,"ATA")+COUNTIF('07-26'!F21:AO21,"ATA")+COUNTIF('07-26'!F22:AO22,"ATA")+COUNTIF('07-26'!G23:AO23,"ATA")+COUNTIF('07-26'!G24:AO24,"ATA")+COUNTIF('07-26'!G25:AO25,"ATA")+COUNTIF('07-26'!G26:AO26,"ATA")+COUNTIF('07-26'!G27:AO27,"ATA")+COUNTIF('07-26'!G28:AO28,"ATA"),COUNTIF(INDIRECT("'07-26'!G"&amp;VLOOKUP($E$4,$AC$5:$AD$25,2,FALSE())&amp;":AO"&amp;VLOOKUP($E$4,$AC$5:$AD$25,2,FALSE())),"ATM/ATA")+COUNTIF(INDIRECT("'07-26'!G"&amp;VLOOKUP($E$4,$AC$5:$AD$25,2,FALSE())&amp;":AO"&amp;VLOOKUP($E$4,$AC$5:$AD$25,2,FALSE())),"ATM")+COUNTIF(INDIRECT("'07-26'!G"&amp;VLOOKUP($E$4,$AC$5:$AD$25,2,FALSE())&amp;":AO"&amp;VLOOKUP($E$4,$AC$5:$AD$25,2,FALSE())),"ATA"))</f>
        <v>0</v>
      </c>
      <c r="J11" s="5">
        <f ca="1">IF($E$4="TOUS",COUNTIF('08-26'!G10:AO10,"ATM/ATA")+COUNTIF('08-26'!G9:AO9,"ATM/ATA")+COUNTIF('08-26'!G8:AO8,"ATM/ATA")+COUNTIF('08-26'!F11:AO11,"ATM/ATA")+COUNTIF('08-26'!F12:AO12,"ATM/ATA")+COUNTIF('08-26'!F13:AO13,"ATM/ATA")+COUNTIF('08-26'!F14:AO14,"ATM/ATA")+COUNTIF('08-26'!F15:AO15,"ATM/ATA")+COUNTIF('08-26'!G16:AO16,"ATM/ATA")+COUNTIF('08-26'!F17:AO17,"ATM/ATA")+COUNTIF('08-26'!G18:AO18,"ATM/ATA")+COUNTIF('08-26'!F19:AO19,"ATM/ATA")+COUNTIF('08-26'!F20:AO20,"ATM/ATA")+COUNTIF('08-26'!G21:AO21,"ATM/ATA")+COUNTIF('08-26'!F22:AO22,"ATM/ATA")+COUNTIF('08-26'!G23:AO23,"ATM/ATA")+COUNTIF('08-26'!G24:AO24,"ATM/ATA")+COUNTIF('08-26'!G25:AO25,"ATM/ATA")+COUNTIF('08-26'!G26:AO26,"ATM/ATA")+COUNTIF('08-26'!G27:AO27,"ATM/ATA")+COUNTIF('08-26'!G28:AO28,"ATM/ATA")+COUNTIF('08-26'!G10:AO10,"ATM")+COUNTIF('08-26'!G9:AO9,"ATM")+COUNTIF('08-26'!G8:AO8,"ATM")+COUNTIF('08-26'!F11:AO11,"ATM")+COUNTIF('08-26'!F12:AO12,"ATM")+COUNTIF('08-26'!F13:AO13,"ATM")+COUNTIF('08-26'!F14:AO14,"ATM")+COUNTIF('08-26'!F15:AO15,"ATM")+COUNTIF('08-26'!G16:AO16,"ATM")+COUNTIF('08-26'!F17:AO17,"ATM")+COUNTIF('08-26'!G18:AO18,"ATM")+COUNTIF('08-26'!F19:AO19,"ATM")+COUNTIF('08-26'!F20:AO20,"ATM")+COUNTIF('08-26'!G21:AO21,"ATM")+COUNTIF('08-26'!F22:AO22,"ATM")+COUNTIF('08-26'!G23:AO23,"ATM")+COUNTIF('08-26'!G24:AO24,"ATM")+COUNTIF('08-26'!G25:AO25,"ATM")+COUNTIF('08-26'!G26:AO26,"ATM")+COUNTIF('08-26'!G27:AO27,"ATM")+COUNTIF('08-26'!G28:AO28,"ATM")+COUNTIF('08-26'!G10:AO10,"ATA")+COUNTIF('08-26'!G9:AO9,"ATA")+COUNTIF('08-26'!G8:AO8,"ATA")+COUNTIF('08-26'!F11:AO11,"ATA")+COUNTIF('08-26'!F12:AO12,"ATA")+COUNTIF('08-26'!F13:AO13,"ATA")+COUNTIF('08-26'!F14:AO14,"ATA")+COUNTIF('08-26'!F15:AO15,"ATA")+COUNTIF('08-26'!G16:AO16,"ATA")+COUNTIF('08-26'!F17:AO17,"ATA")+COUNTIF('08-26'!G18:AO18,"ATA")+COUNTIF('08-26'!F19:AO19,"ATA")+COUNTIF('08-26'!F20:AO20,"ATA")+COUNTIF('08-26'!G21:AO21,"ATA")+COUNTIF('08-26'!F22:AO22,"ATA")+COUNTIF('08-26'!G23:AO23,"ATA")+COUNTIF('08-26'!G24:AO24,"ATA")+COUNTIF('08-26'!G25:AO25,"ATA")+COUNTIF('08-26'!G26:AO26,"ATA")+COUNTIF('08-26'!G27:AO27,"ATA")+COUNTIF('08-26'!G28:AO28,"ATA"),COUNTIF(INDIRECT("'08-26'!G"&amp;VLOOKUP($E$4,$AC$5:$AD$25,2,FALSE())&amp;":AO"&amp;VLOOKUP($E$4,$AC$5:$AD$25,2,FALSE())),"ATM/ATA")+COUNTIF(INDIRECT("'08-26'!G"&amp;VLOOKUP($E$4,$AC$5:$AD$25,2,FALSE())&amp;":AO"&amp;VLOOKUP($E$4,$AC$5:$AD$25,2,FALSE())),"ATM")+COUNTIF(INDIRECT("'08-26'!G"&amp;VLOOKUP($E$4,$AC$5:$AD$25,2,FALSE())&amp;":AO"&amp;VLOOKUP($E$4,$AC$5:$AD$25,2,FALSE())),"ATA"))</f>
        <v>0</v>
      </c>
      <c r="K11" s="5">
        <f ca="1">IF($E$4="TOUS",COUNTIF('09-26'!G10:AO10,"ATM/ATA")+COUNTIF('09-26'!G9:AO9,"ATM/ATA")+COUNTIF('09-26'!G8:AO8,"ATM/ATA")+COUNTIF('09-26'!F11:AO11,"ATM/ATA")+COUNTIF('09-26'!F12:AO12,"ATM/ATA")+COUNTIF('09-26'!G13:AO13,"ATM/ATA")+COUNTIF('09-26'!G14:AO14,"ATM/ATA")+COUNTIF('09-26'!F15:AO15,"ATM/ATA")+COUNTIF('09-26'!F16:AO16,"ATM/ATA")+COUNTIF('09-26'!F17:AO17,"ATM/ATA")+COUNTIF('09-26'!F18:AO18,"ATM/ATA")+COUNTIF('09-26'!G19:AO19,"ATM/ATA")+COUNTIF('09-26'!G20:AO20,"ATM/ATA")+COUNTIF('09-26'!F21:AO21,"ATM/ATA")+COUNTIF('09-26'!G22:AO22,"ATM/ATA")+COUNTIF('09-26'!G23:AO23,"ATM/ATA")+COUNTIF('09-26'!G24:AO24,"ATM/ATA")+COUNTIF('09-26'!G25:AO25,"ATM/ATA")+COUNTIF('09-26'!G26:AO26,"ATM/ATA")+COUNTIF('09-26'!G27:AO27,"ATM/ATA")+COUNTIF('09-26'!G28:AO28,"ATM/ATA")+COUNTIF('09-26'!G10:AO10,"ATM")+COUNTIF('09-26'!G9:AO9,"ATM")+COUNTIF('09-26'!G8:AO8,"ATM")+COUNTIF('09-26'!F11:AO11,"ATM")+COUNTIF('09-26'!F12:AO12,"ATM")+COUNTIF('09-26'!G13:AO13,"ATM")+COUNTIF('09-26'!G14:AO14,"ATM")+COUNTIF('09-26'!F15:AO15,"ATM")+COUNTIF('09-26'!F16:AO16,"ATM")+COUNTIF('09-26'!F17:AO17,"ATM")+COUNTIF('09-26'!F18:AO18,"ATM")+COUNTIF('09-26'!G19:AO19,"ATM")+COUNTIF('09-26'!G20:AO20,"ATM")+COUNTIF('09-26'!F21:AO21,"ATM")+COUNTIF('09-26'!G22:AO22,"ATM")+COUNTIF('09-26'!G23:AO23,"ATM")+COUNTIF('09-26'!G24:AO24,"ATM")+COUNTIF('09-26'!G25:AO25,"ATM")+COUNTIF('09-26'!G26:AO26,"ATM")+COUNTIF('09-26'!G27:AO27,"ATM")+COUNTIF('09-26'!G28:AO28,"ATM")+COUNTIF('09-26'!G10:AO10,"ATA")+COUNTIF('09-26'!G9:AO9,"ATA")+COUNTIF('09-26'!G8:AO8,"ATA")+COUNTIF('09-26'!F11:AO11,"ATA")+COUNTIF('09-26'!F12:AO12,"ATA")+COUNTIF('09-26'!G13:AO13,"ATA")+COUNTIF('09-26'!G14:AO14,"ATA")+COUNTIF('09-26'!F15:AO15,"ATA")+COUNTIF('09-26'!F16:AO16,"ATA")+COUNTIF('09-26'!F17:AO17,"ATA")+COUNTIF('09-26'!F18:AO18,"ATA")+COUNTIF('09-26'!G19:AO19,"ATA")+COUNTIF('09-26'!G20:AO20,"ATA")+COUNTIF('09-26'!F21:AO21,"ATA")+COUNTIF('09-26'!G22:AO22,"ATA")+COUNTIF('09-26'!G23:AO23,"ATA")+COUNTIF('09-26'!G24:AO24,"ATA")+COUNTIF('09-26'!G25:AO25,"ATA")+COUNTIF('09-26'!G26:AO26,"ATA")+COUNTIF('09-26'!G27:AO27,"ATA")+COUNTIF('09-26'!G28:AO28,"ATA"),COUNTIF(INDIRECT("'09-26'!G"&amp;VLOOKUP($E$4,$AC$5:$AD$25,2,FALSE())&amp;":AO"&amp;VLOOKUP($E$4,$AC$5:$AD$25,2,FALSE())),"ATM/ATA")+COUNTIF(INDIRECT("'09-26'!G"&amp;VLOOKUP($E$4,$AC$5:$AD$25,2,FALSE())&amp;":AO"&amp;VLOOKUP($E$4,$AC$5:$AD$25,2,FALSE())),"ATM")+COUNTIF(INDIRECT("'09-26'!G"&amp;VLOOKUP($E$4,$AC$5:$AD$25,2,FALSE())&amp;":AO"&amp;VLOOKUP($E$4,$AC$5:$AD$25,2,FALSE())),"ATA"))</f>
        <v>0</v>
      </c>
      <c r="L11" s="5">
        <f ca="1">IF($E$4="TOUS",COUNTIF('10-26'!G10:AO10,"ATM/ATA")+COUNTIF('10-26'!G9:AO9,"ATM/ATA")+COUNTIF('10-26'!G8:AO8,"ATM/ATA")+COUNTIF('10-26'!F11:AO11,"ATM/ATA")+COUNTIF('10-26'!F12:AO12,"ATM/ATA")+COUNTIF('10-26'!G13:AO13,"ATM/ATA")+COUNTIF('10-26'!F14:AO14,"ATM/ATA")+COUNTIF('10-26'!F15:AO15,"ATM/ATA")+COUNTIF('10-26'!F16:AO16,"ATM/ATA")+COUNTIF('10-26'!F17:AO17,"ATM/ATA")+COUNTIF('10-26'!G18:AO18,"ATM/ATA")+COUNTIF('10-26'!G19:AO19,"ATM/ATA")+COUNTIF('10-26'!F20:AO20,"ATM/ATA")+COUNTIF('10-26'!G21:AO21,"ATM/ATA")+COUNTIF('10-26'!G22:AO22,"ATM/ATA")+COUNTIF('10-26'!F23:AO23,"ATM/ATA")+COUNTIF('10-26'!G24:AO24,"ATM/ATA")+COUNTIF('10-26'!G25:AO25,"ATM/ATA")+COUNTIF('10-26'!G26:AO26,"ATM/ATA")+COUNTIF('10-26'!G27:AO27,"ATM/ATA")+COUNTIF('10-26'!G28:AO28,"ATM/ATA")+COUNTIF('10-26'!G10:AO10,"ATM")+COUNTIF('10-26'!G9:AO9,"ATM")+COUNTIF('10-26'!G8:AO8,"ATM")+COUNTIF('10-26'!F11:AO11,"ATM")+COUNTIF('10-26'!F12:AO12,"ATM")+COUNTIF('10-26'!G13:AO13,"ATM")+COUNTIF('10-26'!F14:AO14,"ATM")+COUNTIF('10-26'!F15:AO15,"ATM")+COUNTIF('10-26'!F16:AO16,"ATM")+COUNTIF('10-26'!F17:AO17,"ATM")+COUNTIF('10-26'!G18:AO18,"ATM")+COUNTIF('10-26'!G19:AO19,"ATM")+COUNTIF('10-26'!F20:AO20,"ATM")+COUNTIF('10-26'!G21:AO21,"ATM")+COUNTIF('10-26'!G22:AO22,"ATM")+COUNTIF('10-26'!F23:AO23,"ATM")+COUNTIF('10-26'!G24:AO24,"ATM")+COUNTIF('10-26'!G25:AO25,"ATM")+COUNTIF('10-26'!G26:AO26,"ATM")+COUNTIF('10-26'!G27:AO27,"ATM")+COUNTIF('10-26'!G28:AO28,"ATM")+COUNTIF('10-26'!G10:AO10,"ATA")+COUNTIF('10-26'!G9:AO9,"ATA")+COUNTIF('10-26'!G8:AO8,"ATA")+COUNTIF('10-26'!F11:AO11,"ATA")+COUNTIF('10-26'!F12:AO12,"ATA")+COUNTIF('10-26'!G13:AO13,"ATA")+COUNTIF('10-26'!F14:AO14,"ATA")+COUNTIF('10-26'!F15:AO15,"ATA")+COUNTIF('10-26'!F16:AO16,"ATA")+COUNTIF('10-26'!F17:AO17,"ATA")+COUNTIF('10-26'!G18:AO18,"ATA")+COUNTIF('10-26'!G19:AO19,"ATA")+COUNTIF('10-26'!F20:AO20,"ATA")+COUNTIF('10-26'!G21:AO21,"ATA")+COUNTIF('10-26'!G22:AO22,"ATA")+COUNTIF('10-26'!F23:AO23,"ATA")+COUNTIF('10-26'!G24:AO24,"ATA")+COUNTIF('10-26'!G25:AO25,"ATA")+COUNTIF('10-26'!G26:AO26,"ATA")+COUNTIF('10-26'!G27:AO27,"ATA")+COUNTIF('10-26'!G28:AO28,"ATA"),COUNTIF(INDIRECT("'10-26'!G"&amp;VLOOKUP($E$4,$AC$5:$AD$25,2,FALSE())&amp;":AO"&amp;VLOOKUP($E$4,$AC$5:$AD$25,2,FALSE())),"ATM/ATA")+COUNTIF(INDIRECT("'10-26'!G"&amp;VLOOKUP($E$4,$AC$5:$AD$25,2,FALSE())&amp;":AO"&amp;VLOOKUP($E$4,$AC$5:$AD$25,2,FALSE())),"ATM")+COUNTIF(INDIRECT("'10-26'!G"&amp;VLOOKUP($E$4,$AC$5:$AD$25,2,FALSE())&amp;":AO"&amp;VLOOKUP($E$4,$AC$5:$AD$25,2,FALSE())),"ATA"))</f>
        <v>0</v>
      </c>
      <c r="M11" s="5">
        <f ca="1">IF($E$4="TOUS",COUNTIF('11-26'!G10:AO10,"ATM/ATA")+COUNTIF('11-26'!G9:AO9,"ATM/ATA")+COUNTIF('11-26'!G8:AO8,"ATM/ATA")+COUNTIF('11-26'!G11:AO11,"ATM/ATA")+COUNTIF('11-26'!F12:AO12,"ATM/ATA")+COUNTIF('11-26'!G13:AO13,"ATM/ATA")+COUNTIF('11-26'!F14:AO14,"ATM/ATA")+COUNTIF('11-26'!F15:AO15,"ATM/ATA")+COUNTIF('11-26'!G16:AO16,"ATM/ATA")+COUNTIF('11-26'!G17:AO17,"ATM/ATA")+COUNTIF('11-26'!G18:AO18,"ATM/ATA")+COUNTIF('11-26'!G19:AO19,"ATM/ATA")+COUNTIF('11-26'!F20:AO20,"ATM/ATA")+COUNTIF('11-26'!F21:AO21,"ATM/ATA")+COUNTIF('11-26'!F22:AO22,"ATM/ATA")+COUNTIF('11-26'!G23:AO23,"ATM/ATA")+COUNTIF('11-26'!G24:AO24,"ATM/ATA")+COUNTIF('11-26'!G25:AO25,"ATM/ATA")+COUNTIF('11-26'!G26:AO26,"ATM/ATA")+COUNTIF('11-26'!G27:AO27,"ATM/ATA")+COUNTIF('11-26'!G28:AO28,"ATM/ATA")+COUNTIF('11-26'!G10:AO10,"ATM")+COUNTIF('11-26'!G9:AO9,"ATM")+COUNTIF('11-26'!G8:AO8,"ATM")+COUNTIF('11-26'!G11:AO11,"ATM")+COUNTIF('11-26'!F12:AO12,"ATM")+COUNTIF('11-26'!G13:AO13,"ATM")+COUNTIF('11-26'!F14:AO14,"ATM")+COUNTIF('11-26'!F15:AO15,"ATM")+COUNTIF('11-26'!G16:AO16,"ATM")+COUNTIF('11-26'!G17:AO17,"ATM")+COUNTIF('11-26'!G18:AO18,"ATM")+COUNTIF('11-26'!G19:AO19,"ATM")+COUNTIF('11-26'!F20:AO20,"ATM")+COUNTIF('11-26'!F21:AO21,"ATM")+COUNTIF('11-26'!F22:AO22,"ATM")+COUNTIF('11-26'!G23:AO23,"ATM")+COUNTIF('11-26'!G24:AO24,"ATM")+COUNTIF('11-26'!G25:AO25,"ATM")+COUNTIF('11-26'!G26:AO26,"ATM")+COUNTIF('11-26'!G27:AO27,"ATM")+COUNTIF('11-26'!G28:AO28,"ATM")+COUNTIF('11-26'!G10:AO10,"ATA")+COUNTIF('11-26'!G9:AO9,"ATA")+COUNTIF('11-26'!G8:AO8,"ATA")+COUNTIF('11-26'!G11:AO11,"ATA")+COUNTIF('11-26'!F12:AO12,"ATA")+COUNTIF('11-26'!G13:AO13,"ATA")+COUNTIF('11-26'!F14:AO14,"ATA")+COUNTIF('11-26'!F15:AO15,"ATA")+COUNTIF('11-26'!G16:AO16,"ATA")+COUNTIF('11-26'!G17:AO17,"ATA")+COUNTIF('11-26'!G18:AO18,"ATA")+COUNTIF('11-26'!G19:AO19,"ATA")+COUNTIF('11-26'!F20:AO20,"ATA")+COUNTIF('11-26'!F21:AO21,"ATA")+COUNTIF('11-26'!F22:AO22,"ATA")+COUNTIF('11-26'!G23:AO23,"ATA")+COUNTIF('11-26'!G24:AO24,"ATA")+COUNTIF('11-26'!G25:AO25,"ATA")+COUNTIF('11-26'!G26:AO26,"ATA")+COUNTIF('11-26'!G27:AO27,"ATA")+COUNTIF('11-26'!G28:AO28,"ATA"),COUNTIF(INDIRECT("'11-26'!G"&amp;VLOOKUP($E$4,$AC$5:$AD$25,2,FALSE())&amp;":AO"&amp;VLOOKUP($E$4,$AC$5:$AD$25,2,FALSE())),"ATM/ATA")+COUNTIF(INDIRECT("'11-26'!G"&amp;VLOOKUP($E$4,$AC$5:$AD$25,2,FALSE())&amp;":AO"&amp;VLOOKUP($E$4,$AC$5:$AD$25,2,FALSE())),"ATM")+COUNTIF(INDIRECT("'11-26'!G"&amp;VLOOKUP($E$4,$AC$5:$AD$25,2,FALSE())&amp;":AO"&amp;VLOOKUP($E$4,$AC$5:$AD$25,2,FALSE())),"ATA"))</f>
        <v>0</v>
      </c>
      <c r="N11" s="5">
        <f ca="1">IF($E$4="TOUS",COUNTIF('12-26'!G10:AO10,"ATM/ATA")+COUNTIF('12-26'!G9:AO9,"ATM/ATA")+COUNTIF('12-26'!G8:AO8,"ATM/ATA")+COUNTIF('12-26'!G11:AO11,"ATM/ATA")+COUNTIF('12-26'!G12:AO12,"ATM/ATA")+COUNTIF('12-26'!G13:AO13,"ATM/ATA")+COUNTIF('12-26'!G14:AO14,"ATM/ATA")+COUNTIF('12-26'!F15:AO15,"ATM/ATA")+COUNTIF('12-26'!G16:AO16,"ATM/ATA")+COUNTIF('12-26'!F17:AO17,"ATM/ATA")+COUNTIF('12-26'!G18:AO18,"ATM/ATA")+COUNTIF('12-26'!G19:AO19,"ATM/ATA")+COUNTIF('12-26'!F20:AO20,"ATM/ATA")+COUNTIF('12-26'!F21:AO21,"ATM/ATA")+COUNTIF('12-26'!F22:AO22,"ATM/ATA")+COUNTIF('12-26'!G23:AO23,"ATM/ATA")+COUNTIF('12-26'!G24:AO24,"ATM/ATA")+COUNTIF('12-26'!G25:AO25,"ATM/ATA")+COUNTIF('12-26'!G26:AO26,"ATM/ATA")+COUNTIF('12-26'!G27:AO27,"ATM/ATA")+COUNTIF('12-26'!G28:AO28,"ATM/ATA")+COUNTIF('12-26'!G10:AO10,"ATM")+COUNTIF('12-26'!G9:AO9,"ATM")+COUNTIF('12-26'!G8:AO8,"ATM")+COUNTIF('12-26'!G11:AO11,"ATM")+COUNTIF('12-26'!G12:AO12,"ATM")+COUNTIF('12-26'!G13:AO13,"ATM")+COUNTIF('12-26'!G14:AO14,"ATM")+COUNTIF('12-26'!F15:AO15,"ATM")+COUNTIF('12-26'!G16:AO16,"ATM")+COUNTIF('12-26'!F17:AO17,"ATM")+COUNTIF('12-26'!G18:AO18,"ATM")+COUNTIF('12-26'!G19:AO19,"ATM")+COUNTIF('12-26'!F20:AO20,"ATM")+COUNTIF('12-26'!F21:AO21,"ATM")+COUNTIF('12-26'!F22:AO22,"ATM")+COUNTIF('12-26'!G23:AO23,"ATM")+COUNTIF('12-26'!G24:AO24,"ATM")+COUNTIF('12-26'!G25:AO25,"ATM")+COUNTIF('12-26'!G26:AO26,"ATM")+COUNTIF('12-26'!G27:AO27,"ATM")+COUNTIF('12-26'!G28:AO28,"ATM")+COUNTIF('12-26'!G10:AO10,"ATA")+COUNTIF('12-26'!G9:AO9,"ATA")+COUNTIF('12-26'!G8:AO8,"ATA")+COUNTIF('12-26'!G11:AO11,"ATA")+COUNTIF('12-26'!G12:AO12,"ATA")+COUNTIF('12-26'!G13:AO13,"ATA")+COUNTIF('12-26'!G14:AO14,"ATA")+COUNTIF('12-26'!F15:AO15,"ATA")+COUNTIF('12-26'!G16:AO16,"ATA")+COUNTIF('12-26'!F17:AO17,"ATA")+COUNTIF('12-26'!G18:AO18,"ATA")+COUNTIF('12-26'!G19:AO19,"ATA")+COUNTIF('12-26'!F20:AO20,"ATA")+COUNTIF('12-26'!F21:AO21,"ATA")+COUNTIF('12-26'!F22:AO22,"ATA")+COUNTIF('12-26'!G23:AO23,"ATA")+COUNTIF('12-26'!G24:AO24,"ATA")+COUNTIF('12-26'!G25:AO25,"ATA")+COUNTIF('12-26'!G26:AO26,"ATA")+COUNTIF('12-26'!G27:AO27,"ATA")+COUNTIF('12-26'!G28:AO28,"ATA"),COUNTIF(INDIRECT("'12-26'!G"&amp;VLOOKUP($E$4,$AC$5:$AD$25,2,FALSE())&amp;":AO"&amp;VLOOKUP($E$4,$AC$5:$AD$25,2,FALSE())),"ATM/ATA")+COUNTIF(INDIRECT("'12-26'!G"&amp;VLOOKUP($E$4,$AC$5:$AD$25,2,FALSE())&amp;":AO"&amp;VLOOKUP($E$4,$AC$5:$AD$25,2,FALSE())),"ATM")+COUNTIF(INDIRECT("'12-26'!G"&amp;VLOOKUP($E$4,$AC$5:$AD$25,2,FALSE())&amp;":AO"&amp;VLOOKUP($E$4,$AC$5:$AD$25,2,FALSE())),"ATA"))</f>
        <v>0</v>
      </c>
      <c r="O11" s="4">
        <f t="shared" ca="1" si="0"/>
        <v>107</v>
      </c>
      <c r="Q11" s="6" t="s">
        <v>31</v>
      </c>
      <c r="R11" s="5">
        <f>COUNTIF('01-26'!G11:AO11,"TP")+COUNTIF('02-26'!G11:AO11,"TP")+COUNTIF('03-26'!G11:AO11,"TP")+COUNTIF('04-26'!G11:AO11,"TP")+COUNTIF('05-26'!G11:AO11,"TP")+COUNTIF('06-26'!G11:AO11,"TP")+COUNTIF('07-26'!F11:AO11,"TP")+COUNTIF('08-26'!F11:AO11,"TP")+COUNTIF('09-26'!F11:AO11,"TP")+COUNTIF('10-26'!F11:AO11,"TP")+COUNTIF('11-26'!G11:AO11,"TP")+COUNTIF('12-26'!G11:AO11,"TP")</f>
        <v>0</v>
      </c>
      <c r="S11" s="5">
        <f>COUNTIF('01-26'!G11:AO11,"CSE")+COUNTIF('01-26'!G11:AO11,"CSE/RPX")+COUNTIF('01-26'!G11:AO11,"RPX")+COUNTIF('02-26'!G11:AO11,"CSE")+COUNTIF('02-26'!G11:AO11,"CSE/RPX")+COUNTIF('02-26'!G11:AO11,"RPX")+COUNTIF('03-26'!G11:AO11,"CSE")+COUNTIF('03-26'!G11:AO11,"CSE/RPX")+COUNTIF('03-26'!G11:AO11,"RPX")+COUNTIF('04-26'!G11:AO11,"CSE")+COUNTIF('04-26'!G11:AO11,"CSE/RPX")+COUNTIF('04-26'!G11:AO11,"RPX")+COUNTIF('05-26'!G11:AO11,"CSE")+COUNTIF('05-26'!G11:AO11,"CSE/RPX")+COUNTIF('05-26'!G11:AO11,"RPX")+COUNTIF('06-26'!G11:AO11,"CSE")+COUNTIF('06-26'!G11:AO11,"CSE/RPX")+COUNTIF('06-26'!G11:AO11,"RPX")+COUNTIF('07-26'!F11:AO11,"CSE")+COUNTIF('07-26'!F11:AO11,"CSE/RPX")+COUNTIF('07-26'!F11:AO11,"RPX")+COUNTIF('08-26'!F11:AO11,"CSE")+COUNTIF('08-26'!F11:AO11,"CSE/RPX")+COUNTIF('08-26'!F11:AO11,"RPX")+COUNTIF('09-26'!F11:AO11,"CSE")+COUNTIF('09-26'!F11:AO11,"CSE/RPX")+COUNTIF('09-26'!F11:AO11,"RPX")+COUNTIF('10-26'!F11:AO11,"CSE")+COUNTIF('10-26'!F11:AO11,"CSE/RPX")+COUNTIF('10-26'!F11:AO11,"RPX")+COUNTIF('11-26'!G11:AO11,"CSE")+COUNTIF('11-26'!G11:AO11,"CSE/RPX")+COUNTIF('11-26'!G11:AO11,"RPX")+COUNTIF('12-26'!G11:AO11,"CSE")+COUNTIF('12-26'!G11:AO11,"CSE/RPX")+COUNTIF('12-26'!G11:AO11,"RPX")</f>
        <v>0</v>
      </c>
      <c r="T11" s="5">
        <f>COUNTIF('01-26'!G11:AO11,"CA/RC")+COUNTIF('01-26'!G11:AO11,"CA")+COUNTIF('02-26'!G11:AO11,"CA/RC")+COUNTIF('02-26'!G11:AO11,"CA")+COUNTIF('03-26'!G11:AO11,"CA/RC")+COUNTIF('03-26'!G11:AO11,"CA")+COUNTIF('04-26'!G11:AO11,"CA/RC")+COUNTIF('04-26'!G11:AO11,"CA")+COUNTIF('05-26'!G11:AO11,"CA/RC")+COUNTIF('05-26'!G11:AO11,"CA")+COUNTIF('06-26'!G11:AO11,"CA/RC")+COUNTIF('06-26'!G11:AO11,"CA")+COUNTIF('07-26'!F11:AO11,"CA/RC")+COUNTIF('07-26'!F11:AO11,"CA")+COUNTIF('08-26'!F11:AO11,"CA/RC")+COUNTIF('08-26'!F11:AO11,"CA")+COUNTIF('09-26'!F11:AO11,"CA/RC")+COUNTIF('09-26'!F11:AO11,"CA")+COUNTIF('10-26'!F11:AO11,"CA/RC")+COUNTIF('10-26'!F11:AO11,"CA")+COUNTIF('11-26'!G11:AO11,"CA/RC")+COUNTIF('11-26'!G11:AO11,"CA")+COUNTIF('12-26'!G11:AO11,"CA/RC")+COUNTIF('12-26'!G11:AO11,"CA")</f>
        <v>25</v>
      </c>
      <c r="U11" s="5">
        <f>COUNTIF('01-26'!G11:AO11,"ATM/ATA")+COUNTIF('01-26'!G11:AO11,"ATM")+COUNTIF('01-26'!G11:AO11,"ATA")+COUNTIF('02-26'!G11:AO11,"ATM/ATA")+COUNTIF('02-26'!G11:AO11,"ATM")+COUNTIF('02-26'!G11:AO11,"ATA")+COUNTIF('03-26'!G11:AO11,"ATM/ATA")+COUNTIF('03-26'!G11:AO11,"ATM")+COUNTIF('03-26'!G11:AO11,"ATA")+COUNTIF('04-26'!G11:AO11,"ATM/ATA")+COUNTIF('04-26'!G11:AO11,"ATM")+COUNTIF('04-26'!G11:AO11,"ATA")+COUNTIF('05-26'!G11:AO11,"ATM/ATA")+COUNTIF('05-26'!G11:AO11,"ATM")+COUNTIF('05-26'!G11:AO11,"ATA")+COUNTIF('06-26'!G11:AO11,"ATM/ATA")+COUNTIF('06-26'!G11:AO11,"ATM")+COUNTIF('06-26'!G11:AO11,"ATA")+COUNTIF('07-26'!F11:AO11,"ATM/ATA")+COUNTIF('07-26'!F11:AO11,"ATM")+COUNTIF('07-26'!F11:AO11,"ATA")+COUNTIF('08-26'!F11:AO11,"ATM/ATA")+COUNTIF('08-26'!F11:AO11,"ATM")+COUNTIF('08-26'!F11:AO11,"ATA")+COUNTIF('09-26'!F11:AO11,"ATM/ATA")+COUNTIF('09-26'!F11:AO11,"ATM")+COUNTIF('09-26'!F11:AO11,"ATA")+COUNTIF('10-26'!F11:AO11,"ATM/ATA")+COUNTIF('10-26'!F11:AO11,"ATM")+COUNTIF('10-26'!F11:AO11,"ATA")+COUNTIF('11-26'!G11:AO11,"ATM/ATA")+COUNTIF('11-26'!G11:AO11,"ATM")+COUNTIF('11-26'!G11:AO11,"ATA")+COUNTIF('12-26'!G11:AO11,"ATM/ATA")+COUNTIF('12-26'!G11:AO11,"ATM")+COUNTIF('12-26'!G11:AO11,"ATA")</f>
        <v>3</v>
      </c>
      <c r="V11" s="5">
        <f>COUNTIF('01-26'!G11:AO11,"ASA")+COUNTIF('02-26'!G11:AO11,"ASA")+COUNTIF('03-26'!G11:AO11,"ASA")+COUNTIF('04-26'!G11:AO11,"ASA")+COUNTIF('05-26'!G11:AO11,"ASA")+COUNTIF('06-26'!G11:AO11,"ASA")+COUNTIF('07-26'!F11:AO11,"ASA")+COUNTIF('08-26'!F11:AO11,"ASA")+COUNTIF('09-26'!F11:AO11,"ASA")+COUNTIF('10-26'!F11:AO11,"ASA")+COUNTIF('11-26'!G11:AO11,"ASA")+COUNTIF('12-26'!G11:AO11,"ASA")</f>
        <v>0</v>
      </c>
      <c r="W11" s="5">
        <f>COUNTIF('01-26'!G11:AO11,"FORM")+COUNTIF('02-26'!G11:AO11,"FORM")+COUNTIF('03-26'!G11:AO11,"FORM")+COUNTIF('04-26'!G11:AO11,"FORM")+COUNTIF('05-26'!G11:AO11,"FORM")+COUNTIF('06-26'!G11:AO11,"FORM")+COUNTIF('07-26'!F11:AO11,"FORM")+COUNTIF('08-26'!F11:AO11,"FORM")+COUNTIF('09-26'!F11:AO11,"FORM")+COUNTIF('10-26'!F11:AO11,"FORM")+COUNTIF('11-26'!G11:AO11,"FORM")+COUNTIF('12-26'!G11:AO11,"FORM")</f>
        <v>0</v>
      </c>
      <c r="X11" s="5">
        <f>COUNTIF('01-26'!G11:AO11,"RPM")+COUNTIF('01-26'!G11:AO11,"JPS")+COUNTIF('02-26'!G11:AO11,"RPM")+COUNTIF('02-26'!G11:AO11,"JPS")+COUNTIF('03-26'!G11:AO11,"RPM")+COUNTIF('03-26'!G11:AO11,"JPS")+COUNTIF('04-26'!G11:AO11,"RPM")+COUNTIF('04-26'!G11:AO11,"JPS")+COUNTIF('05-26'!G11:AO11,"RPM")+COUNTIF('05-26'!G11:AO11,"JPS")+COUNTIF('06-26'!G11:AO11,"RPM")+COUNTIF('06-26'!G11:AO11,"JPS")+COUNTIF('07-26'!F11:AO11,"RPM")+COUNTIF('07-26'!F11:AO11,"JPS")+COUNTIF('08-26'!F11:AO11,"RPM")+COUNTIF('08-26'!F11:AO11,"JPS")+COUNTIF('09-26'!F11:AO11,"RPM")+COUNTIF('09-26'!F11:AO11,"JPS")+COUNTIF('10-26'!F11:AO11,"RPM")+COUNTIF('10-26'!F11:AO11,"JPS")+COUNTIF('11-26'!G11:AO11,"RPM")+COUNTIF('11-26'!G11:AO11,"JPS")+COUNTIF('12-26'!G11:AO11,"RPM")+COUNTIF('12-26'!G11:AO11,"JPS")</f>
        <v>0</v>
      </c>
      <c r="Y11" s="393">
        <f t="shared" si="1"/>
        <v>28</v>
      </c>
      <c r="AB11" t="s">
        <v>33</v>
      </c>
      <c r="AC11" t="s">
        <v>34</v>
      </c>
      <c r="AD11">
        <v>14</v>
      </c>
    </row>
    <row r="12" spans="1:30" ht="19.5" customHeight="1">
      <c r="A12" s="390"/>
      <c r="B12" s="2" t="s">
        <v>27</v>
      </c>
      <c r="C12" s="3">
        <f ca="1">IF($E$4="TOUS",COUNTIF('01-26'!G10:AO10,"ASA")+COUNTIF('01-26'!G9:AO9,"ASA")+COUNTIF('01-26'!G8:AO8,"ASA")+COUNTIF('01-26'!G11:AO11,"ASA")+COUNTIF('01-26'!G12:AO12,"ASA")+COUNTIF('01-26'!G13:AO13,"ASA")+COUNTIF('01-26'!F14:AO14,"ASA")+COUNTIF('01-26'!G15:AO15,"ASA")+COUNTIF('01-26'!F16:AO16,"ASA")+COUNTIF('01-26'!F17:AO17,"ASA")+COUNTIF('01-26'!G18:AO18,"ASA")+COUNTIF('01-26'!G19:AO19,"ASA")+COUNTIF('01-26'!F20:AO20,"ASA")+COUNTIF('01-26'!F21:AO21,"ASA")+COUNTIF('01-26'!G22:AO22,"ASA")+COUNTIF('01-26'!G23:AO23,"ASA")+COUNTIF('01-26'!G24:AO24,"ASA")+COUNTIF('01-26'!G25:AO25,"ASA")+COUNTIF('01-26'!G26:AO26,"ASA")+COUNTIF('01-26'!G27:AO27,"ASA")+COUNTIF('01-26'!G28:AO28,"ASA"),COUNTIF(INDIRECT("'01-26'!G"&amp;VLOOKUP($E$4,$AC$5:$AD$25,2,FALSE())&amp;":AO"&amp;VLOOKUP($E$4,$AC$5:$AD$25,2,FALSE())),"ASA"))</f>
        <v>8</v>
      </c>
      <c r="D12" s="3">
        <f ca="1">IF($E$4="TOUS",COUNTIF('02-26'!G10:AO10,"ASA")+COUNTIF('02-26'!G9:AO9,"ASA")+COUNTIF('02-26'!G8:AO8,"ASA")+COUNTIF('02-26'!G11:AO11,"ASA")+COUNTIF('02-26'!F12:AO12,"ASA")+COUNTIF('02-26'!G13:AO13,"ASA")+COUNTIF('02-26'!G14:AO14,"ASA")+COUNTIF('02-26'!F15:AO15,"ASA")+COUNTIF('02-26'!G16:AO16,"ASA")+COUNTIF('02-26'!F17:AO17,"ASA")+COUNTIF('02-26'!G18:AO18,"ASA")+COUNTIF('02-26'!G19:AO19,"ASA")+COUNTIF('02-26'!F20:AO20,"ASA")+COUNTIF('02-26'!G21:AO21,"ASA")+COUNTIF('02-26'!G22:AO22,"ASA")+COUNTIF('02-26'!G23:AO23,"ASA")+COUNTIF('02-26'!G24:AO24,"ASA")+COUNTIF('02-26'!G25:AO25,"ASA")+COUNTIF('02-26'!G26:AO26,"ASA")+COUNTIF('02-26'!G27:AO27,"ASA")+COUNTIF('02-26'!G28:AO28,"ASA"),COUNTIF(INDIRECT("'02-26'!G"&amp;VLOOKUP($E$4,$AC$5:$AD$25,2,FALSE())&amp;":AO"&amp;VLOOKUP($E$4,$AC$5:$AD$25,2,FALSE())),"ASA"))</f>
        <v>0</v>
      </c>
      <c r="E12" s="3">
        <f ca="1">IF($E$4="TOUS",COUNTIF('03-26'!G10:AO10,"ASA")+COUNTIF('03-26'!G9:AO9,"ASA")+COUNTIF('03-26'!G8:AO8,"ASA")+COUNTIF('03-26'!G11:AO11,"ASA")+COUNTIF('03-26'!F12:AO12,"ASA")+COUNTIF('03-26'!G13:AO13,"ASA")+COUNTIF('03-26'!G14:AO14,"ASA")+COUNTIF('03-26'!F15:AO15,"ASA")+COUNTIF('03-26'!F16:AO16,"ASA")+COUNTIF('03-26'!F17:AO17,"ASA")+COUNTIF('03-26'!F18:AO18,"ASA")+COUNTIF('03-26'!G19:AO19,"ASA")+COUNTIF('03-26'!G20:AO20,"ASA")+COUNTIF('03-26'!G21:AO21,"ASA")+COUNTIF('03-26'!F22:AO22,"ASA")+COUNTIF('03-26'!G23:AO23,"ASA")+COUNTIF('03-26'!G24:AO24,"ASA")+COUNTIF('03-26'!G25:AO25,"ASA")+COUNTIF('03-26'!G26:AO26,"ASA")+COUNTIF('03-26'!G27:AO27,"ASA")+COUNTIF('03-26'!G28:AO28,"ASA"),COUNTIF(INDIRECT("'03-26'!G"&amp;VLOOKUP($E$4,$AC$5:$AD$25,2,FALSE())&amp;":AO"&amp;VLOOKUP($E$4,$AC$5:$AD$25,2,FALSE())),"ASA"))</f>
        <v>3</v>
      </c>
      <c r="F12" s="3">
        <f ca="1">IF($E$4="TOUS",COUNTIF('04-26'!G10:AO10,"ASA")+COUNTIF('04-26'!G9:AO9,"ASA")+COUNTIF('04-26'!G8:AO8,"ASA")+COUNTIF('04-26'!G11:AO11,"ASA")+COUNTIF('04-26'!F12:AO12,"ASA")+COUNTIF('04-26'!G13:AO13,"ASA")+COUNTIF('04-26'!F14:AO14,"ASA")+COUNTIF('04-26'!G15:AO15,"ASA")+COUNTIF('04-26'!G16:AO16,"ASA")+COUNTIF('04-26'!G17:AO17,"ASA")+COUNTIF('04-26'!G18:AO18,"ASA")+COUNTIF('04-26'!G19:AO19,"ASA")+COUNTIF('04-26'!G20:AO20,"ASA")+COUNTIF('04-26'!G21:AO21,"ASA")+COUNTIF('04-26'!G22:AO22,"ASA")+COUNTIF('04-26'!G23:AO23,"ASA")+COUNTIF('04-26'!G24:AO24,"ASA")+COUNTIF('04-26'!G25:AO25,"ASA")+COUNTIF('04-26'!G26:AO26,"ASA")+COUNTIF('04-26'!G27:AO27,"ASA")+COUNTIF('04-26'!G28:AO28,"ASA"),COUNTIF(INDIRECT("'04-26'!G"&amp;VLOOKUP($E$4,$AC$5:$AD$25,2,FALSE())&amp;":AO"&amp;VLOOKUP($E$4,$AC$5:$AD$25,2,FALSE())),"ASA"))</f>
        <v>0</v>
      </c>
      <c r="G12" s="3">
        <f ca="1">IF($E$4="TOUS",COUNTIF('05-26'!G10:AO10,"ASA")+COUNTIF('05-26'!G9:AO9,"ASA")+COUNTIF('05-26'!G8:AO8,"ASA")+COUNTIF('05-26'!G11:AO11,"ASA")+COUNTIF('05-26'!F12:AO12,"ASA")+COUNTIF('05-26'!G13:AO13,"ASA")+COUNTIF('05-26'!F14:AO14,"ASA")+COUNTIF('05-26'!F15:AO15,"ASA")+COUNTIF('05-26'!G16:AO16,"ASA")+COUNTIF('05-26'!F17:AO17,"ASA")+COUNTIF('05-26'!G18:AO18,"ASA")+COUNTIF('05-26'!G19:AO19,"ASA")+COUNTIF('05-26'!G20:AO20,"ASA")+COUNTIF('05-26'!F21:AO21,"ASA")+COUNTIF('05-26'!F22:AO22,"ASA")+COUNTIF('05-26'!G23:AO23,"ASA")+COUNTIF('05-26'!G24:AO24,"ASA")+COUNTIF('05-26'!G25:AO25,"ASA")+COUNTIF('05-26'!G26:AO26,"ASA")+COUNTIF('05-26'!G27:AO27,"ASA")+COUNTIF('05-26'!G28:AO28,"ASA"),COUNTIF(INDIRECT("'05-26'!G"&amp;VLOOKUP($E$4,$AC$5:$AD$25,2,FALSE())&amp;":AO"&amp;VLOOKUP($E$4,$AC$5:$AD$25,2,FALSE())),"ASA"))</f>
        <v>0</v>
      </c>
      <c r="H12" s="3">
        <f ca="1">IF($E$4="TOUS",COUNTIF('06-26'!G10:AO10,"ASA")+COUNTIF('06-26'!G9:AO9,"ASA")+COUNTIF('06-26'!G8:AO8,"ASA")+COUNTIF('06-26'!G11:AO11,"ASA")+COUNTIF('06-26'!F12:AO12,"ASA")+COUNTIF('06-26'!G13:AO13,"ASA")+COUNTIF('06-26'!F14:AO14,"ASA")+COUNTIF('06-26'!F15:AO15,"ASA")+COUNTIF('06-26'!F16:AO16,"ASA")+COUNTIF('06-26'!F17:AO17,"ASA")+COUNTIF('06-26'!G18:AO18,"ASA")+COUNTIF('06-26'!G19:AO19,"ASA")+COUNTIF('06-26'!G20:AO20,"ASA")+COUNTIF('06-26'!F21:AO21,"ASA")+COUNTIF('06-26'!F22:AO22,"ASA")+COUNTIF('06-26'!G23:AO23,"ASA")+COUNTIF('06-26'!G24:AO24,"ASA")+COUNTIF('06-26'!G25:AO25,"ASA")+COUNTIF('06-26'!G26:AO26,"ASA")+COUNTIF('06-26'!G27:AO27,"ASA")+COUNTIF('06-26'!G28:AO28,"ASA"),COUNTIF(INDIRECT("'06-26'!G"&amp;VLOOKUP($E$4,$AC$5:$AD$25,2,FALSE())&amp;":AO"&amp;VLOOKUP($E$4,$AC$5:$AD$25,2,FALSE())),"ASA"))</f>
        <v>0</v>
      </c>
      <c r="I12" s="3">
        <f ca="1">IF($E$4="TOUS",COUNTIF('07-26'!G10:AO10,"ASA")+COUNTIF('07-26'!G9:AO9,"ASA")+COUNTIF('07-26'!G8:AO8,"ASA")+COUNTIF('07-26'!F11:AO11,"ASA")+COUNTIF('07-26'!G12:AO12,"ASA")+COUNTIF('07-26'!G13:AO13,"ASA")+COUNTIF('07-26'!F14:AO14,"ASA")+COUNTIF('07-26'!F15:AO15,"ASA")+COUNTIF('07-26'!G16:AO16,"ASA")+COUNTIF('07-26'!G17:AO17,"ASA")+COUNTIF('07-26'!G18:AO18,"ASA")+COUNTIF('07-26'!G19:AO19,"ASA")+COUNTIF('07-26'!F20:AO20,"ASA")+COUNTIF('07-26'!F21:AO21,"ASA")+COUNTIF('07-26'!F22:AO22,"ASA")+COUNTIF('07-26'!G23:AO23,"ASA")+COUNTIF('07-26'!G24:AO24,"ASA")+COUNTIF('07-26'!G25:AO25,"ASA")+COUNTIF('07-26'!G26:AO26,"ASA")+COUNTIF('07-26'!G27:AO27,"ASA")+COUNTIF('07-26'!G28:AO28,"ASA"),COUNTIF(INDIRECT("'07-26'!G"&amp;VLOOKUP($E$4,$AC$5:$AD$25,2,FALSE())&amp;":AO"&amp;VLOOKUP($E$4,$AC$5:$AD$25,2,FALSE())),"ASA"))</f>
        <v>0</v>
      </c>
      <c r="J12" s="3">
        <f ca="1">IF($E$4="TOUS",COUNTIF('08-26'!G10:AO10,"ASA")+COUNTIF('08-26'!G9:AO9,"ASA")+COUNTIF('08-26'!G8:AO8,"ASA")+COUNTIF('08-26'!F11:AO11,"ASA")+COUNTIF('08-26'!F12:AO12,"ASA")+COUNTIF('08-26'!F13:AO13,"ASA")+COUNTIF('08-26'!F14:AO14,"ASA")+COUNTIF('08-26'!F15:AO15,"ASA")+COUNTIF('08-26'!G16:AO16,"ASA")+COUNTIF('08-26'!F17:AO17,"ASA")+COUNTIF('08-26'!G18:AO18,"ASA")+COUNTIF('08-26'!F19:AO19,"ASA")+COUNTIF('08-26'!F20:AO20,"ASA")+COUNTIF('08-26'!G21:AO21,"ASA")+COUNTIF('08-26'!F22:AO22,"ASA")+COUNTIF('08-26'!G23:AO23,"ASA")+COUNTIF('08-26'!G24:AO24,"ASA")+COUNTIF('08-26'!G25:AO25,"ASA")+COUNTIF('08-26'!G26:AO26,"ASA")+COUNTIF('08-26'!G27:AO27,"ASA")+COUNTIF('08-26'!G28:AO28,"ASA"),COUNTIF(INDIRECT("'08-26'!G"&amp;VLOOKUP($E$4,$AC$5:$AD$25,2,FALSE())&amp;":AO"&amp;VLOOKUP($E$4,$AC$5:$AD$25,2,FALSE())),"ASA"))</f>
        <v>0</v>
      </c>
      <c r="K12" s="3">
        <f ca="1">IF($E$4="TOUS",COUNTIF('09-26'!G10:AO10,"ASA")+COUNTIF('09-26'!G9:AO9,"ASA")+COUNTIF('09-26'!G8:AO8,"ASA")+COUNTIF('09-26'!F11:AO11,"ASA")+COUNTIF('09-26'!F12:AO12,"ASA")+COUNTIF('09-26'!G13:AO13,"ASA")+COUNTIF('09-26'!G14:AO14,"ASA")+COUNTIF('09-26'!F15:AO15,"ASA")+COUNTIF('09-26'!F16:AO16,"ASA")+COUNTIF('09-26'!F17:AO17,"ASA")+COUNTIF('09-26'!F18:AO18,"ASA")+COUNTIF('09-26'!G19:AO19,"ASA")+COUNTIF('09-26'!G20:AO20,"ASA")+COUNTIF('09-26'!F21:AO21,"ASA")+COUNTIF('09-26'!G22:AO22,"ASA")+COUNTIF('09-26'!G23:AO23,"ASA")+COUNTIF('09-26'!G24:AO24,"ASA")+COUNTIF('09-26'!G25:AO25,"ASA")+COUNTIF('09-26'!G26:AO26,"ASA")+COUNTIF('09-26'!G27:AO27,"ASA")+COUNTIF('09-26'!G28:AO28,"ASA"),COUNTIF(INDIRECT("'09-26'!G"&amp;VLOOKUP($E$4,$AC$5:$AD$25,2,FALSE())&amp;":AO"&amp;VLOOKUP($E$4,$AC$5:$AD$25,2,FALSE())),"ASA"))</f>
        <v>0</v>
      </c>
      <c r="L12" s="3">
        <f ca="1">IF($E$4="TOUS",COUNTIF('10-26'!G10:AO10,"ASA")+COUNTIF('10-26'!G9:AO9,"ASA")+COUNTIF('10-26'!G8:AO8,"ASA")+COUNTIF('10-26'!F11:AO11,"ASA")+COUNTIF('10-26'!F12:AO12,"ASA")+COUNTIF('10-26'!G13:AO13,"ASA")+COUNTIF('10-26'!F14:AO14,"ASA")+COUNTIF('10-26'!F15:AO15,"ASA")+COUNTIF('10-26'!F16:AO16,"ASA")+COUNTIF('10-26'!F17:AO17,"ASA")+COUNTIF('10-26'!G18:AO18,"ASA")+COUNTIF('10-26'!G19:AO19,"ASA")+COUNTIF('10-26'!F20:AO20,"ASA")+COUNTIF('10-26'!G21:AO21,"ASA")+COUNTIF('10-26'!G22:AO22,"ASA")+COUNTIF('10-26'!F23:AO23,"ASA")+COUNTIF('10-26'!G24:AO24,"ASA")+COUNTIF('10-26'!G25:AO25,"ASA")+COUNTIF('10-26'!G26:AO26,"ASA")+COUNTIF('10-26'!G27:AO27,"ASA")+COUNTIF('10-26'!G28:AO28,"ASA"),COUNTIF(INDIRECT("'10-26'!G"&amp;VLOOKUP($E$4,$AC$5:$AD$25,2,FALSE())&amp;":AO"&amp;VLOOKUP($E$4,$AC$5:$AD$25,2,FALSE())),"ASA"))</f>
        <v>0</v>
      </c>
      <c r="M12" s="3">
        <f ca="1">IF($E$4="TOUS",COUNTIF('11-26'!G10:AO10,"ASA")+COUNTIF('11-26'!G9:AO9,"ASA")+COUNTIF('11-26'!G8:AO8,"ASA")+COUNTIF('11-26'!G11:AO11,"ASA")+COUNTIF('11-26'!F12:AO12,"ASA")+COUNTIF('11-26'!G13:AO13,"ASA")+COUNTIF('11-26'!F14:AO14,"ASA")+COUNTIF('11-26'!F15:AO15,"ASA")+COUNTIF('11-26'!G16:AO16,"ASA")+COUNTIF('11-26'!G17:AO17,"ASA")+COUNTIF('11-26'!G18:AO18,"ASA")+COUNTIF('11-26'!G19:AO19,"ASA")+COUNTIF('11-26'!F20:AO20,"ASA")+COUNTIF('11-26'!F21:AO21,"ASA")+COUNTIF('11-26'!F22:AO22,"ASA")+COUNTIF('11-26'!G23:AO23,"ASA")+COUNTIF('11-26'!G24:AO24,"ASA")+COUNTIF('11-26'!G25:AO25,"ASA")+COUNTIF('11-26'!G26:AO26,"ASA")+COUNTIF('11-26'!G27:AO27,"ASA")+COUNTIF('11-26'!G28:AO28,"ASA"),COUNTIF(INDIRECT("'11-26'!G"&amp;VLOOKUP($E$4,$AC$5:$AD$25,2,FALSE())&amp;":AO"&amp;VLOOKUP($E$4,$AC$5:$AD$25,2,FALSE())),"ASA"))</f>
        <v>0</v>
      </c>
      <c r="N12" s="3">
        <f ca="1">IF($E$4="TOUS",COUNTIF('12-26'!G10:AO10,"ASA")+COUNTIF('12-26'!G9:AO9,"ASA")+COUNTIF('12-26'!G8:AO8,"ASA")+COUNTIF('12-26'!G11:AO11,"ASA")+COUNTIF('12-26'!G12:AO12,"ASA")+COUNTIF('12-26'!G13:AO13,"ASA")+COUNTIF('12-26'!G14:AO14,"ASA")+COUNTIF('12-26'!F15:AO15,"ASA")+COUNTIF('12-26'!G16:AO16,"ASA")+COUNTIF('12-26'!F17:AO17,"ASA")+COUNTIF('12-26'!G18:AO18,"ASA")+COUNTIF('12-26'!G19:AO19,"ASA")+COUNTIF('12-26'!F20:AO20,"ASA")+COUNTIF('12-26'!F21:AO21,"ASA")+COUNTIF('12-26'!F22:AO22,"ASA")+COUNTIF('12-26'!G23:AO23,"ASA")+COUNTIF('12-26'!G24:AO24,"ASA")+COUNTIF('12-26'!G25:AO25,"ASA")+COUNTIF('12-26'!G26:AO26,"ASA")+COUNTIF('12-26'!G27:AO27,"ASA")+COUNTIF('12-26'!G28:AO28,"ASA"),COUNTIF(INDIRECT("'12-26'!G"&amp;VLOOKUP($E$4,$AC$5:$AD$25,2,FALSE())&amp;":AO"&amp;VLOOKUP($E$4,$AC$5:$AD$25,2,FALSE())),"ASA"))</f>
        <v>0</v>
      </c>
      <c r="O12" s="4">
        <f t="shared" ca="1" si="0"/>
        <v>11</v>
      </c>
      <c r="Q12" s="2" t="s">
        <v>32</v>
      </c>
      <c r="R12" s="3">
        <f>COUNTIF('01-26'!G12:AO12,"TP")+COUNTIF('02-26'!F12:AO12,"TP")+COUNTIF('03-26'!F12:AO12,"TP")+COUNTIF('04-26'!F12:AO12,"TP")+COUNTIF('05-26'!F12:AO12,"TP")+COUNTIF('06-26'!F12:AO12,"TP")+COUNTIF('07-26'!G12:AO12,"TP")+COUNTIF('08-26'!F12:AO12,"TP")+COUNTIF('09-26'!F12:AO12,"TP")+COUNTIF('10-26'!F12:AO12,"TP")+COUNTIF('11-26'!F12:AO12,"TP")+COUNTIF('12-26'!G12:AO12,"TP")</f>
        <v>0</v>
      </c>
      <c r="S12" s="3">
        <f>COUNTIF('01-26'!G12:AO12,"CSE")+COUNTIF('01-26'!G12:AO12,"CSE/RPX")+COUNTIF('01-26'!G12:AO12,"RPX")+COUNTIF('02-26'!F12:AO12,"CSE")+COUNTIF('02-26'!F12:AO12,"CSE/RPX")+COUNTIF('02-26'!F12:AO12,"RPX")+COUNTIF('03-26'!F12:AO12,"CSE")+COUNTIF('03-26'!F12:AO12,"CSE/RPX")+COUNTIF('03-26'!F12:AO12,"RPX")+COUNTIF('04-26'!F12:AO12,"CSE")+COUNTIF('04-26'!F12:AO12,"CSE/RPX")+COUNTIF('04-26'!F12:AO12,"RPX")+COUNTIF('05-26'!F12:AO12,"CSE")+COUNTIF('05-26'!F12:AO12,"CSE/RPX")+COUNTIF('05-26'!F12:AO12,"RPX")+COUNTIF('06-26'!F12:AO12,"CSE")+COUNTIF('06-26'!F12:AO12,"CSE/RPX")+COUNTIF('06-26'!F12:AO12,"RPX")+COUNTIF('07-26'!G12:AO12,"CSE")+COUNTIF('07-26'!G12:AO12,"CSE/RPX")+COUNTIF('07-26'!G12:AO12,"RPX")+COUNTIF('08-26'!F12:AO12,"CSE")+COUNTIF('08-26'!F12:AO12,"CSE/RPX")+COUNTIF('08-26'!F12:AO12,"RPX")+COUNTIF('09-26'!F12:AO12,"CSE")+COUNTIF('09-26'!F12:AO12,"CSE/RPX")+COUNTIF('09-26'!F12:AO12,"RPX")+COUNTIF('10-26'!F12:AO12,"CSE")+COUNTIF('10-26'!F12:AO12,"CSE/RPX")+COUNTIF('10-26'!F12:AO12,"RPX")+COUNTIF('11-26'!F12:AO12,"CSE")+COUNTIF('11-26'!F12:AO12,"CSE/RPX")+COUNTIF('11-26'!F12:AO12,"RPX")+COUNTIF('12-26'!G12:AO12,"CSE")+COUNTIF('12-26'!G12:AO12,"CSE/RPX")+COUNTIF('12-26'!G12:AO12,"RPX")</f>
        <v>0</v>
      </c>
      <c r="T12" s="3">
        <f>COUNTIF('01-26'!G12:AO12,"CA/RC")+COUNTIF('01-26'!G12:AO12,"CA")+COUNTIF('02-26'!F12:AO12,"CA/RC")+COUNTIF('02-26'!F12:AO12,"CA")+COUNTIF('03-26'!F12:AO12,"CA/RC")+COUNTIF('03-26'!F12:AO12,"CA")+COUNTIF('04-26'!F12:AO12,"CA/RC")+COUNTIF('04-26'!F12:AO12,"CA")+COUNTIF('05-26'!F12:AO12,"CA/RC")+COUNTIF('05-26'!F12:AO12,"CA")+COUNTIF('06-26'!F12:AO12,"CA/RC")+COUNTIF('06-26'!F12:AO12,"CA")+COUNTIF('07-26'!G12:AO12,"CA/RC")+COUNTIF('07-26'!G12:AO12,"CA")+COUNTIF('08-26'!F12:AO12,"CA/RC")+COUNTIF('08-26'!F12:AO12,"CA")+COUNTIF('09-26'!F12:AO12,"CA/RC")+COUNTIF('09-26'!F12:AO12,"CA")+COUNTIF('10-26'!F12:AO12,"CA/RC")+COUNTIF('10-26'!F12:AO12,"CA")+COUNTIF('11-26'!F12:AO12,"CA/RC")+COUNTIF('11-26'!F12:AO12,"CA")+COUNTIF('12-26'!G12:AO12,"CA/RC")+COUNTIF('12-26'!G12:AO12,"CA")</f>
        <v>4</v>
      </c>
      <c r="U12" s="5">
        <f>COUNTIF('01-26'!G12:AO12,"ATM/ATA")+COUNTIF('01-26'!G12:AO12,"ATM")+COUNTIF('01-26'!G12:AO12,"ATA")+COUNTIF('02-26'!G12:AO12,"ATM/ATA")+COUNTIF('02-26'!G12:AO12,"ATM")+COUNTIF('02-26'!G12:AO12,"ATA")+COUNTIF('03-26'!G12:AO12,"ATM/ATA")+COUNTIF('03-26'!G12:AO12,"ATM")+COUNTIF('03-26'!G12:AO12,"ATA")+COUNTIF('04-26'!G12:AO12,"ATM/ATA")+COUNTIF('04-26'!G12:AO12,"ATM")+COUNTIF('04-26'!G12:AO12,"ATA")+COUNTIF('05-26'!G12:AO12,"ATM/ATA")+COUNTIF('05-26'!G12:AO12,"ATM")+COUNTIF('05-26'!G12:AO12,"ATA")+COUNTIF('06-26'!G12:AO12,"ATM/ATA")+COUNTIF('06-26'!G12:AO12,"ATM")+COUNTIF('06-26'!G12:AO12,"ATA")+COUNTIF('07-26'!F12:AO12,"ATM/ATA")+COUNTIF('07-26'!F12:AO12,"ATM")+COUNTIF('07-26'!F12:AO12,"ATA")+COUNTIF('08-26'!F12:AO12,"ATM/ATA")+COUNTIF('08-26'!F12:AO12,"ATM")+COUNTIF('08-26'!F12:AO12,"ATA")+COUNTIF('09-26'!F12:AO12,"ATM/ATA")+COUNTIF('09-26'!F12:AO12,"ATM")+COUNTIF('09-26'!F12:AO12,"ATA")+COUNTIF('10-26'!F12:AO12,"ATM/ATA")+COUNTIF('10-26'!F12:AO12,"ATM")+COUNTIF('10-26'!F12:AO12,"ATA")+COUNTIF('11-26'!G12:AO12,"ATM/ATA")+COUNTIF('11-26'!G12:AO12,"ATM")+COUNTIF('11-26'!G12:AO12,"ATA")+COUNTIF('12-26'!G12:AO12,"ATM/ATA")+COUNTIF('12-26'!G12:AO12,"ATM")+COUNTIF('12-26'!G12:AO12,"ATA")</f>
        <v>15</v>
      </c>
      <c r="V12" s="5">
        <f>COUNTIF('01-26'!G12:AO12,"ASA")+COUNTIF('02-26'!G12:AO12,"ASA")+COUNTIF('03-26'!G12:AO12,"ASA")+COUNTIF('04-26'!G12:AO12,"ASA")+COUNTIF('05-26'!G12:AO12,"ASA")+COUNTIF('06-26'!G12:AO12,"ASA")+COUNTIF('07-26'!F12:AO12,"ASA")+COUNTIF('08-26'!F12:AO12,"ASA")+COUNTIF('09-26'!F12:AO12,"ASA")+COUNTIF('10-26'!F12:AO12,"ASA")+COUNTIF('11-26'!G12:AO12,"ASA")+COUNTIF('12-26'!G12:AO12,"ASA")</f>
        <v>0</v>
      </c>
      <c r="W12" s="5">
        <f>COUNTIF('01-26'!G12:AO12,"FORM")+COUNTIF('02-26'!G12:AO12,"FORM")+COUNTIF('03-26'!G12:AO12,"FORM")+COUNTIF('04-26'!G12:AO12,"FORM")+COUNTIF('05-26'!G12:AO12,"FORM")+COUNTIF('06-26'!G12:AO12,"FORM")+COUNTIF('07-26'!F12:AO12,"FORM")+COUNTIF('08-26'!F12:AO12,"FORM")+COUNTIF('09-26'!F12:AO12,"FORM")+COUNTIF('10-26'!F12:AO12,"FORM")+COUNTIF('11-26'!G12:AO12,"FORM")+COUNTIF('12-26'!G12:AO12,"FORM")</f>
        <v>0</v>
      </c>
      <c r="X12" s="5">
        <f>COUNTIF('01-26'!G12:AO12,"RPM")+COUNTIF('01-26'!G12:AO12,"JPS")+COUNTIF('02-26'!G12:AO12,"RPM")+COUNTIF('02-26'!G12:AO12,"JPS")+COUNTIF('03-26'!G12:AO12,"RPM")+COUNTIF('03-26'!G12:AO12,"JPS")+COUNTIF('04-26'!G12:AO12,"RPM")+COUNTIF('04-26'!G12:AO12,"JPS")+COUNTIF('05-26'!G12:AO12,"RPM")+COUNTIF('05-26'!G12:AO12,"JPS")+COUNTIF('06-26'!G12:AO12,"RPM")+COUNTIF('06-26'!G12:AO12,"JPS")+COUNTIF('07-26'!F12:AO12,"RPM")+COUNTIF('07-26'!F12:AO12,"JPS")+COUNTIF('08-26'!F12:AO12,"RPM")+COUNTIF('08-26'!F12:AO12,"JPS")+COUNTIF('09-26'!F12:AO12,"RPM")+COUNTIF('09-26'!F12:AO12,"JPS")+COUNTIF('10-26'!F12:AO12,"RPM")+COUNTIF('10-26'!F12:AO12,"JPS")+COUNTIF('11-26'!G12:AO12,"RPM")+COUNTIF('11-26'!G12:AO12,"JPS")+COUNTIF('12-26'!G12:AO12,"RPM")+COUNTIF('12-26'!G12:AO12,"JPS")</f>
        <v>0</v>
      </c>
      <c r="Y12" s="393">
        <f t="shared" si="1"/>
        <v>19</v>
      </c>
      <c r="AB12" t="s">
        <v>34</v>
      </c>
      <c r="AC12" t="s">
        <v>35</v>
      </c>
      <c r="AD12">
        <v>15</v>
      </c>
    </row>
    <row r="13" spans="1:30" ht="19.5" customHeight="1">
      <c r="A13" s="390"/>
      <c r="B13" s="2" t="s">
        <v>28</v>
      </c>
      <c r="C13" s="5">
        <f ca="1">IF($E$4="TOUS",COUNTIF('01-26'!G10:AO10,"FORM")+COUNTIF('01-26'!G9:AO9,"FORM")+COUNTIF('01-26'!G8:AO8,"FORM")+COUNTIF('01-26'!G11:AO11,"FORM")+COUNTIF('01-26'!G12:AO12,"FORM")+COUNTIF('01-26'!G13:AO13,"FORM")+COUNTIF('01-26'!F14:AO14,"FORM")+COUNTIF('01-26'!G15:AO15,"FORM")+COUNTIF('01-26'!F16:AO16,"FORM")+COUNTIF('01-26'!F17:AO17,"FORM")+COUNTIF('01-26'!G18:AO18,"FORM")+COUNTIF('01-26'!G19:AO19,"FORM")+COUNTIF('01-26'!F20:AO20,"FORM")+COUNTIF('01-26'!F21:AO21,"FORM")+COUNTIF('01-26'!G22:AO22,"FORM")+COUNTIF('01-26'!G23:AO23,"FORM")+COUNTIF('01-26'!G24:AO24,"FORM")+COUNTIF('01-26'!G25:AO25,"FORM")+COUNTIF('01-26'!G26:AO26,"FORM")+COUNTIF('01-26'!G27:AO27,"FORM")+COUNTIF('01-26'!G28:AO28,"FORM"),COUNTIF(INDIRECT("'01-26'!G"&amp;VLOOKUP($E$4,$AC$5:$AD$25,2,FALSE())&amp;":AO"&amp;VLOOKUP($E$4,$AC$5:$AD$25,2,FALSE())),"FORM"))</f>
        <v>18</v>
      </c>
      <c r="D13" s="5">
        <f ca="1">IF($E$4="TOUS",COUNTIF('02-26'!G10:AO10,"FORM")+COUNTIF('02-26'!G9:AO9,"FORM")+COUNTIF('02-26'!G8:AO8,"FORM")+COUNTIF('02-26'!G11:AO11,"FORM")+COUNTIF('02-26'!F12:AO12,"FORM")+COUNTIF('02-26'!G13:AO13,"FORM")+COUNTIF('02-26'!G14:AO14,"FORM")+COUNTIF('02-26'!F15:AO15,"FORM")+COUNTIF('02-26'!G16:AO16,"FORM")+COUNTIF('02-26'!F17:AO17,"FORM")+COUNTIF('02-26'!G18:AO18,"FORM")+COUNTIF('02-26'!G19:AO19,"FORM")+COUNTIF('02-26'!F20:AO20,"FORM")+COUNTIF('02-26'!G21:AO21,"FORM")+COUNTIF('02-26'!G22:AO22,"FORM")+COUNTIF('02-26'!G23:AO23,"FORM")+COUNTIF('02-26'!G24:AO24,"FORM")+COUNTIF('02-26'!G25:AO25,"FORM")+COUNTIF('02-26'!G26:AO26,"FORM")+COUNTIF('02-26'!G27:AO27,"FORM")+COUNTIF('02-26'!G28:AO28,"FORM"),COUNTIF(INDIRECT("'02-26'!G"&amp;VLOOKUP($E$4,$AC$5:$AD$25,2,FALSE())&amp;":AO"&amp;VLOOKUP($E$4,$AC$5:$AD$25,2,FALSE())),"FORM"))</f>
        <v>20</v>
      </c>
      <c r="E13" s="5">
        <f ca="1">IF($E$4="TOUS",COUNTIF('03-26'!G10:AO10,"FORM")+COUNTIF('03-26'!G9:AO9,"FORM")+COUNTIF('03-26'!G8:AO8,"FORM")+COUNTIF('03-26'!G11:AO11,"FORM")+COUNTIF('03-26'!F12:AO12,"FORM")+COUNTIF('03-26'!G13:AO13,"FORM")+COUNTIF('03-26'!G14:AO14,"FORM")+COUNTIF('03-26'!F15:AO15,"FORM")+COUNTIF('03-26'!F16:AO16,"FORM")+COUNTIF('03-26'!F17:AO17,"FORM")+COUNTIF('03-26'!F18:AO18,"FORM")+COUNTIF('03-26'!G19:AO19,"FORM")+COUNTIF('03-26'!G20:AO20,"FORM")+COUNTIF('03-26'!G21:AO21,"FORM")+COUNTIF('03-26'!F22:AO22,"FORM")+COUNTIF('03-26'!G23:AO23,"FORM")+COUNTIF('03-26'!G24:AO24,"FORM")+COUNTIF('03-26'!G25:AO25,"FORM")+COUNTIF('03-26'!G26:AO26,"FORM")+COUNTIF('03-26'!G27:AO27,"FORM")+COUNTIF('03-26'!G28:AO28,"FORM"),COUNTIF(INDIRECT("'03-26'!G"&amp;VLOOKUP($E$4,$AC$5:$AD$25,2,FALSE())&amp;":AO"&amp;VLOOKUP($E$4,$AC$5:$AD$25,2,FALSE())),"FORM"))</f>
        <v>4</v>
      </c>
      <c r="F13" s="5">
        <f ca="1">IF($E$4="TOUS",COUNTIF('04-26'!G10:AO10,"FORM")+COUNTIF('04-26'!G9:AO9,"FORM")+COUNTIF('04-26'!G8:AO8,"FORM")+COUNTIF('04-26'!G11:AO11,"FORM")+COUNTIF('04-26'!F12:AO12,"FORM")+COUNTIF('04-26'!G13:AO13,"FORM")+COUNTIF('04-26'!F14:AO14,"FORM")+COUNTIF('04-26'!G15:AO15,"FORM")+COUNTIF('04-26'!G16:AO16,"FORM")+COUNTIF('04-26'!G17:AO17,"FORM")+COUNTIF('04-26'!G18:AO18,"FORM")+COUNTIF('04-26'!G19:AO19,"FORM")+COUNTIF('04-26'!G20:AO20,"FORM")+COUNTIF('04-26'!G21:AO21,"FORM")+COUNTIF('04-26'!G22:AO22,"FORM")+COUNTIF('04-26'!G23:AO23,"FORM")+COUNTIF('04-26'!G24:AO24,"FORM")+COUNTIF('04-26'!G25:AO25,"FORM")+COUNTIF('04-26'!G26:AO26,"FORM")+COUNTIF('04-26'!G27:AO27,"FORM")+COUNTIF('04-26'!G28:AO28,"FORM"),COUNTIF(INDIRECT("'04-26'!G"&amp;VLOOKUP($E$4,$AC$5:$AD$25,2,FALSE())&amp;":AO"&amp;VLOOKUP($E$4,$AC$5:$AD$25,2,FALSE())),"FORM"))</f>
        <v>1</v>
      </c>
      <c r="G13" s="5">
        <f ca="1">IF($E$4="TOUS",COUNTIF('05-26'!G10:AO10,"FORM")+COUNTIF('05-26'!G9:AO9,"FORM")+COUNTIF('05-26'!G8:AO8,"FORM")+COUNTIF('05-26'!G11:AO11,"FORM")+COUNTIF('05-26'!F12:AO12,"FORM")+COUNTIF('05-26'!G13:AO13,"FORM")+COUNTIF('05-26'!F14:AO14,"FORM")+COUNTIF('05-26'!F15:AO15,"FORM")+COUNTIF('05-26'!G16:AO16,"FORM")+COUNTIF('05-26'!F17:AO17,"FORM")+COUNTIF('05-26'!G18:AO18,"FORM")+COUNTIF('05-26'!G19:AO19,"FORM")+COUNTIF('05-26'!G20:AO20,"FORM")+COUNTIF('05-26'!F21:AO21,"FORM")+COUNTIF('05-26'!F22:AO22,"FORM")+COUNTIF('05-26'!G23:AO23,"FORM")+COUNTIF('05-26'!G24:AO24,"FORM")+COUNTIF('05-26'!G25:AO25,"FORM")+COUNTIF('05-26'!G26:AO26,"FORM")+COUNTIF('05-26'!G27:AO27,"FORM")+COUNTIF('05-26'!G28:AO28,"FORM"),COUNTIF(INDIRECT("'05-26'!G"&amp;VLOOKUP($E$4,$AC$5:$AD$25,2,FALSE())&amp;":AO"&amp;VLOOKUP($E$4,$AC$5:$AD$25,2,FALSE())),"FORM"))</f>
        <v>0</v>
      </c>
      <c r="H13" s="5">
        <f ca="1">IF($E$4="TOUS",COUNTIF('06-26'!G10:AO10,"FORM")+COUNTIF('06-26'!G9:AO9,"FORM")+COUNTIF('06-26'!G8:AO8,"FORM")+COUNTIF('06-26'!G11:AO11,"FORM")+COUNTIF('06-26'!F12:AO12,"FORM")+COUNTIF('06-26'!G13:AO13,"FORM")+COUNTIF('06-26'!F14:AO14,"FORM")+COUNTIF('06-26'!F15:AO15,"FORM")+COUNTIF('06-26'!F16:AO16,"FORM")+COUNTIF('06-26'!F17:AO17,"FORM")+COUNTIF('06-26'!G18:AO18,"FORM")+COUNTIF('06-26'!G19:AO19,"FORM")+COUNTIF('06-26'!G20:AO20,"FORM")+COUNTIF('06-26'!F21:AO21,"FORM")+COUNTIF('06-26'!F22:AO22,"FORM")+COUNTIF('06-26'!G23:AO23,"FORM")+COUNTIF('06-26'!G24:AO24,"FORM")+COUNTIF('06-26'!G25:AO25,"FORM")+COUNTIF('06-26'!G26:AO26,"FORM")+COUNTIF('06-26'!G27:AO27,"FORM")+COUNTIF('06-26'!G28:AO28,"FORM"),COUNTIF(INDIRECT("'06-26'!G"&amp;VLOOKUP($E$4,$AC$5:$AD$25,2,FALSE())&amp;":AO"&amp;VLOOKUP($E$4,$AC$5:$AD$25,2,FALSE())),"FORM"))</f>
        <v>0</v>
      </c>
      <c r="I13" s="5">
        <f ca="1">IF($E$4="TOUS",COUNTIF('07-26'!G10:AO10,"FORM")+COUNTIF('07-26'!G9:AO9,"FORM")+COUNTIF('07-26'!G8:AO8,"FORM")+COUNTIF('07-26'!F11:AO11,"FORM")+COUNTIF('07-26'!G12:AO12,"FORM")+COUNTIF('07-26'!G13:AO13,"FORM")+COUNTIF('07-26'!F14:AO14,"FORM")+COUNTIF('07-26'!F15:AO15,"FORM")+COUNTIF('07-26'!G16:AO16,"FORM")+COUNTIF('07-26'!G17:AO17,"FORM")+COUNTIF('07-26'!G18:AO18,"FORM")+COUNTIF('07-26'!G19:AO19,"FORM")+COUNTIF('07-26'!F20:AO20,"FORM")+COUNTIF('07-26'!F21:AO21,"FORM")+COUNTIF('07-26'!F22:AO22,"FORM")+COUNTIF('07-26'!G23:AO23,"FORM")+COUNTIF('07-26'!G24:AO24,"FORM")+COUNTIF('07-26'!G25:AO25,"FORM")+COUNTIF('07-26'!G26:AO26,"FORM")+COUNTIF('07-26'!G27:AO27,"FORM")+COUNTIF('07-26'!G28:AO28,"FORM"),COUNTIF(INDIRECT("'07-26'!G"&amp;VLOOKUP($E$4,$AC$5:$AD$25,2,FALSE())&amp;":AO"&amp;VLOOKUP($E$4,$AC$5:$AD$25,2,FALSE())),"FORM"))</f>
        <v>0</v>
      </c>
      <c r="J13" s="5">
        <f ca="1">IF($E$4="TOUS",COUNTIF('08-26'!G10:AO10,"FORM")+COUNTIF('08-26'!G9:AO9,"FORM")+COUNTIF('08-26'!G8:AO8,"FORM")+COUNTIF('08-26'!F11:AO11,"FORM")+COUNTIF('08-26'!F12:AO12,"FORM")+COUNTIF('08-26'!F13:AO13,"FORM")+COUNTIF('08-26'!F14:AO14,"FORM")+COUNTIF('08-26'!F15:AO15,"FORM")+COUNTIF('08-26'!G16:AO16,"FORM")+COUNTIF('08-26'!F17:AO17,"FORM")+COUNTIF('08-26'!G18:AO18,"FORM")+COUNTIF('08-26'!F19:AO19,"FORM")+COUNTIF('08-26'!F20:AO20,"FORM")+COUNTIF('08-26'!G21:AO21,"FORM")+COUNTIF('08-26'!F22:AO22,"FORM")+COUNTIF('08-26'!G23:AO23,"FORM")+COUNTIF('08-26'!G24:AO24,"FORM")+COUNTIF('08-26'!G25:AO25,"FORM")+COUNTIF('08-26'!G26:AO26,"FORM")+COUNTIF('08-26'!G27:AO27,"FORM")+COUNTIF('08-26'!G28:AO28,"FORM"),COUNTIF(INDIRECT("'08-26'!G"&amp;VLOOKUP($E$4,$AC$5:$AD$25,2,FALSE())&amp;":AO"&amp;VLOOKUP($E$4,$AC$5:$AD$25,2,FALSE())),"FORM"))</f>
        <v>0</v>
      </c>
      <c r="K13" s="5">
        <f ca="1">IF($E$4="TOUS",COUNTIF('09-26'!G10:AO10,"FORM")+COUNTIF('09-26'!G9:AO9,"FORM")+COUNTIF('09-26'!G8:AO8,"FORM")+COUNTIF('09-26'!F11:AO11,"FORM")+COUNTIF('09-26'!F12:AO12,"FORM")+COUNTIF('09-26'!G13:AO13,"FORM")+COUNTIF('09-26'!G14:AO14,"FORM")+COUNTIF('09-26'!F15:AO15,"FORM")+COUNTIF('09-26'!F16:AO16,"FORM")+COUNTIF('09-26'!F17:AO17,"FORM")+COUNTIF('09-26'!F18:AO18,"FORM")+COUNTIF('09-26'!G19:AO19,"FORM")+COUNTIF('09-26'!G20:AO20,"FORM")+COUNTIF('09-26'!F21:AO21,"FORM")+COUNTIF('09-26'!G22:AO22,"FORM")+COUNTIF('09-26'!G23:AO23,"FORM")+COUNTIF('09-26'!G24:AO24,"FORM")+COUNTIF('09-26'!G25:AO25,"FORM")+COUNTIF('09-26'!G26:AO26,"FORM")+COUNTIF('09-26'!G27:AO27,"FORM")+COUNTIF('09-26'!G28:AO28,"FORM"),COUNTIF(INDIRECT("'09-26'!G"&amp;VLOOKUP($E$4,$AC$5:$AD$25,2,FALSE())&amp;":AO"&amp;VLOOKUP($E$4,$AC$5:$AD$25,2,FALSE())),"FORM"))</f>
        <v>0</v>
      </c>
      <c r="L13" s="5">
        <f ca="1">IF($E$4="TOUS",COUNTIF('10-26'!G10:AO10,"FORM")+COUNTIF('10-26'!G9:AO9,"FORM")+COUNTIF('10-26'!G8:AO8,"FORM")+COUNTIF('10-26'!F11:AO11,"FORM")+COUNTIF('10-26'!F12:AO12,"FORM")+COUNTIF('10-26'!G13:AO13,"FORM")+COUNTIF('10-26'!F14:AO14,"FORM")+COUNTIF('10-26'!F15:AO15,"FORM")+COUNTIF('10-26'!F16:AO16,"FORM")+COUNTIF('10-26'!F17:AO17,"FORM")+COUNTIF('10-26'!G18:AO18,"FORM")+COUNTIF('10-26'!G19:AO19,"FORM")+COUNTIF('10-26'!F20:AO20,"FORM")+COUNTIF('10-26'!G21:AO21,"FORM")+COUNTIF('10-26'!G22:AO22,"FORM")+COUNTIF('10-26'!F23:AO23,"FORM")+COUNTIF('10-26'!G24:AO24,"FORM")+COUNTIF('10-26'!G25:AO25,"FORM")+COUNTIF('10-26'!G26:AO26,"FORM")+COUNTIF('10-26'!G27:AO27,"FORM")+COUNTIF('10-26'!G28:AO28,"FORM"),COUNTIF(INDIRECT("'10-26'!G"&amp;VLOOKUP($E$4,$AC$5:$AD$25,2,FALSE())&amp;":AO"&amp;VLOOKUP($E$4,$AC$5:$AD$25,2,FALSE())),"FORM"))</f>
        <v>0</v>
      </c>
      <c r="M13" s="5">
        <f ca="1">IF($E$4="TOUS",COUNTIF('11-26'!G10:AO10,"FORM")+COUNTIF('11-26'!G9:AO9,"FORM")+COUNTIF('11-26'!G8:AO8,"FORM")+COUNTIF('11-26'!G11:AO11,"FORM")+COUNTIF('11-26'!F12:AO12,"FORM")+COUNTIF('11-26'!G13:AO13,"FORM")+COUNTIF('11-26'!F14:AO14,"FORM")+COUNTIF('11-26'!F15:AO15,"FORM")+COUNTIF('11-26'!G16:AO16,"FORM")+COUNTIF('11-26'!G17:AO17,"FORM")+COUNTIF('11-26'!G18:AO18,"FORM")+COUNTIF('11-26'!G19:AO19,"FORM")+COUNTIF('11-26'!F20:AO20,"FORM")+COUNTIF('11-26'!F21:AO21,"FORM")+COUNTIF('11-26'!F22:AO22,"FORM")+COUNTIF('11-26'!G23:AO23,"FORM")+COUNTIF('11-26'!G24:AO24,"FORM")+COUNTIF('11-26'!G25:AO25,"FORM")+COUNTIF('11-26'!G26:AO26,"FORM")+COUNTIF('11-26'!G27:AO27,"FORM")+COUNTIF('11-26'!G28:AO28,"FORM"),COUNTIF(INDIRECT("'11-26'!G"&amp;VLOOKUP($E$4,$AC$5:$AD$25,2,FALSE())&amp;":AO"&amp;VLOOKUP($E$4,$AC$5:$AD$25,2,FALSE())),"FORM"))</f>
        <v>0</v>
      </c>
      <c r="N13" s="5">
        <f ca="1">IF($E$4="TOUS",COUNTIF('12-26'!G10:AO10,"FORM")+COUNTIF('12-26'!G9:AO9,"FORM")+COUNTIF('12-26'!G8:AO8,"FORM")+COUNTIF('12-26'!G11:AO11,"FORM")+COUNTIF('12-26'!G12:AO12,"FORM")+COUNTIF('12-26'!G13:AO13,"FORM")+COUNTIF('12-26'!G14:AO14,"FORM")+COUNTIF('12-26'!F15:AO15,"FORM")+COUNTIF('12-26'!G16:AO16,"FORM")+COUNTIF('12-26'!F17:AO17,"FORM")+COUNTIF('12-26'!G18:AO18,"FORM")+COUNTIF('12-26'!G19:AO19,"FORM")+COUNTIF('12-26'!F20:AO20,"FORM")+COUNTIF('12-26'!F21:AO21,"FORM")+COUNTIF('12-26'!F22:AO22,"FORM")+COUNTIF('12-26'!G23:AO23,"FORM")+COUNTIF('12-26'!G24:AO24,"FORM")+COUNTIF('12-26'!G25:AO25,"FORM")+COUNTIF('12-26'!G26:AO26,"FORM")+COUNTIF('12-26'!G27:AO27,"FORM")+COUNTIF('12-26'!G28:AO28,"FORM"),COUNTIF(INDIRECT("'12-26'!G"&amp;VLOOKUP($E$4,$AC$5:$AD$25,2,FALSE())&amp;":AO"&amp;VLOOKUP($E$4,$AC$5:$AD$25,2,FALSE())),"FORM"))</f>
        <v>0</v>
      </c>
      <c r="O13" s="4">
        <f t="shared" ca="1" si="0"/>
        <v>43</v>
      </c>
      <c r="Q13" s="6" t="s">
        <v>33</v>
      </c>
      <c r="R13" s="3">
        <f>COUNTIF('01-26'!G13:AO13,"TP")+COUNTIF('02-26'!F13:AO13,"TP")+COUNTIF('03-26'!F13:AO13,"TP")+COUNTIF('04-26'!F13:AO13,"TP")+COUNTIF('05-26'!F13:AO13,"TP")+COUNTIF('06-26'!F13:AO13,"TP")+COUNTIF('07-26'!G13:AO13,"TP")+COUNTIF('08-26'!F13:AO13,"TP")+COUNTIF('09-26'!F13:AO13,"TP")+COUNTIF('10-26'!F13:AO13,"TP")+COUNTIF('11-26'!F13:AO13,"TP")+COUNTIF('12-26'!G13:AO13,"TP")</f>
        <v>52</v>
      </c>
      <c r="S13" s="3">
        <f>COUNTIF('01-26'!G13:AO13,"CSE")+COUNTIF('01-26'!G13:AO13,"CSE/RPX")+COUNTIF('01-26'!G13:AO13,"RPX")+COUNTIF('02-26'!F13:AO13,"CSE")+COUNTIF('02-26'!F13:AO13,"CSE/RPX")+COUNTIF('02-26'!F13:AO13,"RPX")+COUNTIF('03-26'!F13:AO13,"CSE")+COUNTIF('03-26'!F13:AO13,"CSE/RPX")+COUNTIF('03-26'!F13:AO13,"RPX")+COUNTIF('04-26'!F13:AO13,"CSE")+COUNTIF('04-26'!F13:AO13,"CSE/RPX")+COUNTIF('04-26'!F13:AO13,"RPX")+COUNTIF('05-26'!F13:AO13,"CSE")+COUNTIF('05-26'!F13:AO13,"CSE/RPX")+COUNTIF('05-26'!F13:AO13,"RPX")+COUNTIF('06-26'!F13:AO13,"CSE")+COUNTIF('06-26'!F13:AO13,"CSE/RPX")+COUNTIF('06-26'!F13:AO13,"RPX")+COUNTIF('07-26'!G13:AO13,"CSE")+COUNTIF('07-26'!G13:AO13,"CSE/RPX")+COUNTIF('07-26'!G13:AO13,"RPX")+COUNTIF('08-26'!F13:AO13,"CSE")+COUNTIF('08-26'!F13:AO13,"CSE/RPX")+COUNTIF('08-26'!F13:AO13,"RPX")+COUNTIF('09-26'!F13:AO13,"CSE")+COUNTIF('09-26'!F13:AO13,"CSE/RPX")+COUNTIF('09-26'!F13:AO13,"RPX")+COUNTIF('10-26'!F13:AO13,"CSE")+COUNTIF('10-26'!F13:AO13,"CSE/RPX")+COUNTIF('10-26'!F13:AO13,"RPX")+COUNTIF('11-26'!F13:AO13,"CSE")+COUNTIF('11-26'!F13:AO13,"CSE/RPX")+COUNTIF('11-26'!F13:AO13,"RPX")+COUNTIF('12-26'!G13:AO13,"CSE")+COUNTIF('12-26'!G13:AO13,"CSE/RPX")+COUNTIF('12-26'!G13:AO13,"RPX")</f>
        <v>34</v>
      </c>
      <c r="T13" s="3">
        <f>COUNTIF('01-26'!G13:AO13,"CA/RC")+COUNTIF('01-26'!G13:AO13,"CA")+COUNTIF('02-26'!F13:AO13,"CA/RC")+COUNTIF('02-26'!F13:AO13,"CA")+COUNTIF('03-26'!F13:AO13,"CA/RC")+COUNTIF('03-26'!F13:AO13,"CA")+COUNTIF('04-26'!F13:AO13,"CA/RC")+COUNTIF('04-26'!F13:AO13,"CA")+COUNTIF('05-26'!F13:AO13,"CA/RC")+COUNTIF('05-26'!F13:AO13,"CA")+COUNTIF('06-26'!F13:AO13,"CA/RC")+COUNTIF('06-26'!F13:AO13,"CA")+COUNTIF('07-26'!G13:AO13,"CA/RC")+COUNTIF('07-26'!G13:AO13,"CA")+COUNTIF('08-26'!F13:AO13,"CA/RC")+COUNTIF('08-26'!F13:AO13,"CA")+COUNTIF('09-26'!F13:AO13,"CA/RC")+COUNTIF('09-26'!F13:AO13,"CA")+COUNTIF('10-26'!F13:AO13,"CA/RC")+COUNTIF('10-26'!F13:AO13,"CA")+COUNTIF('11-26'!F13:AO13,"CA/RC")+COUNTIF('11-26'!F13:AO13,"CA")+COUNTIF('12-26'!G13:AO13,"CA/RC")+COUNTIF('12-26'!G13:AO13,"CA")</f>
        <v>24</v>
      </c>
      <c r="U13" s="5">
        <f>COUNTIF('01-26'!G13:AO13,"ATM/ATA")+COUNTIF('01-26'!G13:AO13,"ATM")+COUNTIF('01-26'!G13:AO13,"ATA")+COUNTIF('02-26'!G13:AO13,"ATM/ATA")+COUNTIF('02-26'!G13:AO13,"ATM")+COUNTIF('02-26'!G13:AO13,"ATA")+COUNTIF('03-26'!G13:AO13,"ATM/ATA")+COUNTIF('03-26'!G13:AO13,"ATM")+COUNTIF('03-26'!G13:AO13,"ATA")+COUNTIF('04-26'!G13:AO13,"ATM/ATA")+COUNTIF('04-26'!G13:AO13,"ATM")+COUNTIF('04-26'!G13:AO13,"ATA")+COUNTIF('05-26'!G13:AO13,"ATM/ATA")+COUNTIF('05-26'!G13:AO13,"ATM")+COUNTIF('05-26'!G13:AO13,"ATA")+COUNTIF('06-26'!G13:AO13,"ATM/ATA")+COUNTIF('06-26'!G13:AO13,"ATM")+COUNTIF('06-26'!G13:AO13,"ATA")+COUNTIF('07-26'!F13:AO13,"ATM/ATA")+COUNTIF('07-26'!F13:AO13,"ATM")+COUNTIF('07-26'!F13:AO13,"ATA")+COUNTIF('08-26'!F13:AO13,"ATM/ATA")+COUNTIF('08-26'!F13:AO13,"ATM")+COUNTIF('08-26'!F13:AO13,"ATA")+COUNTIF('09-26'!F13:AO13,"ATM/ATA")+COUNTIF('09-26'!F13:AO13,"ATM")+COUNTIF('09-26'!F13:AO13,"ATA")+COUNTIF('10-26'!F13:AO13,"ATM/ATA")+COUNTIF('10-26'!F13:AO13,"ATM")+COUNTIF('10-26'!F13:AO13,"ATA")+COUNTIF('11-26'!G13:AO13,"ATM/ATA")+COUNTIF('11-26'!G13:AO13,"ATM")+COUNTIF('11-26'!G13:AO13,"ATA")+COUNTIF('12-26'!G13:AO13,"ATM/ATA")+COUNTIF('12-26'!G13:AO13,"ATM")+COUNTIF('12-26'!G13:AO13,"ATA")</f>
        <v>0</v>
      </c>
      <c r="V13" s="5">
        <f>COUNTIF('01-26'!G13:AO13,"ASA")+COUNTIF('02-26'!G13:AO13,"ASA")+COUNTIF('03-26'!G13:AO13,"ASA")+COUNTIF('04-26'!G13:AO13,"ASA")+COUNTIF('05-26'!G13:AO13,"ASA")+COUNTIF('06-26'!G13:AO13,"ASA")+COUNTIF('07-26'!F13:AO13,"ASA")+COUNTIF('08-26'!F13:AO13,"ASA")+COUNTIF('09-26'!F13:AO13,"ASA")+COUNTIF('10-26'!F13:AO13,"ASA")+COUNTIF('11-26'!G13:AO13,"ASA")+COUNTIF('12-26'!G13:AO13,"ASA")</f>
        <v>0</v>
      </c>
      <c r="W13" s="5">
        <f>COUNTIF('01-26'!G13:AO13,"FORM")+COUNTIF('02-26'!G13:AO13,"FORM")+COUNTIF('03-26'!G13:AO13,"FORM")+COUNTIF('04-26'!G13:AO13,"FORM")+COUNTIF('05-26'!G13:AO13,"FORM")+COUNTIF('06-26'!G13:AO13,"FORM")+COUNTIF('07-26'!F13:AO13,"FORM")+COUNTIF('08-26'!F13:AO13,"FORM")+COUNTIF('09-26'!F13:AO13,"FORM")+COUNTIF('10-26'!F13:AO13,"FORM")+COUNTIF('11-26'!G13:AO13,"FORM")+COUNTIF('12-26'!G13:AO13,"FORM")</f>
        <v>0</v>
      </c>
      <c r="X13" s="5">
        <f>COUNTIF('01-26'!G13:AO13,"RPM")+COUNTIF('01-26'!G13:AO13,"JPS")+COUNTIF('02-26'!G13:AO13,"RPM")+COUNTIF('02-26'!G13:AO13,"JPS")+COUNTIF('03-26'!G13:AO13,"RPM")+COUNTIF('03-26'!G13:AO13,"JPS")+COUNTIF('04-26'!G13:AO13,"RPM")+COUNTIF('04-26'!G13:AO13,"JPS")+COUNTIF('05-26'!G13:AO13,"RPM")+COUNTIF('05-26'!G13:AO13,"JPS")+COUNTIF('06-26'!G13:AO13,"RPM")+COUNTIF('06-26'!G13:AO13,"JPS")+COUNTIF('07-26'!F13:AO13,"RPM")+COUNTIF('07-26'!F13:AO13,"JPS")+COUNTIF('08-26'!F13:AO13,"RPM")+COUNTIF('08-26'!F13:AO13,"JPS")+COUNTIF('09-26'!F13:AO13,"RPM")+COUNTIF('09-26'!F13:AO13,"JPS")+COUNTIF('10-26'!F13:AO13,"RPM")+COUNTIF('10-26'!F13:AO13,"JPS")+COUNTIF('11-26'!G13:AO13,"RPM")+COUNTIF('11-26'!G13:AO13,"JPS")+COUNTIF('12-26'!G13:AO13,"RPM")+COUNTIF('12-26'!G13:AO13,"JPS")</f>
        <v>0</v>
      </c>
      <c r="Y13" s="393">
        <f t="shared" si="1"/>
        <v>110</v>
      </c>
      <c r="AB13" t="s">
        <v>35</v>
      </c>
      <c r="AC13" t="s">
        <v>36</v>
      </c>
      <c r="AD13">
        <v>16</v>
      </c>
    </row>
    <row r="14" spans="1:30" ht="19.5" customHeight="1">
      <c r="A14" s="390"/>
      <c r="B14" s="2" t="s">
        <v>29</v>
      </c>
      <c r="C14" s="3">
        <f ca="1">IF($E$4="TOUS",COUNTIF('01-26'!G10:AO10,"RPM")+COUNTIF('01-26'!G9:AO9,"RPM")+COUNTIF('01-26'!G8:AO8,"RPM")+COUNTIF('01-26'!G11:AO11,"RPM")+COUNTIF('01-26'!G12:AO12,"RPM")+COUNTIF('01-26'!G13:AO13,"RPM")+COUNTIF('01-26'!F14:AO14,"RPM")+COUNTIF('01-26'!G15:AO15,"RPM")+COUNTIF('01-26'!F16:AO16,"RPM")+COUNTIF('01-26'!F17:AO17,"RPM")+COUNTIF('01-26'!G18:AO18,"RPM")+COUNTIF('01-26'!G19:AO19,"RPM")+COUNTIF('01-26'!F20:AO20,"RPM")+COUNTIF('01-26'!F21:AO21,"RPM")+COUNTIF('01-26'!G22:AO22,"RPM")+COUNTIF('01-26'!G23:AO23,"RPM")+COUNTIF('01-26'!G24:AO24,"RPM")+COUNTIF('01-26'!G25:AO25,"RPM")+COUNTIF('01-26'!G26:AO26,"RPM")+COUNTIF('01-26'!G27:AO27,"RPM")+COUNTIF('01-26'!G28:AO28,"RPM")+COUNTIF('01-26'!G10:AO10,"JPS")+COUNTIF('01-26'!G9:AO9,"JPS")+COUNTIF('01-26'!G8:AO8,"JPS")+COUNTIF('01-26'!G11:AO11,"JPS")+COUNTIF('01-26'!G12:AO12,"JPS")+COUNTIF('01-26'!G13:AO13,"JPS")+COUNTIF('01-26'!F14:AO14,"JPS")+COUNTIF('01-26'!G15:AO15,"JPS")+COUNTIF('01-26'!F16:AO16,"JPS")+COUNTIF('01-26'!F17:AO17,"JPS")+COUNTIF('01-26'!G18:AO18,"JPS")+COUNTIF('01-26'!G19:AO19,"JPS")+COUNTIF('01-26'!F20:AO20,"JPS")+COUNTIF('01-26'!F21:AO21,"JPS")+COUNTIF('01-26'!G22:AO22,"JPS")+COUNTIF('01-26'!G23:AO23,"JPS")+COUNTIF('01-26'!G24:AO24,"JPS")+COUNTIF('01-26'!G25:AO25,"JPS")+COUNTIF('01-26'!G26:AO26,"JPS")+COUNTIF('01-26'!G27:AO27,"JPS")+COUNTIF('01-26'!G28:AO28,"JPS"),COUNTIF(INDIRECT("'01-26'!G"&amp;VLOOKUP($E$4,$AC$5:$AD$25,2,FALSE())&amp;":AO"&amp;VLOOKUP($E$4,$AC$5:$AD$25,2,FALSE())),"RPM")+COUNTIF(INDIRECT("'01-26'!G"&amp;VLOOKUP($E$4,$AC$5:$AD$25,2,FALSE())&amp;":AO"&amp;VLOOKUP($E$4,$AC$5:$AD$25,2,FALSE())),"JPS"))</f>
        <v>1</v>
      </c>
      <c r="D14" s="3">
        <f ca="1">IF($E$4="TOUS",COUNTIF('02-26'!G10:AO10,"RPM")+COUNTIF('02-26'!G9:AO9,"RPM")+COUNTIF('02-26'!G8:AO8,"RPM")+COUNTIF('02-26'!G11:AO11,"RPM")+COUNTIF('02-26'!F12:AO12,"RPM")+COUNTIF('02-26'!G13:AO13,"RPM")+COUNTIF('02-26'!G14:AO14,"RPM")+COUNTIF('02-26'!F15:AO15,"RPM")+COUNTIF('02-26'!G16:AO16,"RPM")+COUNTIF('02-26'!F17:AO17,"RPM")+COUNTIF('02-26'!G18:AO18,"RPM")+COUNTIF('02-26'!G19:AO19,"RPM")+COUNTIF('02-26'!F20:AO20,"RPM")+COUNTIF('02-26'!G21:AO21,"RPM")+COUNTIF('02-26'!G22:AO22,"RPM")+COUNTIF('02-26'!G23:AO23,"RPM")+COUNTIF('02-26'!G24:AO24,"RPM")+COUNTIF('02-26'!G25:AO25,"RPM")+COUNTIF('02-26'!G26:AO26,"RPM")+COUNTIF('02-26'!G27:AO27,"RPM")+COUNTIF('02-26'!G28:AO28,"RPM")+COUNTIF('02-26'!G10:AO10,"JPS")+COUNTIF('02-26'!G9:AO9,"JPS")+COUNTIF('02-26'!G8:AO8,"JPS")+COUNTIF('02-26'!G11:AO11,"JPS")+COUNTIF('02-26'!F12:AO12,"JPS")+COUNTIF('02-26'!G13:AO13,"JPS")+COUNTIF('02-26'!G14:AO14,"JPS")+COUNTIF('02-26'!F15:AO15,"JPS")+COUNTIF('02-26'!G16:AO16,"JPS")+COUNTIF('02-26'!F17:AO17,"JPS")+COUNTIF('02-26'!G18:AO18,"JPS")+COUNTIF('02-26'!G19:AO19,"JPS")+COUNTIF('02-26'!F20:AO20,"JPS")+COUNTIF('02-26'!G21:AO21,"JPS")+COUNTIF('02-26'!G22:AO22,"JPS")+COUNTIF('02-26'!G23:AO23,"JPS")+COUNTIF('02-26'!G24:AO24,"JPS")+COUNTIF('02-26'!G25:AO25,"JPS")+COUNTIF('02-26'!G26:AO26,"JPS")+COUNTIF('02-26'!G27:AO27,"JPS")+COUNTIF('02-26'!G28:AO28,"JPS"),COUNTIF(INDIRECT("'02-26'!G"&amp;VLOOKUP($E$4,$AC$5:$AD$25,2,FALSE())&amp;":AO"&amp;VLOOKUP($E$4,$AC$5:$AD$25,2,FALSE())),"RPM")+COUNTIF(INDIRECT("'02-26'!G"&amp;VLOOKUP($E$4,$AC$5:$AD$25,2,FALSE())&amp;":AO"&amp;VLOOKUP($E$4,$AC$5:$AD$25,2,FALSE())),"JPS"))</f>
        <v>1</v>
      </c>
      <c r="E14" s="3">
        <f ca="1">IF($E$4="TOUS",COUNTIF('03-26'!G10:AO10,"RPM")+COUNTIF('03-26'!G9:AO9,"RPM")+COUNTIF('03-26'!G8:AO8,"RPM")+COUNTIF('03-26'!G11:AO11,"RPM")+COUNTIF('03-26'!F12:AO12,"RPM")+COUNTIF('03-26'!G13:AO13,"RPM")+COUNTIF('03-26'!G14:AO14,"RPM")+COUNTIF('03-26'!F15:AO15,"RPM")+COUNTIF('03-26'!F16:AO16,"RPM")+COUNTIF('03-26'!F17:AO17,"RPM")+COUNTIF('03-26'!F18:AO18,"RPM")+COUNTIF('03-26'!G19:AO19,"RPM")+COUNTIF('03-26'!G20:AO20,"RPM")+COUNTIF('03-26'!G21:AO21,"RPM")+COUNTIF('03-26'!F22:AO22,"RPM")+COUNTIF('03-26'!G23:AO23,"RPM")+COUNTIF('03-26'!G24:AO24,"RPM")+COUNTIF('03-26'!G25:AO25,"RPM")+COUNTIF('03-26'!G26:AO26,"RPM")+COUNTIF('03-26'!G27:AO27,"RPM")+COUNTIF('03-26'!G28:AO28,"RPM")+COUNTIF('03-26'!G10:AO10,"JPS")+COUNTIF('03-26'!G9:AO9,"JPS")+COUNTIF('03-26'!G8:AO8,"JPS")+COUNTIF('03-26'!G11:AO11,"JPS")+COUNTIF('03-26'!F12:AO12,"JPS")+COUNTIF('03-26'!G13:AO13,"JPS")+COUNTIF('03-26'!G14:AO14,"JPS")+COUNTIF('03-26'!F15:AO15,"JPS")+COUNTIF('03-26'!F16:AO16,"JPS")+COUNTIF('03-26'!F17:AO17,"JPS")+COUNTIF('03-26'!F18:AO18,"JPS")+COUNTIF('03-26'!G19:AO19,"JPS")+COUNTIF('03-26'!G20:AO20,"JPS")+COUNTIF('03-26'!G21:AO21,"JPS")+COUNTIF('03-26'!F22:AO22,"JPS")+COUNTIF('03-26'!G23:AO23,"JPS")+COUNTIF('03-26'!G24:AO24,"JPS")+COUNTIF('03-26'!G25:AO25,"JPS")+COUNTIF('03-26'!G26:AO26,"JPS")+COUNTIF('03-26'!G27:AO27,"JPS")+COUNTIF('03-26'!G28:AO28,"JPS"),COUNTIF(INDIRECT("'03-26'!G"&amp;VLOOKUP($E$4,$AC$5:$AD$25,2,FALSE())&amp;":AO"&amp;VLOOKUP($E$4,$AC$5:$AD$25,2,FALSE())),"RPM")+COUNTIF(INDIRECT("'03-26'!G"&amp;VLOOKUP($E$4,$AC$5:$AD$25,2,FALSE())&amp;":AO"&amp;VLOOKUP($E$4,$AC$5:$AD$25,2,FALSE())),"JPS"))</f>
        <v>0</v>
      </c>
      <c r="F14" s="3">
        <f ca="1">IF($E$4="TOUS",COUNTIF('04-26'!G10:AO10,"RPM")+COUNTIF('04-26'!G9:AO9,"RPM")+COUNTIF('04-26'!G8:AO8,"RPM")+COUNTIF('04-26'!G11:AO11,"RPM")+COUNTIF('04-26'!F12:AO12,"RPM")+COUNTIF('04-26'!G13:AO13,"RPM")+COUNTIF('04-26'!F14:AO14,"RPM")+COUNTIF('04-26'!G15:AO15,"RPM")+COUNTIF('04-26'!G16:AO16,"RPM")+COUNTIF('04-26'!G17:AO17,"RPM")+COUNTIF('04-26'!G18:AO18,"RPM")+COUNTIF('04-26'!G19:AO19,"RPM")+COUNTIF('04-26'!G20:AO20,"RPM")+COUNTIF('04-26'!G21:AO21,"RPM")+COUNTIF('04-26'!G22:AO22,"RPM")+COUNTIF('04-26'!G23:AO23,"RPM")+COUNTIF('04-26'!G24:AO24,"RPM")+COUNTIF('04-26'!G25:AO25,"RPM")+COUNTIF('04-26'!G26:AO26,"RPM")+COUNTIF('04-26'!G27:AO27,"RPM")+COUNTIF('04-26'!G28:AO28,"RPM")+COUNTIF('04-26'!G10:AO10,"JPS")+COUNTIF('04-26'!G9:AO9,"JPS")+COUNTIF('04-26'!G8:AO8,"JPS")+COUNTIF('04-26'!G11:AO11,"JPS")+COUNTIF('04-26'!F12:AO12,"JPS")+COUNTIF('04-26'!G13:AO13,"JPS")+COUNTIF('04-26'!F14:AO14,"JPS")+COUNTIF('04-26'!G15:AO15,"JPS")+COUNTIF('04-26'!G16:AO16,"JPS")+COUNTIF('04-26'!G17:AO17,"JPS")+COUNTIF('04-26'!G18:AO18,"JPS")+COUNTIF('04-26'!G19:AO19,"JPS")+COUNTIF('04-26'!G20:AO20,"JPS")+COUNTIF('04-26'!G21:AO21,"JPS")+COUNTIF('04-26'!G22:AO22,"JPS")+COUNTIF('04-26'!G23:AO23,"JPS")+COUNTIF('04-26'!G24:AO24,"JPS")+COUNTIF('04-26'!G25:AO25,"JPS")+COUNTIF('04-26'!G26:AO26,"JPS")+COUNTIF('04-26'!G27:AO27,"JPS")+COUNTIF('04-26'!G28:AO28,"JPS"),COUNTIF(INDIRECT("'04-26'!G"&amp;VLOOKUP($E$4,$AC$5:$AD$25,2,FALSE())&amp;":AO"&amp;VLOOKUP($E$4,$AC$5:$AD$25,2,FALSE())),"RPM")+COUNTIF(INDIRECT("'04-26'!G"&amp;VLOOKUP($E$4,$AC$5:$AD$25,2,FALSE())&amp;":AO"&amp;VLOOKUP($E$4,$AC$5:$AD$25,2,FALSE())),"JPS"))</f>
        <v>2</v>
      </c>
      <c r="G14" s="3">
        <f ca="1">IF($E$4="TOUS",COUNTIF('05-26'!G10:AO10,"RPM")+COUNTIF('05-26'!G9:AO9,"RPM")+COUNTIF('05-26'!G8:AO8,"RPM")+COUNTIF('05-26'!G11:AO11,"RPM")+COUNTIF('05-26'!F12:AO12,"RPM")+COUNTIF('05-26'!G13:AO13,"RPM")+COUNTIF('05-26'!F14:AO14,"RPM")+COUNTIF('05-26'!F15:AO15,"RPM")+COUNTIF('05-26'!G16:AO16,"RPM")+COUNTIF('05-26'!F17:AO17,"RPM")+COUNTIF('05-26'!G18:AO18,"RPM")+COUNTIF('05-26'!G19:AO19,"RPM")+COUNTIF('05-26'!G20:AO20,"RPM")+COUNTIF('05-26'!F21:AO21,"RPM")+COUNTIF('05-26'!F22:AO22,"RPM")+COUNTIF('05-26'!G23:AO23,"RPM")+COUNTIF('05-26'!G24:AO24,"RPM")+COUNTIF('05-26'!G25:AO25,"RPM")+COUNTIF('05-26'!G26:AO26,"RPM")+COUNTIF('05-26'!G27:AO27,"RPM")+COUNTIF('05-26'!G28:AO28,"RPM")+COUNTIF('05-26'!G10:AO10,"JPS")+COUNTIF('05-26'!G9:AO9,"JPS")+COUNTIF('05-26'!G8:AO8,"JPS")+COUNTIF('05-26'!G11:AO11,"JPS")+COUNTIF('05-26'!F12:AO12,"JPS")+COUNTIF('05-26'!G13:AO13,"JPS")+COUNTIF('05-26'!F14:AO14,"JPS")+COUNTIF('05-26'!F15:AO15,"JPS")+COUNTIF('05-26'!G16:AO16,"JPS")+COUNTIF('05-26'!F17:AO17,"JPS")+COUNTIF('05-26'!G18:AO18,"JPS")+COUNTIF('05-26'!G19:AO19,"JPS")+COUNTIF('05-26'!G20:AO20,"JPS")+COUNTIF('05-26'!F21:AO21,"JPS")+COUNTIF('05-26'!F22:AO22,"JPS")+COUNTIF('05-26'!G23:AO23,"JPS")+COUNTIF('05-26'!G24:AO24,"JPS")+COUNTIF('05-26'!G25:AO25,"JPS")+COUNTIF('05-26'!G26:AO26,"JPS")+COUNTIF('05-26'!G27:AO27,"JPS")+COUNTIF('05-26'!G28:AO28,"JPS"),COUNTIF(INDIRECT("'05-26'!G"&amp;VLOOKUP($E$4,$AC$5:$AD$25,2,FALSE())&amp;":AO"&amp;VLOOKUP($E$4,$AC$5:$AD$25,2,FALSE())),"RPM")+COUNTIF(INDIRECT("'05-26'!G"&amp;VLOOKUP($E$4,$AC$5:$AD$25,2,FALSE())&amp;":AO"&amp;VLOOKUP($E$4,$AC$5:$AD$25,2,FALSE())),"JPS"))</f>
        <v>2</v>
      </c>
      <c r="H14" s="3">
        <f ca="1">IF($E$4="TOUS",COUNTIF('06-26'!G10:AO10,"RPM")+COUNTIF('06-26'!G9:AO9,"RPM")+COUNTIF('06-26'!G8:AO8,"RPM")+COUNTIF('06-26'!G11:AO11,"RPM")+COUNTIF('06-26'!F12:AO12,"RPM")+COUNTIF('06-26'!G13:AO13,"RPM")+COUNTIF('06-26'!F14:AO14,"RPM")+COUNTIF('06-26'!F15:AO15,"RPM")+COUNTIF('06-26'!F16:AO16,"RPM")+COUNTIF('06-26'!F17:AO17,"RPM")+COUNTIF('06-26'!G18:AO18,"RPM")+COUNTIF('06-26'!G19:AO19,"RPM")+COUNTIF('06-26'!G20:AO20,"RPM")+COUNTIF('06-26'!F21:AO21,"RPM")+COUNTIF('06-26'!F22:AO22,"RPM")+COUNTIF('06-26'!G23:AO23,"RPM")+COUNTIF('06-26'!G24:AO24,"RPM")+COUNTIF('06-26'!G25:AO25,"RPM")+COUNTIF('06-26'!G26:AO26,"RPM")+COUNTIF('06-26'!G27:AO27,"RPM")+COUNTIF('06-26'!G28:AO28,"RPM")+COUNTIF('06-26'!G10:AO10,"JPS")+COUNTIF('06-26'!G9:AO9,"JPS")+COUNTIF('06-26'!G8:AO8,"JPS")+COUNTIF('06-26'!G11:AO11,"JPS")+COUNTIF('06-26'!F12:AO12,"JPS")+COUNTIF('06-26'!G13:AO13,"JPS")+COUNTIF('06-26'!F14:AO14,"JPS")+COUNTIF('06-26'!F15:AO15,"JPS")+COUNTIF('06-26'!F16:AO16,"JPS")+COUNTIF('06-26'!F17:AO17,"JPS")+COUNTIF('06-26'!G18:AO18,"JPS")+COUNTIF('06-26'!G19:AO19,"JPS")+COUNTIF('06-26'!G20:AO20,"JPS")+COUNTIF('06-26'!F21:AO21,"JPS")+COUNTIF('06-26'!F22:AO22,"JPS")+COUNTIF('06-26'!G23:AO23,"JPS")+COUNTIF('06-26'!G24:AO24,"JPS")+COUNTIF('06-26'!G25:AO25,"JPS")+COUNTIF('06-26'!G26:AO26,"JPS")+COUNTIF('06-26'!G27:AO27,"JPS")+COUNTIF('06-26'!G28:AO28,"JPS"),COUNTIF(INDIRECT("'06-26'!G"&amp;VLOOKUP($E$4,$AC$5:$AD$25,2,FALSE())&amp;":AO"&amp;VLOOKUP($E$4,$AC$5:$AD$25,2,FALSE())),"RPM")+COUNTIF(INDIRECT("'06-26'!G"&amp;VLOOKUP($E$4,$AC$5:$AD$25,2,FALSE())&amp;":AO"&amp;VLOOKUP($E$4,$AC$5:$AD$25,2,FALSE())),"JPS"))</f>
        <v>1</v>
      </c>
      <c r="I14" s="3">
        <f ca="1">IF($E$4="TOUS",COUNTIF('07-26'!G10:AO10,"RPM")+COUNTIF('07-26'!G9:AO9,"RPM")+COUNTIF('07-26'!G8:AO8,"RPM")+COUNTIF('07-26'!F11:AO11,"RPM")+COUNTIF('07-26'!G12:AO12,"RPM")+COUNTIF('07-26'!G13:AO13,"RPM")+COUNTIF('07-26'!F14:AO14,"RPM")+COUNTIF('07-26'!F15:AO15,"RPM")+COUNTIF('07-26'!G16:AO16,"RPM")+COUNTIF('07-26'!G17:AO17,"RPM")+COUNTIF('07-26'!G18:AO18,"RPM")+COUNTIF('07-26'!G19:AO19,"RPM")+COUNTIF('07-26'!F20:AO20,"RPM")+COUNTIF('07-26'!F21:AO21,"RPM")+COUNTIF('07-26'!F22:AO22,"RPM")+COUNTIF('07-26'!G23:AO23,"RPM")+COUNTIF('07-26'!G24:AO24,"RPM")+COUNTIF('07-26'!G25:AO25,"RPM")+COUNTIF('07-26'!G26:AO26,"RPM")+COUNTIF('07-26'!G27:AO27,"RPM")+COUNTIF('07-26'!G28:AO28,"RPM")+COUNTIF('07-26'!G10:AO10,"JPS")+COUNTIF('07-26'!G9:AO9,"JPS")+COUNTIF('07-26'!G8:AO8,"JPS")+COUNTIF('07-26'!F11:AO11,"JPS")+COUNTIF('07-26'!G12:AO12,"JPS")+COUNTIF('07-26'!G13:AO13,"JPS")+COUNTIF('07-26'!F14:AO14,"JPS")+COUNTIF('07-26'!F15:AO15,"JPS")+COUNTIF('07-26'!G16:AO16,"JPS")+COUNTIF('07-26'!G17:AO17,"JPS")+COUNTIF('07-26'!G18:AO18,"JPS")+COUNTIF('07-26'!G19:AO19,"JPS")+COUNTIF('07-26'!F20:AO20,"JPS")+COUNTIF('07-26'!F21:AO21,"JPS")+COUNTIF('07-26'!F22:AO22,"JPS")+COUNTIF('07-26'!G23:AO23,"JPS")+COUNTIF('07-26'!G24:AO24,"JPS")+COUNTIF('07-26'!G25:AO25,"JPS")+COUNTIF('07-26'!G26:AO26,"JPS")+COUNTIF('07-26'!G27:AO27,"JPS")+COUNTIF('07-26'!G28:AO28,"JPS"),COUNTIF(INDIRECT("'07-26'!G"&amp;VLOOKUP($E$4,$AC$5:$AD$25,2,FALSE())&amp;":AO"&amp;VLOOKUP($E$4,$AC$5:$AD$25,2,FALSE())),"RPM")+COUNTIF(INDIRECT("'07-26'!G"&amp;VLOOKUP($E$4,$AC$5:$AD$25,2,FALSE())&amp;":AO"&amp;VLOOKUP($E$4,$AC$5:$AD$25,2,FALSE())),"JPS"))</f>
        <v>2</v>
      </c>
      <c r="J14" s="3">
        <f ca="1">IF($E$4="TOUS",COUNTIF('08-26'!G10:AO10,"RPM")+COUNTIF('08-26'!G9:AO9,"RPM")+COUNTIF('08-26'!G8:AO8,"RPM")+COUNTIF('08-26'!F11:AO11,"RPM")+COUNTIF('08-26'!F12:AO12,"RPM")+COUNTIF('08-26'!F13:AO13,"RPM")+COUNTIF('08-26'!F14:AO14,"RPM")+COUNTIF('08-26'!F15:AO15,"RPM")+COUNTIF('08-26'!G16:AO16,"RPM")+COUNTIF('08-26'!F17:AO17,"RPM")+COUNTIF('08-26'!G18:AO18,"RPM")+COUNTIF('08-26'!F19:AO19,"RPM")+COUNTIF('08-26'!F20:AO20,"RPM")+COUNTIF('08-26'!G21:AO21,"RPM")+COUNTIF('08-26'!F22:AO22,"RPM")+COUNTIF('08-26'!G23:AO23,"RPM")+COUNTIF('08-26'!G24:AO24,"RPM")+COUNTIF('08-26'!G25:AO25,"RPM")+COUNTIF('08-26'!G26:AO26,"RPM")+COUNTIF('08-26'!G27:AO27,"RPM")+COUNTIF('08-26'!G28:AO28,"RPM")+COUNTIF('08-26'!G10:AO10,"JPS")+COUNTIF('08-26'!G9:AO9,"JPS")+COUNTIF('08-26'!G8:AO8,"JPS")+COUNTIF('08-26'!F11:AO11,"JPS")+COUNTIF('08-26'!F12:AO12,"JPS")+COUNTIF('08-26'!F13:AO13,"JPS")+COUNTIF('08-26'!F14:AO14,"JPS")+COUNTIF('08-26'!F15:AO15,"JPS")+COUNTIF('08-26'!G16:AO16,"JPS")+COUNTIF('08-26'!F17:AO17,"JPS")+COUNTIF('08-26'!G18:AO18,"JPS")+COUNTIF('08-26'!F19:AO19,"JPS")+COUNTIF('08-26'!F20:AO20,"JPS")+COUNTIF('08-26'!G21:AO21,"JPS")+COUNTIF('08-26'!F22:AO22,"JPS")+COUNTIF('08-26'!G23:AO23,"JPS")+COUNTIF('08-26'!G24:AO24,"JPS")+COUNTIF('08-26'!G25:AO25,"JPS")+COUNTIF('08-26'!G26:AO26,"JPS")+COUNTIF('08-26'!G27:AO27,"JPS")+COUNTIF('08-26'!G28:AO28,"JPS"),COUNTIF(INDIRECT("'08-26'!G"&amp;VLOOKUP($E$4,$AC$5:$AD$25,2,FALSE())&amp;":AO"&amp;VLOOKUP($E$4,$AC$5:$AD$25,2,FALSE())),"RPM")+COUNTIF(INDIRECT("'08-26'!G"&amp;VLOOKUP($E$4,$AC$5:$AD$25,2,FALSE())&amp;":AO"&amp;VLOOKUP($E$4,$AC$5:$AD$25,2,FALSE())),"JPS"))</f>
        <v>1</v>
      </c>
      <c r="K14" s="3">
        <f ca="1">IF($E$4="TOUS",COUNTIF('09-26'!G10:AO10,"RPM")+COUNTIF('09-26'!G9:AO9,"RPM")+COUNTIF('09-26'!G8:AO8,"RPM")+COUNTIF('09-26'!F11:AO11,"RPM")+COUNTIF('09-26'!F12:AO12,"RPM")+COUNTIF('09-26'!G13:AO13,"RPM")+COUNTIF('09-26'!G14:AO14,"RPM")+COUNTIF('09-26'!F15:AO15,"RPM")+COUNTIF('09-26'!F16:AO16,"RPM")+COUNTIF('09-26'!F17:AO17,"RPM")+COUNTIF('09-26'!F18:AO18,"RPM")+COUNTIF('09-26'!G19:AO19,"RPM")+COUNTIF('09-26'!G20:AO20,"RPM")+COUNTIF('09-26'!F21:AO21,"RPM")+COUNTIF('09-26'!G22:AO22,"RPM")+COUNTIF('09-26'!G23:AO23,"RPM")+COUNTIF('09-26'!G24:AO24,"RPM")+COUNTIF('09-26'!G25:AO25,"RPM")+COUNTIF('09-26'!G26:AO26,"RPM")+COUNTIF('09-26'!G27:AO27,"RPM")+COUNTIF('09-26'!G28:AO28,"RPM")+COUNTIF('09-26'!G10:AO10,"JPS")+COUNTIF('09-26'!G9:AO9,"JPS")+COUNTIF('09-26'!G8:AO8,"JPS")+COUNTIF('09-26'!F11:AO11,"JPS")+COUNTIF('09-26'!F12:AO12,"JPS")+COUNTIF('09-26'!G13:AO13,"JPS")+COUNTIF('09-26'!G14:AO14,"JPS")+COUNTIF('09-26'!F15:AO15,"JPS")+COUNTIF('09-26'!F16:AO16,"JPS")+COUNTIF('09-26'!F17:AO17,"JPS")+COUNTIF('09-26'!F18:AO18,"JPS")+COUNTIF('09-26'!G19:AO19,"JPS")+COUNTIF('09-26'!G20:AO20,"JPS")+COUNTIF('09-26'!F21:AO21,"JPS")+COUNTIF('09-26'!G22:AO22,"JPS")+COUNTIF('09-26'!G23:AO23,"JPS")+COUNTIF('09-26'!G24:AO24,"JPS")+COUNTIF('09-26'!G25:AO25,"JPS")+COUNTIF('09-26'!G26:AO26,"JPS")+COUNTIF('09-26'!G27:AO27,"JPS")+COUNTIF('09-26'!G28:AO28,"JPS"),COUNTIF(INDIRECT("'09-26'!G"&amp;VLOOKUP($E$4,$AC$5:$AD$25,2,FALSE())&amp;":AO"&amp;VLOOKUP($E$4,$AC$5:$AD$25,2,FALSE())),"RPM")+COUNTIF(INDIRECT("'09-26'!G"&amp;VLOOKUP($E$4,$AC$5:$AD$25,2,FALSE())&amp;":AO"&amp;VLOOKUP($E$4,$AC$5:$AD$25,2,FALSE())),"JPS"))</f>
        <v>2</v>
      </c>
      <c r="L14" s="3">
        <f ca="1">IF($E$4="TOUS",COUNTIF('10-26'!G10:AO10,"RPM")+COUNTIF('10-26'!G9:AO9,"RPM")+COUNTIF('10-26'!G8:AO8,"RPM")+COUNTIF('10-26'!F11:AO11,"RPM")+COUNTIF('10-26'!F12:AO12,"RPM")+COUNTIF('10-26'!G13:AO13,"RPM")+COUNTIF('10-26'!F14:AO14,"RPM")+COUNTIF('10-26'!F15:AO15,"RPM")+COUNTIF('10-26'!F16:AO16,"RPM")+COUNTIF('10-26'!F17:AO17,"RPM")+COUNTIF('10-26'!G18:AO18,"RPM")+COUNTIF('10-26'!G19:AO19,"RPM")+COUNTIF('10-26'!F20:AO20,"RPM")+COUNTIF('10-26'!G21:AO21,"RPM")+COUNTIF('10-26'!G22:AO22,"RPM")+COUNTIF('10-26'!F23:AO23,"RPM")+COUNTIF('10-26'!G24:AO24,"RPM")+COUNTIF('10-26'!G25:AO25,"RPM")+COUNTIF('10-26'!G26:AO26,"RPM")+COUNTIF('10-26'!G27:AO27,"RPM")+COUNTIF('10-26'!G28:AO28,"RPM")+COUNTIF('10-26'!G10:AO10,"JPS")+COUNTIF('10-26'!G9:AO9,"JPS")+COUNTIF('10-26'!G8:AO8,"JPS")+COUNTIF('10-26'!F11:AO11,"JPS")+COUNTIF('10-26'!F12:AO12,"JPS")+COUNTIF('10-26'!G13:AO13,"JPS")+COUNTIF('10-26'!F14:AO14,"JPS")+COUNTIF('10-26'!F15:AO15,"JPS")+COUNTIF('10-26'!F16:AO16,"JPS")+COUNTIF('10-26'!F17:AO17,"JPS")+COUNTIF('10-26'!G18:AO18,"JPS")+COUNTIF('10-26'!G19:AO19,"JPS")+COUNTIF('10-26'!F20:AO20,"JPS")+COUNTIF('10-26'!G21:AO21,"JPS")+COUNTIF('10-26'!G22:AO22,"JPS")+COUNTIF('10-26'!F23:AO23,"JPS")+COUNTIF('10-26'!G24:AO24,"JPS")+COUNTIF('10-26'!G25:AO25,"JPS")+COUNTIF('10-26'!G26:AO26,"JPS")+COUNTIF('10-26'!G27:AO27,"JPS")+COUNTIF('10-26'!G28:AO28,"JPS"),COUNTIF(INDIRECT("'10-26'!G"&amp;VLOOKUP($E$4,$AC$5:$AD$25,2,FALSE())&amp;":AO"&amp;VLOOKUP($E$4,$AC$5:$AD$25,2,FALSE())),"RPM")+COUNTIF(INDIRECT("'10-26'!G"&amp;VLOOKUP($E$4,$AC$5:$AD$25,2,FALSE())&amp;":AO"&amp;VLOOKUP($E$4,$AC$5:$AD$25,2,FALSE())),"JPS"))</f>
        <v>1</v>
      </c>
      <c r="M14" s="3">
        <f ca="1">IF($E$4="TOUS",COUNTIF('11-26'!G10:AO10,"RPM")+COUNTIF('11-26'!G9:AO9,"RPM")+COUNTIF('11-26'!G8:AO8,"RPM")+COUNTIF('11-26'!G11:AO11,"RPM")+COUNTIF('11-26'!F12:AO12,"RPM")+COUNTIF('11-26'!G13:AO13,"RPM")+COUNTIF('11-26'!F14:AO14,"RPM")+COUNTIF('11-26'!F15:AO15,"RPM")+COUNTIF('11-26'!G16:AO16,"RPM")+COUNTIF('11-26'!G17:AO17,"RPM")+COUNTIF('11-26'!G18:AO18,"RPM")+COUNTIF('11-26'!G19:AO19,"RPM")+COUNTIF('11-26'!F20:AO20,"RPM")+COUNTIF('11-26'!F21:AO21,"RPM")+COUNTIF('11-26'!F22:AO22,"RPM")+COUNTIF('11-26'!G23:AO23,"RPM")+COUNTIF('11-26'!G24:AO24,"RPM")+COUNTIF('11-26'!G25:AO25,"RPM")+COUNTIF('11-26'!G26:AO26,"RPM")+COUNTIF('11-26'!G27:AO27,"RPM")+COUNTIF('11-26'!G28:AO28,"RPM")+COUNTIF('11-26'!G10:AO10,"JPS")+COUNTIF('11-26'!G9:AO9,"JPS")+COUNTIF('11-26'!G8:AO8,"JPS")+COUNTIF('11-26'!G11:AO11,"JPS")+COUNTIF('11-26'!F12:AO12,"JPS")+COUNTIF('11-26'!G13:AO13,"JPS")+COUNTIF('11-26'!F14:AO14,"JPS")+COUNTIF('11-26'!F15:AO15,"JPS")+COUNTIF('11-26'!G16:AO16,"JPS")+COUNTIF('11-26'!G17:AO17,"JPS")+COUNTIF('11-26'!G18:AO18,"JPS")+COUNTIF('11-26'!G19:AO19,"JPS")+COUNTIF('11-26'!F20:AO20,"JPS")+COUNTIF('11-26'!F21:AO21,"JPS")+COUNTIF('11-26'!F22:AO22,"JPS")+COUNTIF('11-26'!G23:AO23,"JPS")+COUNTIF('11-26'!G24:AO24,"JPS")+COUNTIF('11-26'!G25:AO25,"JPS")+COUNTIF('11-26'!G26:AO26,"JPS")+COUNTIF('11-26'!G27:AO27,"JPS")+COUNTIF('11-26'!G28:AO28,"JPS"),COUNTIF(INDIRECT("'11-26'!G"&amp;VLOOKUP($E$4,$AC$5:$AD$25,2,FALSE())&amp;":AO"&amp;VLOOKUP($E$4,$AC$5:$AD$25,2,FALSE())),"RPM")+COUNTIF(INDIRECT("'11-26'!G"&amp;VLOOKUP($E$4,$AC$5:$AD$25,2,FALSE())&amp;":AO"&amp;VLOOKUP($E$4,$AC$5:$AD$25,2,FALSE())),"JPS"))</f>
        <v>5</v>
      </c>
      <c r="N14" s="3">
        <f ca="1">IF($E$4="TOUS",COUNTIF('12-26'!G10:AO10,"RPM")+COUNTIF('12-26'!G9:AO9,"RPM")+COUNTIF('12-26'!G8:AO8,"RPM")+COUNTIF('12-26'!G11:AO11,"RPM")+COUNTIF('12-26'!G12:AO12,"RPM")+COUNTIF('12-26'!G13:AO13,"RPM")+COUNTIF('12-26'!G14:AO14,"RPM")+COUNTIF('12-26'!F15:AO15,"RPM")+COUNTIF('12-26'!G16:AO16,"RPM")+COUNTIF('12-26'!F17:AO17,"RPM")+COUNTIF('12-26'!G18:AO18,"RPM")+COUNTIF('12-26'!G19:AO19,"RPM")+COUNTIF('12-26'!F20:AO20,"RPM")+COUNTIF('12-26'!F21:AO21,"RPM")+COUNTIF('12-26'!F22:AO22,"RPM")+COUNTIF('12-26'!G23:AO23,"RPM")+COUNTIF('12-26'!G24:AO24,"RPM")+COUNTIF('12-26'!G25:AO25,"RPM")+COUNTIF('12-26'!G26:AO26,"RPM")+COUNTIF('12-26'!G27:AO27,"RPM")+COUNTIF('12-26'!G28:AO28,"RPM")+COUNTIF('12-26'!G10:AO10,"JPS")+COUNTIF('12-26'!G9:AO9,"JPS")+COUNTIF('12-26'!G8:AO8,"JPS")+COUNTIF('12-26'!G11:AO11,"JPS")+COUNTIF('12-26'!G12:AO12,"JPS")+COUNTIF('12-26'!G13:AO13,"JPS")+COUNTIF('12-26'!G14:AO14,"JPS")+COUNTIF('12-26'!F15:AO15,"JPS")+COUNTIF('12-26'!G16:AO16,"JPS")+COUNTIF('12-26'!F17:AO17,"JPS")+COUNTIF('12-26'!G18:AO18,"JPS")+COUNTIF('12-26'!G19:AO19,"JPS")+COUNTIF('12-26'!F20:AO20,"JPS")+COUNTIF('12-26'!F21:AO21,"JPS")+COUNTIF('12-26'!F22:AO22,"JPS")+COUNTIF('12-26'!G23:AO23,"JPS")+COUNTIF('12-26'!G24:AO24,"JPS")+COUNTIF('12-26'!G25:AO25,"JPS")+COUNTIF('12-26'!G26:AO26,"JPS")+COUNTIF('12-26'!G27:AO27,"JPS")+COUNTIF('12-26'!G28:AO28,"JPS"),COUNTIF(INDIRECT("'12-26'!G"&amp;VLOOKUP($E$4,$AC$5:$AD$25,2,FALSE())&amp;":AO"&amp;VLOOKUP($E$4,$AC$5:$AD$25,2,FALSE())),"RPM")+COUNTIF(INDIRECT("'12-26'!G"&amp;VLOOKUP($E$4,$AC$5:$AD$25,2,FALSE())&amp;":AO"&amp;VLOOKUP($E$4,$AC$5:$AD$25,2,FALSE())),"JPS"))</f>
        <v>0</v>
      </c>
      <c r="O14" s="4">
        <f t="shared" ca="1" si="0"/>
        <v>18</v>
      </c>
      <c r="Q14" s="2" t="s">
        <v>34</v>
      </c>
      <c r="R14" s="3">
        <f>COUNTIF('01-26'!G14:AO14,"TP")+COUNTIF('02-26'!F14:AO14,"TP")+COUNTIF('03-26'!F14:AO14,"TP")+COUNTIF('04-26'!F14:AO14,"TP")+COUNTIF('05-26'!F14:AO14,"TP")+COUNTIF('06-26'!F14:AO14,"TP")+COUNTIF('07-26'!G14:AO14,"TP")+COUNTIF('08-26'!F14:AO14,"TP")+COUNTIF('09-26'!F14:AO14,"TP")+COUNTIF('10-26'!F14:AO14,"TP")+COUNTIF('11-26'!F14:AO14,"TP")+COUNTIF('12-26'!G14:AO14,"TP")</f>
        <v>0</v>
      </c>
      <c r="S14" s="3">
        <f>COUNTIF('01-26'!G14:AO14,"CSE")+COUNTIF('01-26'!G14:AO14,"CSE/RPX")+COUNTIF('01-26'!G14:AO14,"RPX")+COUNTIF('02-26'!F14:AO14,"CSE")+COUNTIF('02-26'!F14:AO14,"CSE/RPX")+COUNTIF('02-26'!F14:AO14,"RPX")+COUNTIF('03-26'!F14:AO14,"CSE")+COUNTIF('03-26'!F14:AO14,"CSE/RPX")+COUNTIF('03-26'!F14:AO14,"RPX")+COUNTIF('04-26'!F14:AO14,"CSE")+COUNTIF('04-26'!F14:AO14,"CSE/RPX")+COUNTIF('04-26'!F14:AO14,"RPX")+COUNTIF('05-26'!F14:AO14,"CSE")+COUNTIF('05-26'!F14:AO14,"CSE/RPX")+COUNTIF('05-26'!F14:AO14,"RPX")+COUNTIF('06-26'!F14:AO14,"CSE")+COUNTIF('06-26'!F14:AO14,"CSE/RPX")+COUNTIF('06-26'!F14:AO14,"RPX")+COUNTIF('07-26'!G14:AO14,"CSE")+COUNTIF('07-26'!G14:AO14,"CSE/RPX")+COUNTIF('07-26'!G14:AO14,"RPX")+COUNTIF('08-26'!F14:AO14,"CSE")+COUNTIF('08-26'!F14:AO14,"CSE/RPX")+COUNTIF('08-26'!F14:AO14,"RPX")+COUNTIF('09-26'!F14:AO14,"CSE")+COUNTIF('09-26'!F14:AO14,"CSE/RPX")+COUNTIF('09-26'!F14:AO14,"RPX")+COUNTIF('10-26'!F14:AO14,"CSE")+COUNTIF('10-26'!F14:AO14,"CSE/RPX")+COUNTIF('10-26'!F14:AO14,"RPX")+COUNTIF('11-26'!F14:AO14,"CSE")+COUNTIF('11-26'!F14:AO14,"CSE/RPX")+COUNTIF('11-26'!F14:AO14,"RPX")+COUNTIF('12-26'!G14:AO14,"CSE")+COUNTIF('12-26'!G14:AO14,"CSE/RPX")+COUNTIF('12-26'!G14:AO14,"RPX")</f>
        <v>0</v>
      </c>
      <c r="T14" s="3">
        <f>COUNTIF('01-26'!G14:AO14,"CA/RC")+COUNTIF('01-26'!G14:AO14,"CA")+COUNTIF('02-26'!F14:AO14,"CA/RC")+COUNTIF('02-26'!F14:AO14,"CA")+COUNTIF('03-26'!F14:AO14,"CA/RC")+COUNTIF('03-26'!F14:AO14,"CA")+COUNTIF('04-26'!F14:AO14,"CA/RC")+COUNTIF('04-26'!F14:AO14,"CA")+COUNTIF('05-26'!F14:AO14,"CA/RC")+COUNTIF('05-26'!F14:AO14,"CA")+COUNTIF('06-26'!F14:AO14,"CA/RC")+COUNTIF('06-26'!F14:AO14,"CA")+COUNTIF('07-26'!G14:AO14,"CA/RC")+COUNTIF('07-26'!G14:AO14,"CA")+COUNTIF('08-26'!F14:AO14,"CA/RC")+COUNTIF('08-26'!F14:AO14,"CA")+COUNTIF('09-26'!F14:AO14,"CA/RC")+COUNTIF('09-26'!F14:AO14,"CA")+COUNTIF('10-26'!F14:AO14,"CA/RC")+COUNTIF('10-26'!F14:AO14,"CA")+COUNTIF('11-26'!F14:AO14,"CA/RC")+COUNTIF('11-26'!F14:AO14,"CA")+COUNTIF('12-26'!G14:AO14,"CA/RC")+COUNTIF('12-26'!G14:AO14,"CA")</f>
        <v>20</v>
      </c>
      <c r="U14" s="5">
        <f>COUNTIF('01-26'!G14:AO14,"ATM/ATA")+COUNTIF('01-26'!G14:AO14,"ATM")+COUNTIF('01-26'!G14:AO14,"ATA")+COUNTIF('02-26'!G14:AO14,"ATM/ATA")+COUNTIF('02-26'!G14:AO14,"ATM")+COUNTIF('02-26'!G14:AO14,"ATA")+COUNTIF('03-26'!G14:AO14,"ATM/ATA")+COUNTIF('03-26'!G14:AO14,"ATM")+COUNTIF('03-26'!G14:AO14,"ATA")+COUNTIF('04-26'!G14:AO14,"ATM/ATA")+COUNTIF('04-26'!G14:AO14,"ATM")+COUNTIF('04-26'!G14:AO14,"ATA")+COUNTIF('05-26'!G14:AO14,"ATM/ATA")+COUNTIF('05-26'!G14:AO14,"ATM")+COUNTIF('05-26'!G14:AO14,"ATA")+COUNTIF('06-26'!G14:AO14,"ATM/ATA")+COUNTIF('06-26'!G14:AO14,"ATM")+COUNTIF('06-26'!G14:AO14,"ATA")+COUNTIF('07-26'!F14:AO14,"ATM/ATA")+COUNTIF('07-26'!F14:AO14,"ATM")+COUNTIF('07-26'!F14:AO14,"ATA")+COUNTIF('08-26'!F14:AO14,"ATM/ATA")+COUNTIF('08-26'!F14:AO14,"ATM")+COUNTIF('08-26'!F14:AO14,"ATA")+COUNTIF('09-26'!F14:AO14,"ATM/ATA")+COUNTIF('09-26'!F14:AO14,"ATM")+COUNTIF('09-26'!F14:AO14,"ATA")+COUNTIF('10-26'!F14:AO14,"ATM/ATA")+COUNTIF('10-26'!F14:AO14,"ATM")+COUNTIF('10-26'!F14:AO14,"ATA")+COUNTIF('11-26'!G14:AO14,"ATM/ATA")+COUNTIF('11-26'!G14:AO14,"ATM")+COUNTIF('11-26'!G14:AO14,"ATA")+COUNTIF('12-26'!G14:AO14,"ATM/ATA")+COUNTIF('12-26'!G14:AO14,"ATM")+COUNTIF('12-26'!G14:AO14,"ATA")</f>
        <v>0</v>
      </c>
      <c r="V14" s="5">
        <f>COUNTIF('01-26'!G14:AO14,"ASA")+COUNTIF('02-26'!G14:AO14,"ASA")+COUNTIF('03-26'!G14:AO14,"ASA")+COUNTIF('04-26'!G14:AO14,"ASA")+COUNTIF('05-26'!G14:AO14,"ASA")+COUNTIF('06-26'!G14:AO14,"ASA")+COUNTIF('07-26'!F14:AO14,"ASA")+COUNTIF('08-26'!F14:AO14,"ASA")+COUNTIF('09-26'!F14:AO14,"ASA")+COUNTIF('10-26'!F14:AO14,"ASA")+COUNTIF('11-26'!G14:AO14,"ASA")+COUNTIF('12-26'!G14:AO14,"ASA")</f>
        <v>0</v>
      </c>
      <c r="W14" s="5">
        <f>COUNTIF('01-26'!G14:AO14,"FORM")+COUNTIF('02-26'!G14:AO14,"FORM")+COUNTIF('03-26'!G14:AO14,"FORM")+COUNTIF('04-26'!G14:AO14,"FORM")+COUNTIF('05-26'!G14:AO14,"FORM")+COUNTIF('06-26'!G14:AO14,"FORM")+COUNTIF('07-26'!F14:AO14,"FORM")+COUNTIF('08-26'!F14:AO14,"FORM")+COUNTIF('09-26'!F14:AO14,"FORM")+COUNTIF('10-26'!F14:AO14,"FORM")+COUNTIF('11-26'!G14:AO14,"FORM")+COUNTIF('12-26'!G14:AO14,"FORM")</f>
        <v>0</v>
      </c>
      <c r="X14" s="5">
        <f>COUNTIF('01-26'!G14:AO14,"RPM")+COUNTIF('01-26'!G14:AO14,"JPS")+COUNTIF('02-26'!G14:AO14,"RPM")+COUNTIF('02-26'!G14:AO14,"JPS")+COUNTIF('03-26'!G14:AO14,"RPM")+COUNTIF('03-26'!G14:AO14,"JPS")+COUNTIF('04-26'!G14:AO14,"RPM")+COUNTIF('04-26'!G14:AO14,"JPS")+COUNTIF('05-26'!G14:AO14,"RPM")+COUNTIF('05-26'!G14:AO14,"JPS")+COUNTIF('06-26'!G14:AO14,"RPM")+COUNTIF('06-26'!G14:AO14,"JPS")+COUNTIF('07-26'!F14:AO14,"RPM")+COUNTIF('07-26'!F14:AO14,"JPS")+COUNTIF('08-26'!F14:AO14,"RPM")+COUNTIF('08-26'!F14:AO14,"JPS")+COUNTIF('09-26'!F14:AO14,"RPM")+COUNTIF('09-26'!F14:AO14,"JPS")+COUNTIF('10-26'!F14:AO14,"RPM")+COUNTIF('10-26'!F14:AO14,"JPS")+COUNTIF('11-26'!G14:AO14,"RPM")+COUNTIF('11-26'!G14:AO14,"JPS")+COUNTIF('12-26'!G14:AO14,"RPM")+COUNTIF('12-26'!G14:AO14,"JPS")</f>
        <v>0</v>
      </c>
      <c r="Y14" s="393">
        <f t="shared" si="1"/>
        <v>20</v>
      </c>
      <c r="AB14" t="s">
        <v>36</v>
      </c>
      <c r="AC14" t="s">
        <v>37</v>
      </c>
      <c r="AD14">
        <v>17</v>
      </c>
    </row>
    <row r="15" spans="1:30" ht="19.5" customHeight="1">
      <c r="A15" s="390"/>
      <c r="B15" s="7" t="s">
        <v>21</v>
      </c>
      <c r="C15" s="8">
        <f t="shared" ref="C15:O15" ca="1" si="2">SUM(C8:C14)</f>
        <v>85</v>
      </c>
      <c r="D15" s="8">
        <f t="shared" ca="1" si="2"/>
        <v>100</v>
      </c>
      <c r="E15" s="8">
        <f t="shared" ca="1" si="2"/>
        <v>90</v>
      </c>
      <c r="F15" s="8">
        <f t="shared" ca="1" si="2"/>
        <v>113</v>
      </c>
      <c r="G15" s="8">
        <f t="shared" ca="1" si="2"/>
        <v>51</v>
      </c>
      <c r="H15" s="8">
        <f t="shared" ca="1" si="2"/>
        <v>53</v>
      </c>
      <c r="I15" s="8">
        <f t="shared" ca="1" si="2"/>
        <v>95</v>
      </c>
      <c r="J15" s="8">
        <f t="shared" ca="1" si="2"/>
        <v>66</v>
      </c>
      <c r="K15" s="8">
        <f t="shared" ca="1" si="2"/>
        <v>105</v>
      </c>
      <c r="L15" s="8">
        <f t="shared" ca="1" si="2"/>
        <v>44</v>
      </c>
      <c r="M15" s="8">
        <f t="shared" ca="1" si="2"/>
        <v>44</v>
      </c>
      <c r="N15" s="8">
        <f t="shared" ca="1" si="2"/>
        <v>61</v>
      </c>
      <c r="O15" s="8">
        <f t="shared" ca="1" si="2"/>
        <v>907</v>
      </c>
      <c r="Q15" s="6" t="s">
        <v>35</v>
      </c>
      <c r="R15" s="3">
        <f>COUNTIF('01-26'!G15:AO15,"TP")+COUNTIF('02-26'!F15:AO15,"TP")+COUNTIF('03-26'!F15:AO15,"TP")+COUNTIF('04-26'!F15:AO15,"TP")+COUNTIF('05-26'!F15:AO15,"TP")+COUNTIF('06-26'!F15:AO15,"TP")+COUNTIF('07-26'!G15:AO15,"TP")+COUNTIF('08-26'!F15:AO15,"TP")+COUNTIF('09-26'!F15:AO15,"TP")+COUNTIF('10-26'!F15:AO15,"TP")+COUNTIF('11-26'!F15:AO15,"TP")+COUNTIF('12-26'!G15:AO15,"TP")</f>
        <v>0</v>
      </c>
      <c r="S15" s="3">
        <f>COUNTIF('01-26'!G15:AO15,"CSE")+COUNTIF('01-26'!G15:AO15,"CSE/RPX")+COUNTIF('01-26'!G15:AO15,"RPX")+COUNTIF('02-26'!F15:AO15,"CSE")+COUNTIF('02-26'!F15:AO15,"CSE/RPX")+COUNTIF('02-26'!F15:AO15,"RPX")+COUNTIF('03-26'!F15:AO15,"CSE")+COUNTIF('03-26'!F15:AO15,"CSE/RPX")+COUNTIF('03-26'!F15:AO15,"RPX")+COUNTIF('04-26'!F15:AO15,"CSE")+COUNTIF('04-26'!F15:AO15,"CSE/RPX")+COUNTIF('04-26'!F15:AO15,"RPX")+COUNTIF('05-26'!F15:AO15,"CSE")+COUNTIF('05-26'!F15:AO15,"CSE/RPX")+COUNTIF('05-26'!F15:AO15,"RPX")+COUNTIF('06-26'!F15:AO15,"CSE")+COUNTIF('06-26'!F15:AO15,"CSE/RPX")+COUNTIF('06-26'!F15:AO15,"RPX")+COUNTIF('07-26'!G15:AO15,"CSE")+COUNTIF('07-26'!G15:AO15,"CSE/RPX")+COUNTIF('07-26'!G15:AO15,"RPX")+COUNTIF('08-26'!F15:AO15,"CSE")+COUNTIF('08-26'!F15:AO15,"CSE/RPX")+COUNTIF('08-26'!F15:AO15,"RPX")+COUNTIF('09-26'!F15:AO15,"CSE")+COUNTIF('09-26'!F15:AO15,"CSE/RPX")+COUNTIF('09-26'!F15:AO15,"RPX")+COUNTIF('10-26'!F15:AO15,"CSE")+COUNTIF('10-26'!F15:AO15,"CSE/RPX")+COUNTIF('10-26'!F15:AO15,"RPX")+COUNTIF('11-26'!F15:AO15,"CSE")+COUNTIF('11-26'!F15:AO15,"CSE/RPX")+COUNTIF('11-26'!F15:AO15,"RPX")+COUNTIF('12-26'!G15:AO15,"CSE")+COUNTIF('12-26'!G15:AO15,"CSE/RPX")+COUNTIF('12-26'!G15:AO15,"RPX")</f>
        <v>0</v>
      </c>
      <c r="T15" s="3">
        <f>COUNTIF('01-26'!G15:AO15,"CA/RC")+COUNTIF('01-26'!G15:AO15,"CA")+COUNTIF('02-26'!F15:AO15,"CA/RC")+COUNTIF('02-26'!F15:AO15,"CA")+COUNTIF('03-26'!F15:AO15,"CA/RC")+COUNTIF('03-26'!F15:AO15,"CA")+COUNTIF('04-26'!F15:AO15,"CA/RC")+COUNTIF('04-26'!F15:AO15,"CA")+COUNTIF('05-26'!F15:AO15,"CA/RC")+COUNTIF('05-26'!F15:AO15,"CA")+COUNTIF('06-26'!F15:AO15,"CA/RC")+COUNTIF('06-26'!F15:AO15,"CA")+COUNTIF('07-26'!G15:AO15,"CA/RC")+COUNTIF('07-26'!G15:AO15,"CA")+COUNTIF('08-26'!F15:AO15,"CA/RC")+COUNTIF('08-26'!F15:AO15,"CA")+COUNTIF('09-26'!F15:AO15,"CA/RC")+COUNTIF('09-26'!F15:AO15,"CA")+COUNTIF('10-26'!F15:AO15,"CA/RC")+COUNTIF('10-26'!F15:AO15,"CA")+COUNTIF('11-26'!F15:AO15,"CA/RC")+COUNTIF('11-26'!F15:AO15,"CA")+COUNTIF('12-26'!G15:AO15,"CA/RC")+COUNTIF('12-26'!G15:AO15,"CA")</f>
        <v>5</v>
      </c>
      <c r="U15" s="5">
        <f>COUNTIF('01-26'!G15:AO15,"ATM/ATA")+COUNTIF('01-26'!G15:AO15,"ATM")+COUNTIF('01-26'!G15:AO15,"ATA")+COUNTIF('02-26'!G15:AO15,"ATM/ATA")+COUNTIF('02-26'!G15:AO15,"ATM")+COUNTIF('02-26'!G15:AO15,"ATA")+COUNTIF('03-26'!G15:AO15,"ATM/ATA")+COUNTIF('03-26'!G15:AO15,"ATM")+COUNTIF('03-26'!G15:AO15,"ATA")+COUNTIF('04-26'!G15:AO15,"ATM/ATA")+COUNTIF('04-26'!G15:AO15,"ATM")+COUNTIF('04-26'!G15:AO15,"ATA")+COUNTIF('05-26'!G15:AO15,"ATM/ATA")+COUNTIF('05-26'!G15:AO15,"ATM")+COUNTIF('05-26'!G15:AO15,"ATA")+COUNTIF('06-26'!G15:AO15,"ATM/ATA")+COUNTIF('06-26'!G15:AO15,"ATM")+COUNTIF('06-26'!G15:AO15,"ATA")+COUNTIF('07-26'!F15:AO15,"ATM/ATA")+COUNTIF('07-26'!F15:AO15,"ATM")+COUNTIF('07-26'!F15:AO15,"ATA")+COUNTIF('08-26'!F15:AO15,"ATM/ATA")+COUNTIF('08-26'!F15:AO15,"ATM")+COUNTIF('08-26'!F15:AO15,"ATA")+COUNTIF('09-26'!F15:AO15,"ATM/ATA")+COUNTIF('09-26'!F15:AO15,"ATM")+COUNTIF('09-26'!F15:AO15,"ATA")+COUNTIF('10-26'!F15:AO15,"ATM/ATA")+COUNTIF('10-26'!F15:AO15,"ATM")+COUNTIF('10-26'!F15:AO15,"ATA")+COUNTIF('11-26'!G15:AO15,"ATM/ATA")+COUNTIF('11-26'!G15:AO15,"ATM")+COUNTIF('11-26'!G15:AO15,"ATA")+COUNTIF('12-26'!G15:AO15,"ATM/ATA")+COUNTIF('12-26'!G15:AO15,"ATM")+COUNTIF('12-26'!G15:AO15,"ATA")</f>
        <v>0</v>
      </c>
      <c r="V15" s="5">
        <f>COUNTIF('01-26'!G15:AO15,"ASA")+COUNTIF('02-26'!G15:AO15,"ASA")+COUNTIF('03-26'!G15:AO15,"ASA")+COUNTIF('04-26'!G15:AO15,"ASA")+COUNTIF('05-26'!G15:AO15,"ASA")+COUNTIF('06-26'!G15:AO15,"ASA")+COUNTIF('07-26'!F15:AO15,"ASA")+COUNTIF('08-26'!F15:AO15,"ASA")+COUNTIF('09-26'!F15:AO15,"ASA")+COUNTIF('10-26'!F15:AO15,"ASA")+COUNTIF('11-26'!G15:AO15,"ASA")+COUNTIF('12-26'!G15:AO15,"ASA")</f>
        <v>0</v>
      </c>
      <c r="W15" s="5">
        <f>COUNTIF('01-26'!G15:AO15,"FORM")+COUNTIF('02-26'!G15:AO15,"FORM")+COUNTIF('03-26'!G15:AO15,"FORM")+COUNTIF('04-26'!G15:AO15,"FORM")+COUNTIF('05-26'!G15:AO15,"FORM")+COUNTIF('06-26'!G15:AO15,"FORM")+COUNTIF('07-26'!F15:AO15,"FORM")+COUNTIF('08-26'!F15:AO15,"FORM")+COUNTIF('09-26'!F15:AO15,"FORM")+COUNTIF('10-26'!F15:AO15,"FORM")+COUNTIF('11-26'!G15:AO15,"FORM")+COUNTIF('12-26'!G15:AO15,"FORM")</f>
        <v>0</v>
      </c>
      <c r="X15" s="5">
        <f>COUNTIF('01-26'!G15:AO15,"RPM")+COUNTIF('01-26'!G15:AO15,"JPS")+COUNTIF('02-26'!G15:AO15,"RPM")+COUNTIF('02-26'!G15:AO15,"JPS")+COUNTIF('03-26'!G15:AO15,"RPM")+COUNTIF('03-26'!G15:AO15,"JPS")+COUNTIF('04-26'!G15:AO15,"RPM")+COUNTIF('04-26'!G15:AO15,"JPS")+COUNTIF('05-26'!G15:AO15,"RPM")+COUNTIF('05-26'!G15:AO15,"JPS")+COUNTIF('06-26'!G15:AO15,"RPM")+COUNTIF('06-26'!G15:AO15,"JPS")+COUNTIF('07-26'!F15:AO15,"RPM")+COUNTIF('07-26'!F15:AO15,"JPS")+COUNTIF('08-26'!F15:AO15,"RPM")+COUNTIF('08-26'!F15:AO15,"JPS")+COUNTIF('09-26'!F15:AO15,"RPM")+COUNTIF('09-26'!F15:AO15,"JPS")+COUNTIF('10-26'!F15:AO15,"RPM")+COUNTIF('10-26'!F15:AO15,"JPS")+COUNTIF('11-26'!G15:AO15,"RPM")+COUNTIF('11-26'!G15:AO15,"JPS")+COUNTIF('12-26'!G15:AO15,"RPM")+COUNTIF('12-26'!G15:AO15,"JPS")</f>
        <v>0</v>
      </c>
      <c r="Y15" s="393">
        <f t="shared" si="1"/>
        <v>5</v>
      </c>
      <c r="AB15" t="s">
        <v>37</v>
      </c>
      <c r="AC15" t="s">
        <v>38</v>
      </c>
      <c r="AD15">
        <v>18</v>
      </c>
    </row>
    <row r="16" spans="1:30" ht="19.5" customHeight="1">
      <c r="A16" s="390"/>
      <c r="Q16" s="2" t="s">
        <v>36</v>
      </c>
      <c r="R16" s="3">
        <f>COUNTIF('01-26'!G16:AO16,"TP")+COUNTIF('02-26'!F16:AO16,"TP")+COUNTIF('03-26'!F16:AO16,"TP")+COUNTIF('04-26'!F16:AO16,"TP")+COUNTIF('05-26'!F16:AO16,"TP")+COUNTIF('06-26'!F16:AO16,"TP")+COUNTIF('07-26'!G16:AO16,"TP")+COUNTIF('08-26'!F16:AO16,"TP")+COUNTIF('09-26'!F16:AO16,"TP")+COUNTIF('10-26'!F16:AO16,"TP")+COUNTIF('11-26'!F16:AO16,"TP")+COUNTIF('12-26'!G16:AO16,"TP")</f>
        <v>0</v>
      </c>
      <c r="S16" s="3">
        <f>COUNTIF('01-26'!G16:AO16,"CSE")+COUNTIF('01-26'!G16:AO16,"CSE/RPX")+COUNTIF('01-26'!G16:AO16,"RPX")+COUNTIF('02-26'!F16:AO16,"CSE")+COUNTIF('02-26'!F16:AO16,"CSE/RPX")+COUNTIF('02-26'!F16:AO16,"RPX")+COUNTIF('03-26'!F16:AO16,"CSE")+COUNTIF('03-26'!F16:AO16,"CSE/RPX")+COUNTIF('03-26'!F16:AO16,"RPX")+COUNTIF('04-26'!F16:AO16,"CSE")+COUNTIF('04-26'!F16:AO16,"CSE/RPX")+COUNTIF('04-26'!F16:AO16,"RPX")+COUNTIF('05-26'!F16:AO16,"CSE")+COUNTIF('05-26'!F16:AO16,"CSE/RPX")+COUNTIF('05-26'!F16:AO16,"RPX")+COUNTIF('06-26'!F16:AO16,"CSE")+COUNTIF('06-26'!F16:AO16,"CSE/RPX")+COUNTIF('06-26'!F16:AO16,"RPX")+COUNTIF('07-26'!G16:AO16,"CSE")+COUNTIF('07-26'!G16:AO16,"CSE/RPX")+COUNTIF('07-26'!G16:AO16,"RPX")+COUNTIF('08-26'!F16:AO16,"CSE")+COUNTIF('08-26'!F16:AO16,"CSE/RPX")+COUNTIF('08-26'!F16:AO16,"RPX")+COUNTIF('09-26'!F16:AO16,"CSE")+COUNTIF('09-26'!F16:AO16,"CSE/RPX")+COUNTIF('09-26'!F16:AO16,"RPX")+COUNTIF('10-26'!F16:AO16,"CSE")+COUNTIF('10-26'!F16:AO16,"CSE/RPX")+COUNTIF('10-26'!F16:AO16,"RPX")+COUNTIF('11-26'!F16:AO16,"CSE")+COUNTIF('11-26'!F16:AO16,"CSE/RPX")+COUNTIF('11-26'!F16:AO16,"RPX")+COUNTIF('12-26'!G16:AO16,"CSE")+COUNTIF('12-26'!G16:AO16,"CSE/RPX")+COUNTIF('12-26'!G16:AO16,"RPX")</f>
        <v>0</v>
      </c>
      <c r="T16" s="3">
        <f>COUNTIF('01-26'!G16:AO16,"CA/RC")+COUNTIF('01-26'!G16:AO16,"CA")+COUNTIF('02-26'!F16:AO16,"CA/RC")+COUNTIF('02-26'!F16:AO16,"CA")+COUNTIF('03-26'!F16:AO16,"CA/RC")+COUNTIF('03-26'!F16:AO16,"CA")+COUNTIF('04-26'!F16:AO16,"CA/RC")+COUNTIF('04-26'!F16:AO16,"CA")+COUNTIF('05-26'!F16:AO16,"CA/RC")+COUNTIF('05-26'!F16:AO16,"CA")+COUNTIF('06-26'!F16:AO16,"CA/RC")+COUNTIF('06-26'!F16:AO16,"CA")+COUNTIF('07-26'!G16:AO16,"CA/RC")+COUNTIF('07-26'!G16:AO16,"CA")+COUNTIF('08-26'!F16:AO16,"CA/RC")+COUNTIF('08-26'!F16:AO16,"CA")+COUNTIF('09-26'!F16:AO16,"CA/RC")+COUNTIF('09-26'!F16:AO16,"CA")+COUNTIF('10-26'!F16:AO16,"CA/RC")+COUNTIF('10-26'!F16:AO16,"CA")+COUNTIF('11-26'!F16:AO16,"CA/RC")+COUNTIF('11-26'!F16:AO16,"CA")+COUNTIF('12-26'!G16:AO16,"CA/RC")+COUNTIF('12-26'!G16:AO16,"CA")</f>
        <v>32</v>
      </c>
      <c r="U16" s="5">
        <f>COUNTIF('01-26'!G16:AO16,"ATM/ATA")+COUNTIF('01-26'!G16:AO16,"ATM")+COUNTIF('01-26'!G16:AO16,"ATA")+COUNTIF('02-26'!G16:AO16,"ATM/ATA")+COUNTIF('02-26'!G16:AO16,"ATM")+COUNTIF('02-26'!G16:AO16,"ATA")+COUNTIF('03-26'!G16:AO16,"ATM/ATA")+COUNTIF('03-26'!G16:AO16,"ATM")+COUNTIF('03-26'!G16:AO16,"ATA")+COUNTIF('04-26'!G16:AO16,"ATM/ATA")+COUNTIF('04-26'!G16:AO16,"ATM")+COUNTIF('04-26'!G16:AO16,"ATA")+COUNTIF('05-26'!G16:AO16,"ATM/ATA")+COUNTIF('05-26'!G16:AO16,"ATM")+COUNTIF('05-26'!G16:AO16,"ATA")+COUNTIF('06-26'!G16:AO16,"ATM/ATA")+COUNTIF('06-26'!G16:AO16,"ATM")+COUNTIF('06-26'!G16:AO16,"ATA")+COUNTIF('07-26'!F16:AO16,"ATM/ATA")+COUNTIF('07-26'!F16:AO16,"ATM")+COUNTIF('07-26'!F16:AO16,"ATA")+COUNTIF('08-26'!F16:AO16,"ATM/ATA")+COUNTIF('08-26'!F16:AO16,"ATM")+COUNTIF('08-26'!F16:AO16,"ATA")+COUNTIF('09-26'!F16:AO16,"ATM/ATA")+COUNTIF('09-26'!F16:AO16,"ATM")+COUNTIF('09-26'!F16:AO16,"ATA")+COUNTIF('10-26'!F16:AO16,"ATM/ATA")+COUNTIF('10-26'!F16:AO16,"ATM")+COUNTIF('10-26'!F16:AO16,"ATA")+COUNTIF('11-26'!G16:AO16,"ATM/ATA")+COUNTIF('11-26'!G16:AO16,"ATM")+COUNTIF('11-26'!G16:AO16,"ATA")+COUNTIF('12-26'!G16:AO16,"ATM/ATA")+COUNTIF('12-26'!G16:AO16,"ATM")+COUNTIF('12-26'!G16:AO16,"ATA")</f>
        <v>2</v>
      </c>
      <c r="V16" s="5">
        <f>COUNTIF('01-26'!G16:AO16,"ASA")+COUNTIF('02-26'!G16:AO16,"ASA")+COUNTIF('03-26'!G16:AO16,"ASA")+COUNTIF('04-26'!G16:AO16,"ASA")+COUNTIF('05-26'!G16:AO16,"ASA")+COUNTIF('06-26'!G16:AO16,"ASA")+COUNTIF('07-26'!F16:AO16,"ASA")+COUNTIF('08-26'!F16:AO16,"ASA")+COUNTIF('09-26'!F16:AO16,"ASA")+COUNTIF('10-26'!F16:AO16,"ASA")+COUNTIF('11-26'!G16:AO16,"ASA")+COUNTIF('12-26'!G16:AO16,"ASA")</f>
        <v>0</v>
      </c>
      <c r="W16" s="5">
        <f>COUNTIF('01-26'!G16:AO16,"FORM")+COUNTIF('02-26'!G16:AO16,"FORM")+COUNTIF('03-26'!G16:AO16,"FORM")+COUNTIF('04-26'!G16:AO16,"FORM")+COUNTIF('05-26'!G16:AO16,"FORM")+COUNTIF('06-26'!G16:AO16,"FORM")+COUNTIF('07-26'!F16:AO16,"FORM")+COUNTIF('08-26'!F16:AO16,"FORM")+COUNTIF('09-26'!F16:AO16,"FORM")+COUNTIF('10-26'!F16:AO16,"FORM")+COUNTIF('11-26'!G16:AO16,"FORM")+COUNTIF('12-26'!G16:AO16,"FORM")</f>
        <v>0</v>
      </c>
      <c r="X16" s="5">
        <f>COUNTIF('01-26'!G16:AO16,"RPM")+COUNTIF('01-26'!G16:AO16,"JPS")+COUNTIF('02-26'!G16:AO16,"RPM")+COUNTIF('02-26'!G16:AO16,"JPS")+COUNTIF('03-26'!G16:AO16,"RPM")+COUNTIF('03-26'!G16:AO16,"JPS")+COUNTIF('04-26'!G16:AO16,"RPM")+COUNTIF('04-26'!G16:AO16,"JPS")+COUNTIF('05-26'!G16:AO16,"RPM")+COUNTIF('05-26'!G16:AO16,"JPS")+COUNTIF('06-26'!G16:AO16,"RPM")+COUNTIF('06-26'!G16:AO16,"JPS")+COUNTIF('07-26'!F16:AO16,"RPM")+COUNTIF('07-26'!F16:AO16,"JPS")+COUNTIF('08-26'!F16:AO16,"RPM")+COUNTIF('08-26'!F16:AO16,"JPS")+COUNTIF('09-26'!F16:AO16,"RPM")+COUNTIF('09-26'!F16:AO16,"JPS")+COUNTIF('10-26'!F16:AO16,"RPM")+COUNTIF('10-26'!F16:AO16,"JPS")+COUNTIF('11-26'!G16:AO16,"RPM")+COUNTIF('11-26'!G16:AO16,"JPS")+COUNTIF('12-26'!G16:AO16,"RPM")+COUNTIF('12-26'!G16:AO16,"JPS")</f>
        <v>1</v>
      </c>
      <c r="Y16" s="393">
        <f t="shared" si="1"/>
        <v>35</v>
      </c>
      <c r="AB16" t="s">
        <v>38</v>
      </c>
      <c r="AC16" t="s">
        <v>39</v>
      </c>
      <c r="AD16">
        <v>19</v>
      </c>
    </row>
    <row r="17" spans="1:30" ht="18.75" customHeight="1">
      <c r="A17" s="390"/>
      <c r="Q17" s="6" t="s">
        <v>37</v>
      </c>
      <c r="R17" s="3">
        <f>COUNTIF('01-26'!G17:AO17,"TP")+COUNTIF('02-26'!F17:AO17,"TP")+COUNTIF('03-26'!F17:AO17,"TP")+COUNTIF('04-26'!F17:AO17,"TP")+COUNTIF('05-26'!F17:AO17,"TP")+COUNTIF('06-26'!F17:AO17,"TP")+COUNTIF('07-26'!G17:AO17,"TP")+COUNTIF('08-26'!F17:AO17,"TP")+COUNTIF('09-26'!F17:AO17,"TP")+COUNTIF('10-26'!F17:AO17,"TP")+COUNTIF('11-26'!F17:AO17,"TP")+COUNTIF('12-26'!G17:AO17,"TP")</f>
        <v>0</v>
      </c>
      <c r="S17" s="3">
        <f>COUNTIF('01-26'!G17:AO17,"CSE")+COUNTIF('01-26'!G17:AO17,"CSE/RPX")+COUNTIF('01-26'!G17:AO17,"RPX")+COUNTIF('02-26'!F17:AO17,"CSE")+COUNTIF('02-26'!F17:AO17,"CSE/RPX")+COUNTIF('02-26'!F17:AO17,"RPX")+COUNTIF('03-26'!F17:AO17,"CSE")+COUNTIF('03-26'!F17:AO17,"CSE/RPX")+COUNTIF('03-26'!F17:AO17,"RPX")+COUNTIF('04-26'!F17:AO17,"CSE")+COUNTIF('04-26'!F17:AO17,"CSE/RPX")+COUNTIF('04-26'!F17:AO17,"RPX")+COUNTIF('05-26'!F17:AO17,"CSE")+COUNTIF('05-26'!F17:AO17,"CSE/RPX")+COUNTIF('05-26'!F17:AO17,"RPX")+COUNTIF('06-26'!F17:AO17,"CSE")+COUNTIF('06-26'!F17:AO17,"CSE/RPX")+COUNTIF('06-26'!F17:AO17,"RPX")+COUNTIF('07-26'!G17:AO17,"CSE")+COUNTIF('07-26'!G17:AO17,"CSE/RPX")+COUNTIF('07-26'!G17:AO17,"RPX")+COUNTIF('08-26'!F17:AO17,"CSE")+COUNTIF('08-26'!F17:AO17,"CSE/RPX")+COUNTIF('08-26'!F17:AO17,"RPX")+COUNTIF('09-26'!F17:AO17,"CSE")+COUNTIF('09-26'!F17:AO17,"CSE/RPX")+COUNTIF('09-26'!F17:AO17,"RPX")+COUNTIF('10-26'!F17:AO17,"CSE")+COUNTIF('10-26'!F17:AO17,"CSE/RPX")+COUNTIF('10-26'!F17:AO17,"RPX")+COUNTIF('11-26'!F17:AO17,"CSE")+COUNTIF('11-26'!F17:AO17,"CSE/RPX")+COUNTIF('11-26'!F17:AO17,"RPX")+COUNTIF('12-26'!G17:AO17,"CSE")+COUNTIF('12-26'!G17:AO17,"CSE/RPX")+COUNTIF('12-26'!G17:AO17,"RPX")</f>
        <v>0</v>
      </c>
      <c r="T17" s="3">
        <f>COUNTIF('01-26'!G17:AO17,"CA/RC")+COUNTIF('01-26'!G17:AO17,"CA")+COUNTIF('02-26'!F17:AO17,"CA/RC")+COUNTIF('02-26'!F17:AO17,"CA")+COUNTIF('03-26'!F17:AO17,"CA/RC")+COUNTIF('03-26'!F17:AO17,"CA")+COUNTIF('04-26'!F17:AO17,"CA/RC")+COUNTIF('04-26'!F17:AO17,"CA")+COUNTIF('05-26'!F17:AO17,"CA/RC")+COUNTIF('05-26'!F17:AO17,"CA")+COUNTIF('06-26'!F17:AO17,"CA/RC")+COUNTIF('06-26'!F17:AO17,"CA")+COUNTIF('07-26'!G17:AO17,"CA/RC")+COUNTIF('07-26'!G17:AO17,"CA")+COUNTIF('08-26'!F17:AO17,"CA/RC")+COUNTIF('08-26'!F17:AO17,"CA")+COUNTIF('09-26'!F17:AO17,"CA/RC")+COUNTIF('09-26'!F17:AO17,"CA")+COUNTIF('10-26'!F17:AO17,"CA/RC")+COUNTIF('10-26'!F17:AO17,"CA")+COUNTIF('11-26'!F17:AO17,"CA/RC")+COUNTIF('11-26'!F17:AO17,"CA")+COUNTIF('12-26'!G17:AO17,"CA/RC")+COUNTIF('12-26'!G17:AO17,"CA")</f>
        <v>25</v>
      </c>
      <c r="U17" s="5">
        <f>COUNTIF('01-26'!G17:AO17,"ATM/ATA")+COUNTIF('01-26'!G17:AO17,"ATM")+COUNTIF('01-26'!G17:AO17,"ATA")+COUNTIF('02-26'!G17:AO17,"ATM/ATA")+COUNTIF('02-26'!G17:AO17,"ATM")+COUNTIF('02-26'!G17:AO17,"ATA")+COUNTIF('03-26'!G17:AO17,"ATM/ATA")+COUNTIF('03-26'!G17:AO17,"ATM")+COUNTIF('03-26'!G17:AO17,"ATA")+COUNTIF('04-26'!G17:AO17,"ATM/ATA")+COUNTIF('04-26'!G17:AO17,"ATM")+COUNTIF('04-26'!G17:AO17,"ATA")+COUNTIF('05-26'!G17:AO17,"ATM/ATA")+COUNTIF('05-26'!G17:AO17,"ATM")+COUNTIF('05-26'!G17:AO17,"ATA")+COUNTIF('06-26'!G17:AO17,"ATM/ATA")+COUNTIF('06-26'!G17:AO17,"ATM")+COUNTIF('06-26'!G17:AO17,"ATA")+COUNTIF('07-26'!F17:AO17,"ATM/ATA")+COUNTIF('07-26'!F17:AO17,"ATM")+COUNTIF('07-26'!F17:AO17,"ATA")+COUNTIF('08-26'!F17:AO17,"ATM/ATA")+COUNTIF('08-26'!F17:AO17,"ATM")+COUNTIF('08-26'!F17:AO17,"ATA")+COUNTIF('09-26'!F17:AO17,"ATM/ATA")+COUNTIF('09-26'!F17:AO17,"ATM")+COUNTIF('09-26'!F17:AO17,"ATA")+COUNTIF('10-26'!F17:AO17,"ATM/ATA")+COUNTIF('10-26'!F17:AO17,"ATM")+COUNTIF('10-26'!F17:AO17,"ATA")+COUNTIF('11-26'!G17:AO17,"ATM/ATA")+COUNTIF('11-26'!G17:AO17,"ATM")+COUNTIF('11-26'!G17:AO17,"ATA")+COUNTIF('12-26'!G17:AO17,"ATM/ATA")+COUNTIF('12-26'!G17:AO17,"ATM")+COUNTIF('12-26'!G17:AO17,"ATA")</f>
        <v>0</v>
      </c>
      <c r="V17" s="5">
        <f>COUNTIF('01-26'!G17:AO17,"ASA")+COUNTIF('02-26'!G17:AO17,"ASA")+COUNTIF('03-26'!G17:AO17,"ASA")+COUNTIF('04-26'!G17:AO17,"ASA")+COUNTIF('05-26'!G17:AO17,"ASA")+COUNTIF('06-26'!G17:AO17,"ASA")+COUNTIF('07-26'!F17:AO17,"ASA")+COUNTIF('08-26'!F17:AO17,"ASA")+COUNTIF('09-26'!F17:AO17,"ASA")+COUNTIF('10-26'!F17:AO17,"ASA")+COUNTIF('11-26'!G17:AO17,"ASA")+COUNTIF('12-26'!G17:AO17,"ASA")</f>
        <v>0</v>
      </c>
      <c r="W17" s="5">
        <f>COUNTIF('01-26'!G17:AO17,"FORM")+COUNTIF('02-26'!G17:AO17,"FORM")+COUNTIF('03-26'!G17:AO17,"FORM")+COUNTIF('04-26'!G17:AO17,"FORM")+COUNTIF('05-26'!G17:AO17,"FORM")+COUNTIF('06-26'!G17:AO17,"FORM")+COUNTIF('07-26'!F17:AO17,"FORM")+COUNTIF('08-26'!F17:AO17,"FORM")+COUNTIF('09-26'!F17:AO17,"FORM")+COUNTIF('10-26'!F17:AO17,"FORM")+COUNTIF('11-26'!G17:AO17,"FORM")+COUNTIF('12-26'!G17:AO17,"FORM")</f>
        <v>0</v>
      </c>
      <c r="X17" s="5">
        <f>COUNTIF('01-26'!G17:AO17,"RPM")+COUNTIF('01-26'!G17:AO17,"JPS")+COUNTIF('02-26'!G17:AO17,"RPM")+COUNTIF('02-26'!G17:AO17,"JPS")+COUNTIF('03-26'!G17:AO17,"RPM")+COUNTIF('03-26'!G17:AO17,"JPS")+COUNTIF('04-26'!G17:AO17,"RPM")+COUNTIF('04-26'!G17:AO17,"JPS")+COUNTIF('05-26'!G17:AO17,"RPM")+COUNTIF('05-26'!G17:AO17,"JPS")+COUNTIF('06-26'!G17:AO17,"RPM")+COUNTIF('06-26'!G17:AO17,"JPS")+COUNTIF('07-26'!F17:AO17,"RPM")+COUNTIF('07-26'!F17:AO17,"JPS")+COUNTIF('08-26'!F17:AO17,"RPM")+COUNTIF('08-26'!F17:AO17,"JPS")+COUNTIF('09-26'!F17:AO17,"RPM")+COUNTIF('09-26'!F17:AO17,"JPS")+COUNTIF('10-26'!F17:AO17,"RPM")+COUNTIF('10-26'!F17:AO17,"JPS")+COUNTIF('11-26'!G17:AO17,"RPM")+COUNTIF('11-26'!G17:AO17,"JPS")+COUNTIF('12-26'!G17:AO17,"RPM")+COUNTIF('12-26'!G17:AO17,"JPS")</f>
        <v>0</v>
      </c>
      <c r="Y17" s="393">
        <f t="shared" si="1"/>
        <v>25</v>
      </c>
      <c r="AB17" t="s">
        <v>39</v>
      </c>
      <c r="AC17" t="s">
        <v>40</v>
      </c>
      <c r="AD17">
        <v>20</v>
      </c>
    </row>
    <row r="18" spans="1:30" ht="25.5" customHeight="1">
      <c r="A18" s="390"/>
      <c r="B18" s="401" t="s">
        <v>41</v>
      </c>
      <c r="C18" s="401"/>
      <c r="D18" s="401"/>
      <c r="E18" s="401"/>
      <c r="F18" s="401"/>
      <c r="G18" s="401"/>
      <c r="H18" s="401"/>
      <c r="I18" s="401"/>
      <c r="J18" s="401"/>
      <c r="K18" s="401"/>
      <c r="L18" s="401"/>
      <c r="M18" s="401"/>
      <c r="N18" s="401"/>
      <c r="O18" s="401"/>
      <c r="Q18" s="2" t="s">
        <v>38</v>
      </c>
      <c r="R18" s="3">
        <f>COUNTIF('01-26'!G18:AO18,"TP")+COUNTIF('02-26'!F18:AO18,"TP")+COUNTIF('03-26'!F18:AO18,"TP")+COUNTIF('04-26'!F18:AO18,"TP")+COUNTIF('05-26'!F18:AO18,"TP")+COUNTIF('06-26'!F18:AO18,"TP")+COUNTIF('07-26'!G18:AO18,"TP")+COUNTIF('08-26'!F18:AO18,"TP")+COUNTIF('09-26'!F18:AO18,"TP")+COUNTIF('10-26'!F18:AO18,"TP")+COUNTIF('11-26'!F18:AO18,"TP")+COUNTIF('12-26'!G18:AO18,"TP")</f>
        <v>0</v>
      </c>
      <c r="S18" s="3">
        <f>COUNTIF('01-26'!G18:AO18,"CSE")+COUNTIF('01-26'!G18:AO18,"CSE/RPX")+COUNTIF('01-26'!G18:AO18,"RPX")+COUNTIF('02-26'!F18:AO18,"CSE")+COUNTIF('02-26'!F18:AO18,"CSE/RPX")+COUNTIF('02-26'!F18:AO18,"RPX")+COUNTIF('03-26'!F18:AO18,"CSE")+COUNTIF('03-26'!F18:AO18,"CSE/RPX")+COUNTIF('03-26'!F18:AO18,"RPX")+COUNTIF('04-26'!F18:AO18,"CSE")+COUNTIF('04-26'!F18:AO18,"CSE/RPX")+COUNTIF('04-26'!F18:AO18,"RPX")+COUNTIF('05-26'!F18:AO18,"CSE")+COUNTIF('05-26'!F18:AO18,"CSE/RPX")+COUNTIF('05-26'!F18:AO18,"RPX")+COUNTIF('06-26'!F18:AO18,"CSE")+COUNTIF('06-26'!F18:AO18,"CSE/RPX")+COUNTIF('06-26'!F18:AO18,"RPX")+COUNTIF('07-26'!G18:AO18,"CSE")+COUNTIF('07-26'!G18:AO18,"CSE/RPX")+COUNTIF('07-26'!G18:AO18,"RPX")+COUNTIF('08-26'!F18:AO18,"CSE")+COUNTIF('08-26'!F18:AO18,"CSE/RPX")+COUNTIF('08-26'!F18:AO18,"RPX")+COUNTIF('09-26'!F18:AO18,"CSE")+COUNTIF('09-26'!F18:AO18,"CSE/RPX")+COUNTIF('09-26'!F18:AO18,"RPX")+COUNTIF('10-26'!F18:AO18,"CSE")+COUNTIF('10-26'!F18:AO18,"CSE/RPX")+COUNTIF('10-26'!F18:AO18,"RPX")+COUNTIF('11-26'!F18:AO18,"CSE")+COUNTIF('11-26'!F18:AO18,"CSE/RPX")+COUNTIF('11-26'!F18:AO18,"RPX")+COUNTIF('12-26'!G18:AO18,"CSE")+COUNTIF('12-26'!G18:AO18,"CSE/RPX")+COUNTIF('12-26'!G18:AO18,"RPX")</f>
        <v>0</v>
      </c>
      <c r="T18" s="3">
        <f>COUNTIF('01-26'!G18:AO18,"CA/RC")+COUNTIF('01-26'!G18:AO18,"CA")+COUNTIF('02-26'!F18:AO18,"CA/RC")+COUNTIF('02-26'!F18:AO18,"CA")+COUNTIF('03-26'!F18:AO18,"CA/RC")+COUNTIF('03-26'!F18:AO18,"CA")+COUNTIF('04-26'!F18:AO18,"CA/RC")+COUNTIF('04-26'!F18:AO18,"CA")+COUNTIF('05-26'!F18:AO18,"CA/RC")+COUNTIF('05-26'!F18:AO18,"CA")+COUNTIF('06-26'!F18:AO18,"CA/RC")+COUNTIF('06-26'!F18:AO18,"CA")+COUNTIF('07-26'!G18:AO18,"CA/RC")+COUNTIF('07-26'!G18:AO18,"CA")+COUNTIF('08-26'!F18:AO18,"CA/RC")+COUNTIF('08-26'!F18:AO18,"CA")+COUNTIF('09-26'!F18:AO18,"CA/RC")+COUNTIF('09-26'!F18:AO18,"CA")+COUNTIF('10-26'!F18:AO18,"CA/RC")+COUNTIF('10-26'!F18:AO18,"CA")+COUNTIF('11-26'!F18:AO18,"CA/RC")+COUNTIF('11-26'!F18:AO18,"CA")+COUNTIF('12-26'!G18:AO18,"CA/RC")+COUNTIF('12-26'!G18:AO18,"CA")</f>
        <v>27</v>
      </c>
      <c r="U18" s="5">
        <f>COUNTIF('01-26'!G18:AO18,"ATM/ATA")+COUNTIF('01-26'!G18:AO18,"ATM")+COUNTIF('01-26'!G18:AO18,"ATA")+COUNTIF('02-26'!G18:AO18,"ATM/ATA")+COUNTIF('02-26'!G18:AO18,"ATM")+COUNTIF('02-26'!G18:AO18,"ATA")+COUNTIF('03-26'!G18:AO18,"ATM/ATA")+COUNTIF('03-26'!G18:AO18,"ATM")+COUNTIF('03-26'!G18:AO18,"ATA")+COUNTIF('04-26'!G18:AO18,"ATM/ATA")+COUNTIF('04-26'!G18:AO18,"ATM")+COUNTIF('04-26'!G18:AO18,"ATA")+COUNTIF('05-26'!G18:AO18,"ATM/ATA")+COUNTIF('05-26'!G18:AO18,"ATM")+COUNTIF('05-26'!G18:AO18,"ATA")+COUNTIF('06-26'!G18:AO18,"ATM/ATA")+COUNTIF('06-26'!G18:AO18,"ATM")+COUNTIF('06-26'!G18:AO18,"ATA")+COUNTIF('07-26'!F18:AO18,"ATM/ATA")+COUNTIF('07-26'!F18:AO18,"ATM")+COUNTIF('07-26'!F18:AO18,"ATA")+COUNTIF('08-26'!F18:AO18,"ATM/ATA")+COUNTIF('08-26'!F18:AO18,"ATM")+COUNTIF('08-26'!F18:AO18,"ATA")+COUNTIF('09-26'!F18:AO18,"ATM/ATA")+COUNTIF('09-26'!F18:AO18,"ATM")+COUNTIF('09-26'!F18:AO18,"ATA")+COUNTIF('10-26'!F18:AO18,"ATM/ATA")+COUNTIF('10-26'!F18:AO18,"ATM")+COUNTIF('10-26'!F18:AO18,"ATA")+COUNTIF('11-26'!G18:AO18,"ATM/ATA")+COUNTIF('11-26'!G18:AO18,"ATM")+COUNTIF('11-26'!G18:AO18,"ATA")+COUNTIF('12-26'!G18:AO18,"ATM/ATA")+COUNTIF('12-26'!G18:AO18,"ATM")+COUNTIF('12-26'!G18:AO18,"ATA")</f>
        <v>0</v>
      </c>
      <c r="V18" s="5">
        <f>COUNTIF('01-26'!G18:AO18,"ASA")+COUNTIF('02-26'!G18:AO18,"ASA")+COUNTIF('03-26'!G18:AO18,"ASA")+COUNTIF('04-26'!G18:AO18,"ASA")+COUNTIF('05-26'!G18:AO18,"ASA")+COUNTIF('06-26'!G18:AO18,"ASA")+COUNTIF('07-26'!F18:AO18,"ASA")+COUNTIF('08-26'!F18:AO18,"ASA")+COUNTIF('09-26'!F18:AO18,"ASA")+COUNTIF('10-26'!F18:AO18,"ASA")+COUNTIF('11-26'!G18:AO18,"ASA")+COUNTIF('12-26'!G18:AO18,"ASA")</f>
        <v>0</v>
      </c>
      <c r="W18" s="5">
        <f>COUNTIF('01-26'!G18:AO18,"FORM")+COUNTIF('02-26'!G18:AO18,"FORM")+COUNTIF('03-26'!G18:AO18,"FORM")+COUNTIF('04-26'!G18:AO18,"FORM")+COUNTIF('05-26'!G18:AO18,"FORM")+COUNTIF('06-26'!G18:AO18,"FORM")+COUNTIF('07-26'!F18:AO18,"FORM")+COUNTIF('08-26'!F18:AO18,"FORM")+COUNTIF('09-26'!F18:AO18,"FORM")+COUNTIF('10-26'!F18:AO18,"FORM")+COUNTIF('11-26'!G18:AO18,"FORM")+COUNTIF('12-26'!G18:AO18,"FORM")</f>
        <v>0</v>
      </c>
      <c r="X18" s="5">
        <f>COUNTIF('01-26'!G18:AO18,"RPM")+COUNTIF('01-26'!G18:AO18,"JPS")+COUNTIF('02-26'!G18:AO18,"RPM")+COUNTIF('02-26'!G18:AO18,"JPS")+COUNTIF('03-26'!G18:AO18,"RPM")+COUNTIF('03-26'!G18:AO18,"JPS")+COUNTIF('04-26'!G18:AO18,"RPM")+COUNTIF('04-26'!G18:AO18,"JPS")+COUNTIF('05-26'!G18:AO18,"RPM")+COUNTIF('05-26'!G18:AO18,"JPS")+COUNTIF('06-26'!G18:AO18,"RPM")+COUNTIF('06-26'!G18:AO18,"JPS")+COUNTIF('07-26'!F18:AO18,"RPM")+COUNTIF('07-26'!F18:AO18,"JPS")+COUNTIF('08-26'!F18:AO18,"RPM")+COUNTIF('08-26'!F18:AO18,"JPS")+COUNTIF('09-26'!F18:AO18,"RPM")+COUNTIF('09-26'!F18:AO18,"JPS")+COUNTIF('10-26'!F18:AO18,"RPM")+COUNTIF('10-26'!F18:AO18,"JPS")+COUNTIF('11-26'!G18:AO18,"RPM")+COUNTIF('11-26'!G18:AO18,"JPS")+COUNTIF('12-26'!G18:AO18,"RPM")+COUNTIF('12-26'!G18:AO18,"JPS")</f>
        <v>0</v>
      </c>
      <c r="Y18" s="393">
        <f t="shared" si="1"/>
        <v>27</v>
      </c>
      <c r="AB18" t="s">
        <v>40</v>
      </c>
      <c r="AC18" t="s">
        <v>42</v>
      </c>
      <c r="AD18">
        <v>21</v>
      </c>
    </row>
    <row r="19" spans="1:30" ht="24" customHeight="1">
      <c r="A19" s="390"/>
      <c r="B19" s="1" t="s">
        <v>43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17</v>
      </c>
      <c r="L19" s="1" t="s">
        <v>18</v>
      </c>
      <c r="M19" s="1" t="s">
        <v>19</v>
      </c>
      <c r="N19" s="1" t="s">
        <v>20</v>
      </c>
      <c r="O19" s="1" t="s">
        <v>44</v>
      </c>
      <c r="Q19" s="6" t="s">
        <v>39</v>
      </c>
      <c r="R19" s="3">
        <f>COUNTIF('01-26'!G19:AO19,"TP")+COUNTIF('02-26'!F19:AO19,"TP")+COUNTIF('03-26'!F19:AO19,"TP")+COUNTIF('04-26'!F19:AO19,"TP")+COUNTIF('05-26'!F19:AO19,"TP")+COUNTIF('06-26'!F19:AO19,"TP")+COUNTIF('07-26'!G19:AO19,"TP")+COUNTIF('08-26'!F19:AO19,"TP")+COUNTIF('09-26'!F19:AO19,"TP")+COUNTIF('10-26'!F19:AO19,"TP")+COUNTIF('11-26'!F19:AO19,"TP")+COUNTIF('12-26'!G19:AO19,"TP")</f>
        <v>35</v>
      </c>
      <c r="S19" s="3">
        <f>COUNTIF('01-26'!G19:AO19,"CSE")+COUNTIF('01-26'!G19:AO19,"CSE/RPX")+COUNTIF('01-26'!G19:AO19,"RPX")+COUNTIF('02-26'!F19:AO19,"CSE")+COUNTIF('02-26'!F19:AO19,"CSE/RPX")+COUNTIF('02-26'!F19:AO19,"RPX")+COUNTIF('03-26'!F19:AO19,"CSE")+COUNTIF('03-26'!F19:AO19,"CSE/RPX")+COUNTIF('03-26'!F19:AO19,"RPX")+COUNTIF('04-26'!F19:AO19,"CSE")+COUNTIF('04-26'!F19:AO19,"CSE/RPX")+COUNTIF('04-26'!F19:AO19,"RPX")+COUNTIF('05-26'!F19:AO19,"CSE")+COUNTIF('05-26'!F19:AO19,"CSE/RPX")+COUNTIF('05-26'!F19:AO19,"RPX")+COUNTIF('06-26'!F19:AO19,"CSE")+COUNTIF('06-26'!F19:AO19,"CSE/RPX")+COUNTIF('06-26'!F19:AO19,"RPX")+COUNTIF('07-26'!G19:AO19,"CSE")+COUNTIF('07-26'!G19:AO19,"CSE/RPX")+COUNTIF('07-26'!G19:AO19,"RPX")+COUNTIF('08-26'!F19:AO19,"CSE")+COUNTIF('08-26'!F19:AO19,"CSE/RPX")+COUNTIF('08-26'!F19:AO19,"RPX")+COUNTIF('09-26'!F19:AO19,"CSE")+COUNTIF('09-26'!F19:AO19,"CSE/RPX")+COUNTIF('09-26'!F19:AO19,"RPX")+COUNTIF('10-26'!F19:AO19,"CSE")+COUNTIF('10-26'!F19:AO19,"CSE/RPX")+COUNTIF('10-26'!F19:AO19,"RPX")+COUNTIF('11-26'!F19:AO19,"CSE")+COUNTIF('11-26'!F19:AO19,"CSE/RPX")+COUNTIF('11-26'!F19:AO19,"RPX")+COUNTIF('12-26'!G19:AO19,"CSE")+COUNTIF('12-26'!G19:AO19,"CSE/RPX")+COUNTIF('12-26'!G19:AO19,"RPX")</f>
        <v>0</v>
      </c>
      <c r="T19" s="3">
        <f>COUNTIF('01-26'!G19:AO19,"CA/RC")+COUNTIF('01-26'!G19:AO19,"CA")+COUNTIF('02-26'!F19:AO19,"CA/RC")+COUNTIF('02-26'!F19:AO19,"CA")+COUNTIF('03-26'!F19:AO19,"CA/RC")+COUNTIF('03-26'!F19:AO19,"CA")+COUNTIF('04-26'!F19:AO19,"CA/RC")+COUNTIF('04-26'!F19:AO19,"CA")+COUNTIF('05-26'!F19:AO19,"CA/RC")+COUNTIF('05-26'!F19:AO19,"CA")+COUNTIF('06-26'!F19:AO19,"CA/RC")+COUNTIF('06-26'!F19:AO19,"CA")+COUNTIF('07-26'!G19:AO19,"CA/RC")+COUNTIF('07-26'!G19:AO19,"CA")+COUNTIF('08-26'!F19:AO19,"CA/RC")+COUNTIF('08-26'!F19:AO19,"CA")+COUNTIF('09-26'!F19:AO19,"CA/RC")+COUNTIF('09-26'!F19:AO19,"CA")+COUNTIF('10-26'!F19:AO19,"CA/RC")+COUNTIF('10-26'!F19:AO19,"CA")+COUNTIF('11-26'!F19:AO19,"CA/RC")+COUNTIF('11-26'!F19:AO19,"CA")+COUNTIF('12-26'!G19:AO19,"CA/RC")+COUNTIF('12-26'!G19:AO19,"CA")</f>
        <v>20</v>
      </c>
      <c r="U19" s="5">
        <f>COUNTIF('01-26'!G19:AO19,"ATM/ATA")+COUNTIF('01-26'!G19:AO19,"ATM")+COUNTIF('01-26'!G19:AO19,"ATA")+COUNTIF('02-26'!G19:AO19,"ATM/ATA")+COUNTIF('02-26'!G19:AO19,"ATM")+COUNTIF('02-26'!G19:AO19,"ATA")+COUNTIF('03-26'!G19:AO19,"ATM/ATA")+COUNTIF('03-26'!G19:AO19,"ATM")+COUNTIF('03-26'!G19:AO19,"ATA")+COUNTIF('04-26'!G19:AO19,"ATM/ATA")+COUNTIF('04-26'!G19:AO19,"ATM")+COUNTIF('04-26'!G19:AO19,"ATA")+COUNTIF('05-26'!G19:AO19,"ATM/ATA")+COUNTIF('05-26'!G19:AO19,"ATM")+COUNTIF('05-26'!G19:AO19,"ATA")+COUNTIF('06-26'!G19:AO19,"ATM/ATA")+COUNTIF('06-26'!G19:AO19,"ATM")+COUNTIF('06-26'!G19:AO19,"ATA")+COUNTIF('07-26'!F19:AO19,"ATM/ATA")+COUNTIF('07-26'!F19:AO19,"ATM")+COUNTIF('07-26'!F19:AO19,"ATA")+COUNTIF('08-26'!F19:AO19,"ATM/ATA")+COUNTIF('08-26'!F19:AO19,"ATM")+COUNTIF('08-26'!F19:AO19,"ATA")+COUNTIF('09-26'!F19:AO19,"ATM/ATA")+COUNTIF('09-26'!F19:AO19,"ATM")+COUNTIF('09-26'!F19:AO19,"ATA")+COUNTIF('10-26'!F19:AO19,"ATM/ATA")+COUNTIF('10-26'!F19:AO19,"ATM")+COUNTIF('10-26'!F19:AO19,"ATA")+COUNTIF('11-26'!G19:AO19,"ATM/ATA")+COUNTIF('11-26'!G19:AO19,"ATM")+COUNTIF('11-26'!G19:AO19,"ATA")+COUNTIF('12-26'!G19:AO19,"ATM/ATA")+COUNTIF('12-26'!G19:AO19,"ATM")+COUNTIF('12-26'!G19:AO19,"ATA")</f>
        <v>64</v>
      </c>
      <c r="V19" s="5">
        <f>COUNTIF('01-26'!G19:AO19,"ASA")+COUNTIF('02-26'!G19:AO19,"ASA")+COUNTIF('03-26'!G19:AO19,"ASA")+COUNTIF('04-26'!G19:AO19,"ASA")+COUNTIF('05-26'!G19:AO19,"ASA")+COUNTIF('06-26'!G19:AO19,"ASA")+COUNTIF('07-26'!F19:AO19,"ASA")+COUNTIF('08-26'!F19:AO19,"ASA")+COUNTIF('09-26'!F19:AO19,"ASA")+COUNTIF('10-26'!F19:AO19,"ASA")+COUNTIF('11-26'!G19:AO19,"ASA")+COUNTIF('12-26'!G19:AO19,"ASA")</f>
        <v>0</v>
      </c>
      <c r="W19" s="5">
        <f>COUNTIF('01-26'!G19:AO19,"FORM")+COUNTIF('02-26'!G19:AO19,"FORM")+COUNTIF('03-26'!G19:AO19,"FORM")+COUNTIF('04-26'!G19:AO19,"FORM")+COUNTIF('05-26'!G19:AO19,"FORM")+COUNTIF('06-26'!G19:AO19,"FORM")+COUNTIF('07-26'!F19:AO19,"FORM")+COUNTIF('08-26'!F19:AO19,"FORM")+COUNTIF('09-26'!F19:AO19,"FORM")+COUNTIF('10-26'!F19:AO19,"FORM")+COUNTIF('11-26'!G19:AO19,"FORM")+COUNTIF('12-26'!G19:AO19,"FORM")</f>
        <v>5</v>
      </c>
      <c r="X19" s="5">
        <f>COUNTIF('01-26'!G19:AO19,"RPM")+COUNTIF('01-26'!G19:AO19,"JPS")+COUNTIF('02-26'!G19:AO19,"RPM")+COUNTIF('02-26'!G19:AO19,"JPS")+COUNTIF('03-26'!G19:AO19,"RPM")+COUNTIF('03-26'!G19:AO19,"JPS")+COUNTIF('04-26'!G19:AO19,"RPM")+COUNTIF('04-26'!G19:AO19,"JPS")+COUNTIF('05-26'!G19:AO19,"RPM")+COUNTIF('05-26'!G19:AO19,"JPS")+COUNTIF('06-26'!G19:AO19,"RPM")+COUNTIF('06-26'!G19:AO19,"JPS")+COUNTIF('07-26'!F19:AO19,"RPM")+COUNTIF('07-26'!F19:AO19,"JPS")+COUNTIF('08-26'!F19:AO19,"RPM")+COUNTIF('08-26'!F19:AO19,"JPS")+COUNTIF('09-26'!F19:AO19,"RPM")+COUNTIF('09-26'!F19:AO19,"JPS")+COUNTIF('10-26'!F19:AO19,"RPM")+COUNTIF('10-26'!F19:AO19,"JPS")+COUNTIF('11-26'!G19:AO19,"RPM")+COUNTIF('11-26'!G19:AO19,"JPS")+COUNTIF('12-26'!G19:AO19,"RPM")+COUNTIF('12-26'!G19:AO19,"JPS")</f>
        <v>0</v>
      </c>
      <c r="Y19" s="393">
        <f t="shared" si="1"/>
        <v>124</v>
      </c>
      <c r="AB19" t="s">
        <v>42</v>
      </c>
      <c r="AC19" t="s">
        <v>45</v>
      </c>
      <c r="AD19">
        <v>22</v>
      </c>
    </row>
    <row r="20" spans="1:30" ht="21.75" customHeight="1">
      <c r="A20" s="390"/>
      <c r="B20" s="2" t="s">
        <v>46</v>
      </c>
      <c r="C20" s="9">
        <f>'01-26'!E40</f>
        <v>15.85</v>
      </c>
      <c r="D20" s="9">
        <f>'02-26'!E40</f>
        <v>15.6</v>
      </c>
      <c r="E20" s="9">
        <f>'03-26'!E40</f>
        <v>16.55</v>
      </c>
      <c r="F20" s="9">
        <f>'04-26'!E40</f>
        <v>16.041666666666668</v>
      </c>
      <c r="G20" s="9">
        <f>'05-26'!E40</f>
        <v>17.647058823529413</v>
      </c>
      <c r="H20" s="9">
        <f>'06-26'!E40</f>
        <v>17.55</v>
      </c>
      <c r="I20" s="9">
        <f>'07-26'!E40</f>
        <v>16.333333333333332</v>
      </c>
      <c r="J20" s="9">
        <f>'08-26'!E40</f>
        <v>16.75</v>
      </c>
      <c r="K20" s="9">
        <f>'09-26'!E40</f>
        <v>15.88</v>
      </c>
      <c r="L20" s="9">
        <f>'10-26'!E40</f>
        <v>17.850000000000001</v>
      </c>
      <c r="M20" s="9">
        <f>'11-26'!E40</f>
        <v>18.05</v>
      </c>
      <c r="N20" s="9">
        <f>'12-26'!E40</f>
        <v>17.347826086956523</v>
      </c>
      <c r="O20" s="10">
        <f>IFERROR(AVERAGE(C20:N20),0)</f>
        <v>16.787490409207162</v>
      </c>
      <c r="Q20" s="2" t="s">
        <v>40</v>
      </c>
      <c r="R20" s="3">
        <f>COUNTIF('01-26'!G20:AO20,"TP")+COUNTIF('02-26'!F20:AO20,"TP")+COUNTIF('03-26'!F20:AO20,"TP")+COUNTIF('04-26'!F20:AO20,"TP")+COUNTIF('05-26'!F20:AO20,"TP")+COUNTIF('06-26'!F20:AO20,"TP")+COUNTIF('07-26'!G20:AO20,"TP")+COUNTIF('08-26'!F20:AO20,"TP")+COUNTIF('09-26'!F20:AO20,"TP")+COUNTIF('10-26'!F20:AO20,"TP")+COUNTIF('11-26'!F20:AO20,"TP")+COUNTIF('12-26'!G20:AO20,"TP")</f>
        <v>0</v>
      </c>
      <c r="S20" s="3">
        <f>COUNTIF('01-26'!G20:AO20,"CSE")+COUNTIF('01-26'!G20:AO20,"CSE/RPX")+COUNTIF('01-26'!G20:AO20,"RPX")+COUNTIF('02-26'!F20:AO20,"CSE")+COUNTIF('02-26'!F20:AO20,"CSE/RPX")+COUNTIF('02-26'!F20:AO20,"RPX")+COUNTIF('03-26'!F20:AO20,"CSE")+COUNTIF('03-26'!F20:AO20,"CSE/RPX")+COUNTIF('03-26'!F20:AO20,"RPX")+COUNTIF('04-26'!F20:AO20,"CSE")+COUNTIF('04-26'!F20:AO20,"CSE/RPX")+COUNTIF('04-26'!F20:AO20,"RPX")+COUNTIF('05-26'!F20:AO20,"CSE")+COUNTIF('05-26'!F20:AO20,"CSE/RPX")+COUNTIF('05-26'!F20:AO20,"RPX")+COUNTIF('06-26'!F20:AO20,"CSE")+COUNTIF('06-26'!F20:AO20,"CSE/RPX")+COUNTIF('06-26'!F20:AO20,"RPX")+COUNTIF('07-26'!G20:AO20,"CSE")+COUNTIF('07-26'!G20:AO20,"CSE/RPX")+COUNTIF('07-26'!G20:AO20,"RPX")+COUNTIF('08-26'!F20:AO20,"CSE")+COUNTIF('08-26'!F20:AO20,"CSE/RPX")+COUNTIF('08-26'!F20:AO20,"RPX")+COUNTIF('09-26'!F20:AO20,"CSE")+COUNTIF('09-26'!F20:AO20,"CSE/RPX")+COUNTIF('09-26'!F20:AO20,"RPX")+COUNTIF('10-26'!F20:AO20,"CSE")+COUNTIF('10-26'!F20:AO20,"CSE/RPX")+COUNTIF('10-26'!F20:AO20,"RPX")+COUNTIF('11-26'!F20:AO20,"CSE")+COUNTIF('11-26'!F20:AO20,"CSE/RPX")+COUNTIF('11-26'!F20:AO20,"RPX")+COUNTIF('12-26'!G20:AO20,"CSE")+COUNTIF('12-26'!G20:AO20,"CSE/RPX")+COUNTIF('12-26'!G20:AO20,"RPX")</f>
        <v>0</v>
      </c>
      <c r="T20" s="3">
        <f>COUNTIF('01-26'!G20:AO20,"CA/RC")+COUNTIF('01-26'!G20:AO20,"CA")+COUNTIF('02-26'!F20:AO20,"CA/RC")+COUNTIF('02-26'!F20:AO20,"CA")+COUNTIF('03-26'!F20:AO20,"CA/RC")+COUNTIF('03-26'!F20:AO20,"CA")+COUNTIF('04-26'!F20:AO20,"CA/RC")+COUNTIF('04-26'!F20:AO20,"CA")+COUNTIF('05-26'!F20:AO20,"CA/RC")+COUNTIF('05-26'!F20:AO20,"CA")+COUNTIF('06-26'!F20:AO20,"CA/RC")+COUNTIF('06-26'!F20:AO20,"CA")+COUNTIF('07-26'!G20:AO20,"CA/RC")+COUNTIF('07-26'!G20:AO20,"CA")+COUNTIF('08-26'!F20:AO20,"CA/RC")+COUNTIF('08-26'!F20:AO20,"CA")+COUNTIF('09-26'!F20:AO20,"CA/RC")+COUNTIF('09-26'!F20:AO20,"CA")+COUNTIF('10-26'!F20:AO20,"CA/RC")+COUNTIF('10-26'!F20:AO20,"CA")+COUNTIF('11-26'!F20:AO20,"CA/RC")+COUNTIF('11-26'!F20:AO20,"CA")+COUNTIF('12-26'!G20:AO20,"CA/RC")+COUNTIF('12-26'!G20:AO20,"CA")</f>
        <v>25</v>
      </c>
      <c r="U20" s="5">
        <f>COUNTIF('01-26'!G20:AO20,"ATM/ATA")+COUNTIF('01-26'!G20:AO20,"ATM")+COUNTIF('01-26'!G20:AO20,"ATA")+COUNTIF('02-26'!G20:AO20,"ATM/ATA")+COUNTIF('02-26'!G20:AO20,"ATM")+COUNTIF('02-26'!G20:AO20,"ATA")+COUNTIF('03-26'!G20:AO20,"ATM/ATA")+COUNTIF('03-26'!G20:AO20,"ATM")+COUNTIF('03-26'!G20:AO20,"ATA")+COUNTIF('04-26'!G20:AO20,"ATM/ATA")+COUNTIF('04-26'!G20:AO20,"ATM")+COUNTIF('04-26'!G20:AO20,"ATA")+COUNTIF('05-26'!G20:AO20,"ATM/ATA")+COUNTIF('05-26'!G20:AO20,"ATM")+COUNTIF('05-26'!G20:AO20,"ATA")+COUNTIF('06-26'!G20:AO20,"ATM/ATA")+COUNTIF('06-26'!G20:AO20,"ATM")+COUNTIF('06-26'!G20:AO20,"ATA")+COUNTIF('07-26'!F20:AO20,"ATM/ATA")+COUNTIF('07-26'!F20:AO20,"ATM")+COUNTIF('07-26'!F20:AO20,"ATA")+COUNTIF('08-26'!F20:AO20,"ATM/ATA")+COUNTIF('08-26'!F20:AO20,"ATM")+COUNTIF('08-26'!F20:AO20,"ATA")+COUNTIF('09-26'!F20:AO20,"ATM/ATA")+COUNTIF('09-26'!F20:AO20,"ATM")+COUNTIF('09-26'!F20:AO20,"ATA")+COUNTIF('10-26'!F20:AO20,"ATM/ATA")+COUNTIF('10-26'!F20:AO20,"ATM")+COUNTIF('10-26'!F20:AO20,"ATA")+COUNTIF('11-26'!G20:AO20,"ATM/ATA")+COUNTIF('11-26'!G20:AO20,"ATM")+COUNTIF('11-26'!G20:AO20,"ATA")+COUNTIF('12-26'!G20:AO20,"ATM/ATA")+COUNTIF('12-26'!G20:AO20,"ATM")+COUNTIF('12-26'!G20:AO20,"ATA")</f>
        <v>0</v>
      </c>
      <c r="V20" s="5">
        <f>COUNTIF('01-26'!G20:AO20,"ASA")+COUNTIF('02-26'!G20:AO20,"ASA")+COUNTIF('03-26'!G20:AO20,"ASA")+COUNTIF('04-26'!G20:AO20,"ASA")+COUNTIF('05-26'!G20:AO20,"ASA")+COUNTIF('06-26'!G20:AO20,"ASA")+COUNTIF('07-26'!F20:AO20,"ASA")+COUNTIF('08-26'!F20:AO20,"ASA")+COUNTIF('09-26'!F20:AO20,"ASA")+COUNTIF('10-26'!F20:AO20,"ASA")+COUNTIF('11-26'!G20:AO20,"ASA")+COUNTIF('12-26'!G20:AO20,"ASA")</f>
        <v>3</v>
      </c>
      <c r="W20" s="5">
        <f>COUNTIF('01-26'!G20:AO20,"FORM")+COUNTIF('02-26'!G20:AO20,"FORM")+COUNTIF('03-26'!G20:AO20,"FORM")+COUNTIF('04-26'!G20:AO20,"FORM")+COUNTIF('05-26'!G20:AO20,"FORM")+COUNTIF('06-26'!G20:AO20,"FORM")+COUNTIF('07-26'!F20:AO20,"FORM")+COUNTIF('08-26'!F20:AO20,"FORM")+COUNTIF('09-26'!F20:AO20,"FORM")+COUNTIF('10-26'!F20:AO20,"FORM")+COUNTIF('11-26'!G20:AO20,"FORM")+COUNTIF('12-26'!G20:AO20,"FORM")</f>
        <v>0</v>
      </c>
      <c r="X20" s="5">
        <f>COUNTIF('01-26'!G20:AO20,"RPM")+COUNTIF('01-26'!G20:AO20,"JPS")+COUNTIF('02-26'!G20:AO20,"RPM")+COUNTIF('02-26'!G20:AO20,"JPS")+COUNTIF('03-26'!G20:AO20,"RPM")+COUNTIF('03-26'!G20:AO20,"JPS")+COUNTIF('04-26'!G20:AO20,"RPM")+COUNTIF('04-26'!G20:AO20,"JPS")+COUNTIF('05-26'!G20:AO20,"RPM")+COUNTIF('05-26'!G20:AO20,"JPS")+COUNTIF('06-26'!G20:AO20,"RPM")+COUNTIF('06-26'!G20:AO20,"JPS")+COUNTIF('07-26'!F20:AO20,"RPM")+COUNTIF('07-26'!F20:AO20,"JPS")+COUNTIF('08-26'!F20:AO20,"RPM")+COUNTIF('08-26'!F20:AO20,"JPS")+COUNTIF('09-26'!F20:AO20,"RPM")+COUNTIF('09-26'!F20:AO20,"JPS")+COUNTIF('10-26'!F20:AO20,"RPM")+COUNTIF('10-26'!F20:AO20,"JPS")+COUNTIF('11-26'!G20:AO20,"RPM")+COUNTIF('11-26'!G20:AO20,"JPS")+COUNTIF('12-26'!G20:AO20,"RPM")+COUNTIF('12-26'!G20:AO20,"JPS")</f>
        <v>0</v>
      </c>
      <c r="Y20" s="393">
        <f t="shared" si="1"/>
        <v>28</v>
      </c>
      <c r="AB20" t="s">
        <v>45</v>
      </c>
      <c r="AC20" t="s">
        <v>47</v>
      </c>
      <c r="AD20">
        <v>23</v>
      </c>
    </row>
    <row r="21" spans="1:30" ht="21.75" customHeight="1">
      <c r="A21" s="390"/>
      <c r="B21" s="2" t="s">
        <v>48</v>
      </c>
      <c r="C21" s="9">
        <f>'01-26'!E41</f>
        <v>16</v>
      </c>
      <c r="D21" s="9">
        <f>'02-26'!E41</f>
        <v>16</v>
      </c>
      <c r="E21" s="9">
        <f>'03-26'!E41</f>
        <v>16</v>
      </c>
      <c r="F21" s="9">
        <f>'04-26'!E41</f>
        <v>16</v>
      </c>
      <c r="G21" s="9">
        <f>'05-26'!E41</f>
        <v>16</v>
      </c>
      <c r="H21" s="9">
        <f>'06-26'!E41</f>
        <v>16</v>
      </c>
      <c r="I21" s="9">
        <f>'07-26'!E41</f>
        <v>16</v>
      </c>
      <c r="J21" s="9">
        <f>'08-26'!E41</f>
        <v>16</v>
      </c>
      <c r="K21" s="9">
        <f>'09-26'!E41</f>
        <v>16</v>
      </c>
      <c r="L21" s="9">
        <f>'10-26'!E41</f>
        <v>16</v>
      </c>
      <c r="M21" s="9">
        <f>'11-26'!E41</f>
        <v>16</v>
      </c>
      <c r="N21" s="9">
        <f>'12-26'!E41</f>
        <v>16</v>
      </c>
      <c r="O21" s="10">
        <f>IFERROR(AVERAGE(C21:N21),0)</f>
        <v>16</v>
      </c>
      <c r="Q21" s="6" t="s">
        <v>42</v>
      </c>
      <c r="R21" s="3">
        <f>COUNTIF('01-26'!G21:AO21,"TP")+COUNTIF('02-26'!F21:AO21,"TP")+COUNTIF('03-26'!F21:AO21,"TP")+COUNTIF('04-26'!F21:AO21,"TP")+COUNTIF('05-26'!F21:AO21,"TP")+COUNTIF('06-26'!F21:AO21,"TP")+COUNTIF('07-26'!G21:AO21,"TP")+COUNTIF('08-26'!F21:AO21,"TP")+COUNTIF('09-26'!F21:AO21,"TP")+COUNTIF('10-26'!F21:AO21,"TP")+COUNTIF('11-26'!F21:AO21,"TP")+COUNTIF('12-26'!G21:AO21,"TP")</f>
        <v>0</v>
      </c>
      <c r="S21" s="3">
        <f>COUNTIF('01-26'!G21:AO21,"CSE")+COUNTIF('01-26'!G21:AO21,"CSE/RPX")+COUNTIF('01-26'!G21:AO21,"RPX")+COUNTIF('02-26'!F21:AO21,"CSE")+COUNTIF('02-26'!F21:AO21,"CSE/RPX")+COUNTIF('02-26'!F21:AO21,"RPX")+COUNTIF('03-26'!F21:AO21,"CSE")+COUNTIF('03-26'!F21:AO21,"CSE/RPX")+COUNTIF('03-26'!F21:AO21,"RPX")+COUNTIF('04-26'!F21:AO21,"CSE")+COUNTIF('04-26'!F21:AO21,"CSE/RPX")+COUNTIF('04-26'!F21:AO21,"RPX")+COUNTIF('05-26'!F21:AO21,"CSE")+COUNTIF('05-26'!F21:AO21,"CSE/RPX")+COUNTIF('05-26'!F21:AO21,"RPX")+COUNTIF('06-26'!F21:AO21,"CSE")+COUNTIF('06-26'!F21:AO21,"CSE/RPX")+COUNTIF('06-26'!F21:AO21,"RPX")+COUNTIF('07-26'!G21:AO21,"CSE")+COUNTIF('07-26'!G21:AO21,"CSE/RPX")+COUNTIF('07-26'!G21:AO21,"RPX")+COUNTIF('08-26'!F21:AO21,"CSE")+COUNTIF('08-26'!F21:AO21,"CSE/RPX")+COUNTIF('08-26'!F21:AO21,"RPX")+COUNTIF('09-26'!F21:AO21,"CSE")+COUNTIF('09-26'!F21:AO21,"CSE/RPX")+COUNTIF('09-26'!F21:AO21,"RPX")+COUNTIF('10-26'!F21:AO21,"CSE")+COUNTIF('10-26'!F21:AO21,"CSE/RPX")+COUNTIF('10-26'!F21:AO21,"RPX")+COUNTIF('11-26'!F21:AO21,"CSE")+COUNTIF('11-26'!F21:AO21,"CSE/RPX")+COUNTIF('11-26'!F21:AO21,"RPX")+COUNTIF('12-26'!G21:AO21,"CSE")+COUNTIF('12-26'!G21:AO21,"CSE/RPX")+COUNTIF('12-26'!G21:AO21,"RPX")</f>
        <v>0</v>
      </c>
      <c r="T21" s="3">
        <f>COUNTIF('01-26'!G21:AO21,"CA/RC")+COUNTIF('01-26'!G21:AO21,"CA")+COUNTIF('02-26'!F21:AO21,"CA/RC")+COUNTIF('02-26'!F21:AO21,"CA")+COUNTIF('03-26'!F21:AO21,"CA/RC")+COUNTIF('03-26'!F21:AO21,"CA")+COUNTIF('04-26'!F21:AO21,"CA/RC")+COUNTIF('04-26'!F21:AO21,"CA")+COUNTIF('05-26'!F21:AO21,"CA/RC")+COUNTIF('05-26'!F21:AO21,"CA")+COUNTIF('06-26'!F21:AO21,"CA/RC")+COUNTIF('06-26'!F21:AO21,"CA")+COUNTIF('07-26'!G21:AO21,"CA/RC")+COUNTIF('07-26'!G21:AO21,"CA")+COUNTIF('08-26'!F21:AO21,"CA/RC")+COUNTIF('08-26'!F21:AO21,"CA")+COUNTIF('09-26'!F21:AO21,"CA/RC")+COUNTIF('09-26'!F21:AO21,"CA")+COUNTIF('10-26'!F21:AO21,"CA/RC")+COUNTIF('10-26'!F21:AO21,"CA")+COUNTIF('11-26'!F21:AO21,"CA/RC")+COUNTIF('11-26'!F21:AO21,"CA")+COUNTIF('12-26'!G21:AO21,"CA/RC")+COUNTIF('12-26'!G21:AO21,"CA")</f>
        <v>25</v>
      </c>
      <c r="U21" s="5">
        <f>COUNTIF('01-26'!G21:AO21,"ATM/ATA")+COUNTIF('01-26'!G21:AO21,"ATM")+COUNTIF('01-26'!G21:AO21,"ATA")+COUNTIF('02-26'!G21:AO21,"ATM/ATA")+COUNTIF('02-26'!G21:AO21,"ATM")+COUNTIF('02-26'!G21:AO21,"ATA")+COUNTIF('03-26'!G21:AO21,"ATM/ATA")+COUNTIF('03-26'!G21:AO21,"ATM")+COUNTIF('03-26'!G21:AO21,"ATA")+COUNTIF('04-26'!G21:AO21,"ATM/ATA")+COUNTIF('04-26'!G21:AO21,"ATM")+COUNTIF('04-26'!G21:AO21,"ATA")+COUNTIF('05-26'!G21:AO21,"ATM/ATA")+COUNTIF('05-26'!G21:AO21,"ATM")+COUNTIF('05-26'!G21:AO21,"ATA")+COUNTIF('06-26'!G21:AO21,"ATM/ATA")+COUNTIF('06-26'!G21:AO21,"ATM")+COUNTIF('06-26'!G21:AO21,"ATA")+COUNTIF('07-26'!F21:AO21,"ATM/ATA")+COUNTIF('07-26'!F21:AO21,"ATM")+COUNTIF('07-26'!F21:AO21,"ATA")+COUNTIF('08-26'!F21:AO21,"ATM/ATA")+COUNTIF('08-26'!F21:AO21,"ATM")+COUNTIF('08-26'!F21:AO21,"ATA")+COUNTIF('09-26'!F21:AO21,"ATM/ATA")+COUNTIF('09-26'!F21:AO21,"ATM")+COUNTIF('09-26'!F21:AO21,"ATA")+COUNTIF('10-26'!F21:AO21,"ATM/ATA")+COUNTIF('10-26'!F21:AO21,"ATM")+COUNTIF('10-26'!F21:AO21,"ATA")+COUNTIF('11-26'!G21:AO21,"ATM/ATA")+COUNTIF('11-26'!G21:AO21,"ATM")+COUNTIF('11-26'!G21:AO21,"ATA")+COUNTIF('12-26'!G21:AO21,"ATM/ATA")+COUNTIF('12-26'!G21:AO21,"ATM")+COUNTIF('12-26'!G21:AO21,"ATA")</f>
        <v>0</v>
      </c>
      <c r="V21" s="5">
        <f>COUNTIF('01-26'!G21:AO21,"ASA")+COUNTIF('02-26'!G21:AO21,"ASA")+COUNTIF('03-26'!G21:AO21,"ASA")+COUNTIF('04-26'!G21:AO21,"ASA")+COUNTIF('05-26'!G21:AO21,"ASA")+COUNTIF('06-26'!G21:AO21,"ASA")+COUNTIF('07-26'!F21:AO21,"ASA")+COUNTIF('08-26'!F21:AO21,"ASA")+COUNTIF('09-26'!F21:AO21,"ASA")+COUNTIF('10-26'!F21:AO21,"ASA")+COUNTIF('11-26'!G21:AO21,"ASA")+COUNTIF('12-26'!G21:AO21,"ASA")</f>
        <v>0</v>
      </c>
      <c r="W21" s="5">
        <f>COUNTIF('01-26'!G21:AO21,"FORM")+COUNTIF('02-26'!G21:AO21,"FORM")+COUNTIF('03-26'!G21:AO21,"FORM")+COUNTIF('04-26'!G21:AO21,"FORM")+COUNTIF('05-26'!G21:AO21,"FORM")+COUNTIF('06-26'!G21:AO21,"FORM")+COUNTIF('07-26'!F21:AO21,"FORM")+COUNTIF('08-26'!F21:AO21,"FORM")+COUNTIF('09-26'!F21:AO21,"FORM")+COUNTIF('10-26'!F21:AO21,"FORM")+COUNTIF('11-26'!G21:AO21,"FORM")+COUNTIF('12-26'!G21:AO21,"FORM")</f>
        <v>2</v>
      </c>
      <c r="X21" s="5">
        <f>COUNTIF('01-26'!G21:AO21,"RPM")+COUNTIF('01-26'!G21:AO21,"JPS")+COUNTIF('02-26'!G21:AO21,"RPM")+COUNTIF('02-26'!G21:AO21,"JPS")+COUNTIF('03-26'!G21:AO21,"RPM")+COUNTIF('03-26'!G21:AO21,"JPS")+COUNTIF('04-26'!G21:AO21,"RPM")+COUNTIF('04-26'!G21:AO21,"JPS")+COUNTIF('05-26'!G21:AO21,"RPM")+COUNTIF('05-26'!G21:AO21,"JPS")+COUNTIF('06-26'!G21:AO21,"RPM")+COUNTIF('06-26'!G21:AO21,"JPS")+COUNTIF('07-26'!F21:AO21,"RPM")+COUNTIF('07-26'!F21:AO21,"JPS")+COUNTIF('08-26'!F21:AO21,"RPM")+COUNTIF('08-26'!F21:AO21,"JPS")+COUNTIF('09-26'!F21:AO21,"RPM")+COUNTIF('09-26'!F21:AO21,"JPS")+COUNTIF('10-26'!F21:AO21,"RPM")+COUNTIF('10-26'!F21:AO21,"JPS")+COUNTIF('11-26'!G21:AO21,"RPM")+COUNTIF('11-26'!G21:AO21,"JPS")+COUNTIF('12-26'!G21:AO21,"RPM")+COUNTIF('12-26'!G21:AO21,"JPS")</f>
        <v>0</v>
      </c>
      <c r="Y21" s="393">
        <f t="shared" si="1"/>
        <v>27</v>
      </c>
      <c r="AB21" t="s">
        <v>47</v>
      </c>
      <c r="AC21" t="s">
        <v>49</v>
      </c>
      <c r="AD21">
        <v>24</v>
      </c>
    </row>
    <row r="22" spans="1:30" ht="21.75" customHeight="1">
      <c r="A22" s="390"/>
      <c r="B22" s="11" t="s">
        <v>50</v>
      </c>
      <c r="C22" s="9">
        <f>'01-26'!E42</f>
        <v>-0.15</v>
      </c>
      <c r="D22" s="9">
        <f>'02-26'!E42</f>
        <v>-0.4</v>
      </c>
      <c r="E22" s="9">
        <f>'03-26'!E42</f>
        <v>0.55000000000000004</v>
      </c>
      <c r="F22" s="9">
        <f>'04-26'!E42</f>
        <v>4.1666666666666664E-2</v>
      </c>
      <c r="G22" s="9">
        <f>'05-26'!E42</f>
        <v>1.6470588235294117</v>
      </c>
      <c r="H22" s="9">
        <f>'06-26'!E42</f>
        <v>1.55</v>
      </c>
      <c r="I22" s="9">
        <f>'07-26'!E42</f>
        <v>0.33333333333333331</v>
      </c>
      <c r="J22" s="9">
        <f>'08-26'!E42</f>
        <v>0.75</v>
      </c>
      <c r="K22" s="9">
        <f>'09-26'!E42</f>
        <v>-0.12</v>
      </c>
      <c r="L22" s="9">
        <f>'10-26'!E42</f>
        <v>1.85</v>
      </c>
      <c r="M22" s="9">
        <f>'11-26'!E42</f>
        <v>2.0499999999999998</v>
      </c>
      <c r="N22" s="9">
        <f>'12-26'!E42</f>
        <v>1.3478260869565217</v>
      </c>
      <c r="O22" s="10">
        <f>IFERROR(AVERAGE(C22:N22),0)</f>
        <v>0.78749040920716107</v>
      </c>
      <c r="Q22" s="2" t="s">
        <v>45</v>
      </c>
      <c r="R22" s="3">
        <f>COUNTIF('01-26'!G22:AO22,"TP")+COUNTIF('02-26'!F22:AO22,"TP")+COUNTIF('03-26'!F22:AO22,"TP")+COUNTIF('04-26'!F22:AO22,"TP")+COUNTIF('05-26'!F22:AO22,"TP")+COUNTIF('06-26'!F22:AO22,"TP")+COUNTIF('07-26'!G22:AO22,"TP")+COUNTIF('08-26'!F22:AO22,"TP")+COUNTIF('09-26'!F22:AO22,"TP")+COUNTIF('10-26'!F22:AO22,"TP")+COUNTIF('11-26'!F22:AO22,"TP")+COUNTIF('12-26'!G22:AO22,"TP")</f>
        <v>0</v>
      </c>
      <c r="S22" s="3">
        <f>COUNTIF('01-26'!G22:AO22,"CSE")+COUNTIF('01-26'!G22:AO22,"CSE/RPX")+COUNTIF('01-26'!G22:AO22,"RPX")+COUNTIF('02-26'!F22:AO22,"CSE")+COUNTIF('02-26'!F22:AO22,"CSE/RPX")+COUNTIF('02-26'!F22:AO22,"RPX")+COUNTIF('03-26'!F22:AO22,"CSE")+COUNTIF('03-26'!F22:AO22,"CSE/RPX")+COUNTIF('03-26'!F22:AO22,"RPX")+COUNTIF('04-26'!F22:AO22,"CSE")+COUNTIF('04-26'!F22:AO22,"CSE/RPX")+COUNTIF('04-26'!F22:AO22,"RPX")+COUNTIF('05-26'!F22:AO22,"CSE")+COUNTIF('05-26'!F22:AO22,"CSE/RPX")+COUNTIF('05-26'!F22:AO22,"RPX")+COUNTIF('06-26'!F22:AO22,"CSE")+COUNTIF('06-26'!F22:AO22,"CSE/RPX")+COUNTIF('06-26'!F22:AO22,"RPX")+COUNTIF('07-26'!G22:AO22,"CSE")+COUNTIF('07-26'!G22:AO22,"CSE/RPX")+COUNTIF('07-26'!G22:AO22,"RPX")+COUNTIF('08-26'!F22:AO22,"CSE")+COUNTIF('08-26'!F22:AO22,"CSE/RPX")+COUNTIF('08-26'!F22:AO22,"RPX")+COUNTIF('09-26'!F22:AO22,"CSE")+COUNTIF('09-26'!F22:AO22,"CSE/RPX")+COUNTIF('09-26'!F22:AO22,"RPX")+COUNTIF('10-26'!F22:AO22,"CSE")+COUNTIF('10-26'!F22:AO22,"CSE/RPX")+COUNTIF('10-26'!F22:AO22,"RPX")+COUNTIF('11-26'!F22:AO22,"CSE")+COUNTIF('11-26'!F22:AO22,"CSE/RPX")+COUNTIF('11-26'!F22:AO22,"RPX")+COUNTIF('12-26'!G22:AO22,"CSE")+COUNTIF('12-26'!G22:AO22,"CSE/RPX")+COUNTIF('12-26'!G22:AO22,"RPX")</f>
        <v>0</v>
      </c>
      <c r="T22" s="3">
        <f>COUNTIF('01-26'!G22:AO22,"CA/RC")+COUNTIF('01-26'!G22:AO22,"CA")+COUNTIF('02-26'!F22:AO22,"CA/RC")+COUNTIF('02-26'!F22:AO22,"CA")+COUNTIF('03-26'!F22:AO22,"CA/RC")+COUNTIF('03-26'!F22:AO22,"CA")+COUNTIF('04-26'!F22:AO22,"CA/RC")+COUNTIF('04-26'!F22:AO22,"CA")+COUNTIF('05-26'!F22:AO22,"CA/RC")+COUNTIF('05-26'!F22:AO22,"CA")+COUNTIF('06-26'!F22:AO22,"CA/RC")+COUNTIF('06-26'!F22:AO22,"CA")+COUNTIF('07-26'!G22:AO22,"CA/RC")+COUNTIF('07-26'!G22:AO22,"CA")+COUNTIF('08-26'!F22:AO22,"CA/RC")+COUNTIF('08-26'!F22:AO22,"CA")+COUNTIF('09-26'!F22:AO22,"CA/RC")+COUNTIF('09-26'!F22:AO22,"CA")+COUNTIF('10-26'!F22:AO22,"CA/RC")+COUNTIF('10-26'!F22:AO22,"CA")+COUNTIF('11-26'!F22:AO22,"CA/RC")+COUNTIF('11-26'!F22:AO22,"CA")+COUNTIF('12-26'!G22:AO22,"CA/RC")+COUNTIF('12-26'!G22:AO22,"CA")</f>
        <v>21</v>
      </c>
      <c r="U22" s="5">
        <f>COUNTIF('01-26'!G22:AO22,"ATM/ATA")+COUNTIF('01-26'!G22:AO22,"ATM")+COUNTIF('01-26'!G22:AO22,"ATA")+COUNTIF('02-26'!G22:AO22,"ATM/ATA")+COUNTIF('02-26'!G22:AO22,"ATM")+COUNTIF('02-26'!G22:AO22,"ATA")+COUNTIF('03-26'!G22:AO22,"ATM/ATA")+COUNTIF('03-26'!G22:AO22,"ATM")+COUNTIF('03-26'!G22:AO22,"ATA")+COUNTIF('04-26'!G22:AO22,"ATM/ATA")+COUNTIF('04-26'!G22:AO22,"ATM")+COUNTIF('04-26'!G22:AO22,"ATA")+COUNTIF('05-26'!G22:AO22,"ATM/ATA")+COUNTIF('05-26'!G22:AO22,"ATM")+COUNTIF('05-26'!G22:AO22,"ATA")+COUNTIF('06-26'!G22:AO22,"ATM/ATA")+COUNTIF('06-26'!G22:AO22,"ATM")+COUNTIF('06-26'!G22:AO22,"ATA")+COUNTIF('07-26'!F22:AO22,"ATM/ATA")+COUNTIF('07-26'!F22:AO22,"ATM")+COUNTIF('07-26'!F22:AO22,"ATA")+COUNTIF('08-26'!F22:AO22,"ATM/ATA")+COUNTIF('08-26'!F22:AO22,"ATM")+COUNTIF('08-26'!F22:AO22,"ATA")+COUNTIF('09-26'!F22:AO22,"ATM/ATA")+COUNTIF('09-26'!F22:AO22,"ATM")+COUNTIF('09-26'!F22:AO22,"ATA")+COUNTIF('10-26'!F22:AO22,"ATM/ATA")+COUNTIF('10-26'!F22:AO22,"ATM")+COUNTIF('10-26'!F22:AO22,"ATA")+COUNTIF('11-26'!G22:AO22,"ATM/ATA")+COUNTIF('11-26'!G22:AO22,"ATM")+COUNTIF('11-26'!G22:AO22,"ATA")+COUNTIF('12-26'!G22:AO22,"ATM/ATA")+COUNTIF('12-26'!G22:AO22,"ATM")+COUNTIF('12-26'!G22:AO22,"ATA")</f>
        <v>0</v>
      </c>
      <c r="V22" s="5">
        <f>COUNTIF('01-26'!G22:AO22,"ASA")+COUNTIF('02-26'!G22:AO22,"ASA")+COUNTIF('03-26'!G22:AO22,"ASA")+COUNTIF('04-26'!G22:AO22,"ASA")+COUNTIF('05-26'!G22:AO22,"ASA")+COUNTIF('06-26'!G22:AO22,"ASA")+COUNTIF('07-26'!F22:AO22,"ASA")+COUNTIF('08-26'!F22:AO22,"ASA")+COUNTIF('09-26'!F22:AO22,"ASA")+COUNTIF('10-26'!F22:AO22,"ASA")+COUNTIF('11-26'!G22:AO22,"ASA")+COUNTIF('12-26'!G22:AO22,"ASA")</f>
        <v>0</v>
      </c>
      <c r="W22" s="5">
        <f>COUNTIF('01-26'!G22:AO22,"FORM")+COUNTIF('02-26'!G22:AO22,"FORM")+COUNTIF('03-26'!G22:AO22,"FORM")+COUNTIF('04-26'!G22:AO22,"FORM")+COUNTIF('05-26'!G22:AO22,"FORM")+COUNTIF('06-26'!G22:AO22,"FORM")+COUNTIF('07-26'!F22:AO22,"FORM")+COUNTIF('08-26'!F22:AO22,"FORM")+COUNTIF('09-26'!F22:AO22,"FORM")+COUNTIF('10-26'!F22:AO22,"FORM")+COUNTIF('11-26'!G22:AO22,"FORM")+COUNTIF('12-26'!G22:AO22,"FORM")</f>
        <v>0</v>
      </c>
      <c r="X22" s="5">
        <f>COUNTIF('01-26'!G22:AO22,"RPM")+COUNTIF('01-26'!G22:AO22,"JPS")+COUNTIF('02-26'!G22:AO22,"RPM")+COUNTIF('02-26'!G22:AO22,"JPS")+COUNTIF('03-26'!G22:AO22,"RPM")+COUNTIF('03-26'!G22:AO22,"JPS")+COUNTIF('04-26'!G22:AO22,"RPM")+COUNTIF('04-26'!G22:AO22,"JPS")+COUNTIF('05-26'!G22:AO22,"RPM")+COUNTIF('05-26'!G22:AO22,"JPS")+COUNTIF('06-26'!G22:AO22,"RPM")+COUNTIF('06-26'!G22:AO22,"JPS")+COUNTIF('07-26'!F22:AO22,"RPM")+COUNTIF('07-26'!F22:AO22,"JPS")+COUNTIF('08-26'!F22:AO22,"RPM")+COUNTIF('08-26'!F22:AO22,"JPS")+COUNTIF('09-26'!F22:AO22,"RPM")+COUNTIF('09-26'!F22:AO22,"JPS")+COUNTIF('10-26'!F22:AO22,"RPM")+COUNTIF('10-26'!F22:AO22,"JPS")+COUNTIF('11-26'!G22:AO22,"RPM")+COUNTIF('11-26'!G22:AO22,"JPS")+COUNTIF('12-26'!G22:AO22,"RPM")+COUNTIF('12-26'!G22:AO22,"JPS")</f>
        <v>0</v>
      </c>
      <c r="Y22" s="393">
        <f t="shared" si="1"/>
        <v>21</v>
      </c>
      <c r="AB22" t="s">
        <v>49</v>
      </c>
      <c r="AC22" t="s">
        <v>51</v>
      </c>
      <c r="AD22">
        <v>25</v>
      </c>
    </row>
    <row r="23" spans="1:30" ht="19.5" customHeight="1">
      <c r="A23" s="390"/>
      <c r="Q23" s="6" t="s">
        <v>47</v>
      </c>
      <c r="R23" s="3">
        <f>COUNTIF('01-26'!G23:AO23,"TP")+COUNTIF('02-26'!F23:AO23,"TP")+COUNTIF('03-26'!F23:AO23,"TP")+COUNTIF('04-26'!F23:AO23,"TP")+COUNTIF('05-26'!F23:AO23,"TP")+COUNTIF('06-26'!F23:AO23,"TP")+COUNTIF('07-26'!G23:AO23,"TP")+COUNTIF('08-26'!F23:AO23,"TP")+COUNTIF('09-26'!F23:AO23,"TP")+COUNTIF('10-26'!F23:AO23,"TP")+COUNTIF('11-26'!F23:AO23,"TP")+COUNTIF('12-26'!G23:AO23,"TP")</f>
        <v>0</v>
      </c>
      <c r="S23" s="3">
        <f>COUNTIF('01-26'!G23:AO23,"CSE")+COUNTIF('01-26'!G23:AO23,"CSE/RPX")+COUNTIF('01-26'!G23:AO23,"RPX")+COUNTIF('02-26'!F23:AO23,"CSE")+COUNTIF('02-26'!F23:AO23,"CSE/RPX")+COUNTIF('02-26'!F23:AO23,"RPX")+COUNTIF('03-26'!F23:AO23,"CSE")+COUNTIF('03-26'!F23:AO23,"CSE/RPX")+COUNTIF('03-26'!F23:AO23,"RPX")+COUNTIF('04-26'!F23:AO23,"CSE")+COUNTIF('04-26'!F23:AO23,"CSE/RPX")+COUNTIF('04-26'!F23:AO23,"RPX")+COUNTIF('05-26'!F23:AO23,"CSE")+COUNTIF('05-26'!F23:AO23,"CSE/RPX")+COUNTIF('05-26'!F23:AO23,"RPX")+COUNTIF('06-26'!F23:AO23,"CSE")+COUNTIF('06-26'!F23:AO23,"CSE/RPX")+COUNTIF('06-26'!F23:AO23,"RPX")+COUNTIF('07-26'!G23:AO23,"CSE")+COUNTIF('07-26'!G23:AO23,"CSE/RPX")+COUNTIF('07-26'!G23:AO23,"RPX")+COUNTIF('08-26'!F23:AO23,"CSE")+COUNTIF('08-26'!F23:AO23,"CSE/RPX")+COUNTIF('08-26'!F23:AO23,"RPX")+COUNTIF('09-26'!F23:AO23,"CSE")+COUNTIF('09-26'!F23:AO23,"CSE/RPX")+COUNTIF('09-26'!F23:AO23,"RPX")+COUNTIF('10-26'!F23:AO23,"CSE")+COUNTIF('10-26'!F23:AO23,"CSE/RPX")+COUNTIF('10-26'!F23:AO23,"RPX")+COUNTIF('11-26'!F23:AO23,"CSE")+COUNTIF('11-26'!F23:AO23,"CSE/RPX")+COUNTIF('11-26'!F23:AO23,"RPX")+COUNTIF('12-26'!G23:AO23,"CSE")+COUNTIF('12-26'!G23:AO23,"CSE/RPX")+COUNTIF('12-26'!G23:AO23,"RPX")</f>
        <v>0</v>
      </c>
      <c r="T23" s="3">
        <f>COUNTIF('01-26'!G23:AO23,"CA/RC")+COUNTIF('01-26'!G23:AO23,"CA")+COUNTIF('02-26'!F23:AO23,"CA/RC")+COUNTIF('02-26'!F23:AO23,"CA")+COUNTIF('03-26'!F23:AO23,"CA/RC")+COUNTIF('03-26'!F23:AO23,"CA")+COUNTIF('04-26'!F23:AO23,"CA/RC")+COUNTIF('04-26'!F23:AO23,"CA")+COUNTIF('05-26'!F23:AO23,"CA/RC")+COUNTIF('05-26'!F23:AO23,"CA")+COUNTIF('06-26'!F23:AO23,"CA/RC")+COUNTIF('06-26'!F23:AO23,"CA")+COUNTIF('07-26'!G23:AO23,"CA/RC")+COUNTIF('07-26'!G23:AO23,"CA")+COUNTIF('08-26'!F23:AO23,"CA/RC")+COUNTIF('08-26'!F23:AO23,"CA")+COUNTIF('09-26'!F23:AO23,"CA/RC")+COUNTIF('09-26'!F23:AO23,"CA")+COUNTIF('10-26'!F23:AO23,"CA/RC")+COUNTIF('10-26'!F23:AO23,"CA")+COUNTIF('11-26'!F23:AO23,"CA/RC")+COUNTIF('11-26'!F23:AO23,"CA")+COUNTIF('12-26'!G23:AO23,"CA/RC")+COUNTIF('12-26'!G23:AO23,"CA")</f>
        <v>26</v>
      </c>
      <c r="U23" s="5">
        <f>COUNTIF('01-26'!G23:AO23,"ATM/ATA")+COUNTIF('01-26'!G23:AO23,"ATM")+COUNTIF('01-26'!G23:AO23,"ATA")+COUNTIF('02-26'!G23:AO23,"ATM/ATA")+COUNTIF('02-26'!G23:AO23,"ATM")+COUNTIF('02-26'!G23:AO23,"ATA")+COUNTIF('03-26'!G23:AO23,"ATM/ATA")+COUNTIF('03-26'!G23:AO23,"ATM")+COUNTIF('03-26'!G23:AO23,"ATA")+COUNTIF('04-26'!G23:AO23,"ATM/ATA")+COUNTIF('04-26'!G23:AO23,"ATM")+COUNTIF('04-26'!G23:AO23,"ATA")+COUNTIF('05-26'!G23:AO23,"ATM/ATA")+COUNTIF('05-26'!G23:AO23,"ATM")+COUNTIF('05-26'!G23:AO23,"ATA")+COUNTIF('06-26'!G23:AO23,"ATM/ATA")+COUNTIF('06-26'!G23:AO23,"ATM")+COUNTIF('06-26'!G23:AO23,"ATA")+COUNTIF('07-26'!F23:AO23,"ATM/ATA")+COUNTIF('07-26'!F23:AO23,"ATM")+COUNTIF('07-26'!F23:AO23,"ATA")+COUNTIF('08-26'!F23:AO23,"ATM/ATA")+COUNTIF('08-26'!F23:AO23,"ATM")+COUNTIF('08-26'!F23:AO23,"ATA")+COUNTIF('09-26'!F23:AO23,"ATM/ATA")+COUNTIF('09-26'!F23:AO23,"ATM")+COUNTIF('09-26'!F23:AO23,"ATA")+COUNTIF('10-26'!F23:AO23,"ATM/ATA")+COUNTIF('10-26'!F23:AO23,"ATM")+COUNTIF('10-26'!F23:AO23,"ATA")+COUNTIF('11-26'!G23:AO23,"ATM/ATA")+COUNTIF('11-26'!G23:AO23,"ATM")+COUNTIF('11-26'!G23:AO23,"ATA")+COUNTIF('12-26'!G23:AO23,"ATM/ATA")+COUNTIF('12-26'!G23:AO23,"ATM")+COUNTIF('12-26'!G23:AO23,"ATA")</f>
        <v>0</v>
      </c>
      <c r="V23" s="5">
        <f>COUNTIF('01-26'!G23:AO23,"ASA")+COUNTIF('02-26'!G23:AO23,"ASA")+COUNTIF('03-26'!G23:AO23,"ASA")+COUNTIF('04-26'!G23:AO23,"ASA")+COUNTIF('05-26'!G23:AO23,"ASA")+COUNTIF('06-26'!G23:AO23,"ASA")+COUNTIF('07-26'!F23:AO23,"ASA")+COUNTIF('08-26'!F23:AO23,"ASA")+COUNTIF('09-26'!F23:AO23,"ASA")+COUNTIF('10-26'!F23:AO23,"ASA")+COUNTIF('11-26'!G23:AO23,"ASA")+COUNTIF('12-26'!G23:AO23,"ASA")</f>
        <v>5</v>
      </c>
      <c r="W23" s="5">
        <f>COUNTIF('01-26'!G23:AO23,"FORM")+COUNTIF('02-26'!G23:AO23,"FORM")+COUNTIF('03-26'!G23:AO23,"FORM")+COUNTIF('04-26'!G23:AO23,"FORM")+COUNTIF('05-26'!G23:AO23,"FORM")+COUNTIF('06-26'!G23:AO23,"FORM")+COUNTIF('07-26'!F23:AO23,"FORM")+COUNTIF('08-26'!F23:AO23,"FORM")+COUNTIF('09-26'!F23:AO23,"FORM")+COUNTIF('10-26'!F23:AO23,"FORM")+COUNTIF('11-26'!G23:AO23,"FORM")+COUNTIF('12-26'!G23:AO23,"FORM")</f>
        <v>0</v>
      </c>
      <c r="X23" s="5">
        <f>COUNTIF('01-26'!G23:AO23,"RPM")+COUNTIF('01-26'!G23:AO23,"JPS")+COUNTIF('02-26'!G23:AO23,"RPM")+COUNTIF('02-26'!G23:AO23,"JPS")+COUNTIF('03-26'!G23:AO23,"RPM")+COUNTIF('03-26'!G23:AO23,"JPS")+COUNTIF('04-26'!G23:AO23,"RPM")+COUNTIF('04-26'!G23:AO23,"JPS")+COUNTIF('05-26'!G23:AO23,"RPM")+COUNTIF('05-26'!G23:AO23,"JPS")+COUNTIF('06-26'!G23:AO23,"RPM")+COUNTIF('06-26'!G23:AO23,"JPS")+COUNTIF('07-26'!F23:AO23,"RPM")+COUNTIF('07-26'!F23:AO23,"JPS")+COUNTIF('08-26'!F23:AO23,"RPM")+COUNTIF('08-26'!F23:AO23,"JPS")+COUNTIF('09-26'!F23:AO23,"RPM")+COUNTIF('09-26'!F23:AO23,"JPS")+COUNTIF('10-26'!F23:AO23,"RPM")+COUNTIF('10-26'!F23:AO23,"JPS")+COUNTIF('11-26'!G23:AO23,"RPM")+COUNTIF('11-26'!G23:AO23,"JPS")+COUNTIF('12-26'!G23:AO23,"RPM")+COUNTIF('12-26'!G23:AO23,"JPS")</f>
        <v>0</v>
      </c>
      <c r="Y23" s="393">
        <f t="shared" si="1"/>
        <v>31</v>
      </c>
      <c r="AB23" t="s">
        <v>51</v>
      </c>
      <c r="AC23" t="s">
        <v>52</v>
      </c>
      <c r="AD23">
        <v>26</v>
      </c>
    </row>
    <row r="24" spans="1:30" ht="19.5" customHeight="1">
      <c r="A24" s="390"/>
      <c r="Q24" s="2" t="s">
        <v>49</v>
      </c>
      <c r="R24" s="3">
        <f>COUNTIF('01-26'!G24:AO24,"TP")+COUNTIF('02-26'!F24:AO24,"TP")+COUNTIF('03-26'!F24:AO24,"TP")+COUNTIF('04-26'!F24:AO24,"TP")+COUNTIF('05-26'!F24:AO24,"TP")+COUNTIF('06-26'!F24:AO24,"TP")+COUNTIF('07-26'!G24:AO24,"TP")+COUNTIF('08-26'!F24:AO24,"TP")+COUNTIF('09-26'!F24:AO24,"TP")+COUNTIF('10-26'!F24:AO24,"TP")+COUNTIF('11-26'!F24:AO24,"TP")+COUNTIF('12-26'!G24:AO24,"TP")</f>
        <v>0</v>
      </c>
      <c r="S24" s="3">
        <f>COUNTIF('01-26'!G24:AO24,"CSE")+COUNTIF('01-26'!G24:AO24,"CSE/RPX")+COUNTIF('01-26'!G24:AO24,"RPX")+COUNTIF('02-26'!F24:AO24,"CSE")+COUNTIF('02-26'!F24:AO24,"CSE/RPX")+COUNTIF('02-26'!F24:AO24,"RPX")+COUNTIF('03-26'!F24:AO24,"CSE")+COUNTIF('03-26'!F24:AO24,"CSE/RPX")+COUNTIF('03-26'!F24:AO24,"RPX")+COUNTIF('04-26'!F24:AO24,"CSE")+COUNTIF('04-26'!F24:AO24,"CSE/RPX")+COUNTIF('04-26'!F24:AO24,"RPX")+COUNTIF('05-26'!F24:AO24,"CSE")+COUNTIF('05-26'!F24:AO24,"CSE/RPX")+COUNTIF('05-26'!F24:AO24,"RPX")+COUNTIF('06-26'!F24:AO24,"CSE")+COUNTIF('06-26'!F24:AO24,"CSE/RPX")+COUNTIF('06-26'!F24:AO24,"RPX")+COUNTIF('07-26'!G24:AO24,"CSE")+COUNTIF('07-26'!G24:AO24,"CSE/RPX")+COUNTIF('07-26'!G24:AO24,"RPX")+COUNTIF('08-26'!F24:AO24,"CSE")+COUNTIF('08-26'!F24:AO24,"CSE/RPX")+COUNTIF('08-26'!F24:AO24,"RPX")+COUNTIF('09-26'!F24:AO24,"CSE")+COUNTIF('09-26'!F24:AO24,"CSE/RPX")+COUNTIF('09-26'!F24:AO24,"RPX")+COUNTIF('10-26'!F24:AO24,"CSE")+COUNTIF('10-26'!F24:AO24,"CSE/RPX")+COUNTIF('10-26'!F24:AO24,"RPX")+COUNTIF('11-26'!F24:AO24,"CSE")+COUNTIF('11-26'!F24:AO24,"CSE/RPX")+COUNTIF('11-26'!F24:AO24,"RPX")+COUNTIF('12-26'!G24:AO24,"CSE")+COUNTIF('12-26'!G24:AO24,"CSE/RPX")+COUNTIF('12-26'!G24:AO24,"RPX")</f>
        <v>0</v>
      </c>
      <c r="T24" s="3">
        <f>COUNTIF('01-26'!G24:AO24,"CA/RC")+COUNTIF('01-26'!G24:AO24,"CA")+COUNTIF('02-26'!F24:AO24,"CA/RC")+COUNTIF('02-26'!F24:AO24,"CA")+COUNTIF('03-26'!F24:AO24,"CA/RC")+COUNTIF('03-26'!F24:AO24,"CA")+COUNTIF('04-26'!F24:AO24,"CA/RC")+COUNTIF('04-26'!F24:AO24,"CA")+COUNTIF('05-26'!F24:AO24,"CA/RC")+COUNTIF('05-26'!F24:AO24,"CA")+COUNTIF('06-26'!F24:AO24,"CA/RC")+COUNTIF('06-26'!F24:AO24,"CA")+COUNTIF('07-26'!G24:AO24,"CA/RC")+COUNTIF('07-26'!G24:AO24,"CA")+COUNTIF('08-26'!F24:AO24,"CA/RC")+COUNTIF('08-26'!F24:AO24,"CA")+COUNTIF('09-26'!F24:AO24,"CA/RC")+COUNTIF('09-26'!F24:AO24,"CA")+COUNTIF('10-26'!F24:AO24,"CA/RC")+COUNTIF('10-26'!F24:AO24,"CA")+COUNTIF('11-26'!F24:AO24,"CA/RC")+COUNTIF('11-26'!F24:AO24,"CA")+COUNTIF('12-26'!G24:AO24,"CA/RC")+COUNTIF('12-26'!G24:AO24,"CA")</f>
        <v>29</v>
      </c>
      <c r="U24" s="5">
        <f>COUNTIF('01-26'!G24:AO24,"ATM/ATA")+COUNTIF('01-26'!G24:AO24,"ATM")+COUNTIF('01-26'!G24:AO24,"ATA")+COUNTIF('02-26'!G24:AO24,"ATM/ATA")+COUNTIF('02-26'!G24:AO24,"ATM")+COUNTIF('02-26'!G24:AO24,"ATA")+COUNTIF('03-26'!G24:AO24,"ATM/ATA")+COUNTIF('03-26'!G24:AO24,"ATM")+COUNTIF('03-26'!G24:AO24,"ATA")+COUNTIF('04-26'!G24:AO24,"ATM/ATA")+COUNTIF('04-26'!G24:AO24,"ATM")+COUNTIF('04-26'!G24:AO24,"ATA")+COUNTIF('05-26'!G24:AO24,"ATM/ATA")+COUNTIF('05-26'!G24:AO24,"ATM")+COUNTIF('05-26'!G24:AO24,"ATA")+COUNTIF('06-26'!G24:AO24,"ATM/ATA")+COUNTIF('06-26'!G24:AO24,"ATM")+COUNTIF('06-26'!G24:AO24,"ATA")+COUNTIF('07-26'!F24:AO24,"ATM/ATA")+COUNTIF('07-26'!F24:AO24,"ATM")+COUNTIF('07-26'!F24:AO24,"ATA")+COUNTIF('08-26'!F24:AO24,"ATM/ATA")+COUNTIF('08-26'!F24:AO24,"ATM")+COUNTIF('08-26'!F24:AO24,"ATA")+COUNTIF('09-26'!F24:AO24,"ATM/ATA")+COUNTIF('09-26'!F24:AO24,"ATM")+COUNTIF('09-26'!F24:AO24,"ATA")+COUNTIF('10-26'!F24:AO24,"ATM/ATA")+COUNTIF('10-26'!F24:AO24,"ATM")+COUNTIF('10-26'!F24:AO24,"ATA")+COUNTIF('11-26'!G24:AO24,"ATM/ATA")+COUNTIF('11-26'!G24:AO24,"ATM")+COUNTIF('11-26'!G24:AO24,"ATA")+COUNTIF('12-26'!G24:AO24,"ATM/ATA")+COUNTIF('12-26'!G24:AO24,"ATM")+COUNTIF('12-26'!G24:AO24,"ATA")</f>
        <v>0</v>
      </c>
      <c r="V24" s="5">
        <f>COUNTIF('01-26'!G24:AO24,"ASA")+COUNTIF('02-26'!G24:AO24,"ASA")+COUNTIF('03-26'!G24:AO24,"ASA")+COUNTIF('04-26'!G24:AO24,"ASA")+COUNTIF('05-26'!G24:AO24,"ASA")+COUNTIF('06-26'!G24:AO24,"ASA")+COUNTIF('07-26'!F24:AO24,"ASA")+COUNTIF('08-26'!F24:AO24,"ASA")+COUNTIF('09-26'!F24:AO24,"ASA")+COUNTIF('10-26'!F24:AO24,"ASA")+COUNTIF('11-26'!G24:AO24,"ASA")+COUNTIF('12-26'!G24:AO24,"ASA")</f>
        <v>0</v>
      </c>
      <c r="W24" s="5">
        <f>COUNTIF('01-26'!G24:AO24,"FORM")+COUNTIF('02-26'!G24:AO24,"FORM")+COUNTIF('03-26'!G24:AO24,"FORM")+COUNTIF('04-26'!G24:AO24,"FORM")+COUNTIF('05-26'!G24:AO24,"FORM")+COUNTIF('06-26'!G24:AO24,"FORM")+COUNTIF('07-26'!F24:AO24,"FORM")+COUNTIF('08-26'!F24:AO24,"FORM")+COUNTIF('09-26'!F24:AO24,"FORM")+COUNTIF('10-26'!F24:AO24,"FORM")+COUNTIF('11-26'!G24:AO24,"FORM")+COUNTIF('12-26'!G24:AO24,"FORM")</f>
        <v>0</v>
      </c>
      <c r="X24" s="5">
        <f>COUNTIF('01-26'!G24:AO24,"RPM")+COUNTIF('01-26'!G24:AO24,"JPS")+COUNTIF('02-26'!G24:AO24,"RPM")+COUNTIF('02-26'!G24:AO24,"JPS")+COUNTIF('03-26'!G24:AO24,"RPM")+COUNTIF('03-26'!G24:AO24,"JPS")+COUNTIF('04-26'!G24:AO24,"RPM")+COUNTIF('04-26'!G24:AO24,"JPS")+COUNTIF('05-26'!G24:AO24,"RPM")+COUNTIF('05-26'!G24:AO24,"JPS")+COUNTIF('06-26'!G24:AO24,"RPM")+COUNTIF('06-26'!G24:AO24,"JPS")+COUNTIF('07-26'!F24:AO24,"RPM")+COUNTIF('07-26'!F24:AO24,"JPS")+COUNTIF('08-26'!F24:AO24,"RPM")+COUNTIF('08-26'!F24:AO24,"JPS")+COUNTIF('09-26'!F24:AO24,"RPM")+COUNTIF('09-26'!F24:AO24,"JPS")+COUNTIF('10-26'!F24:AO24,"RPM")+COUNTIF('10-26'!F24:AO24,"JPS")+COUNTIF('11-26'!G24:AO24,"RPM")+COUNTIF('11-26'!G24:AO24,"JPS")+COUNTIF('12-26'!G24:AO24,"RPM")+COUNTIF('12-26'!G24:AO24,"JPS")</f>
        <v>3</v>
      </c>
      <c r="Y24" s="393">
        <f t="shared" si="1"/>
        <v>32</v>
      </c>
      <c r="AB24" t="s">
        <v>52</v>
      </c>
      <c r="AC24" t="s">
        <v>53</v>
      </c>
      <c r="AD24">
        <v>27</v>
      </c>
    </row>
    <row r="25" spans="1:30" ht="19.5" customHeight="1">
      <c r="A25" s="390"/>
      <c r="Q25" s="6" t="s">
        <v>51</v>
      </c>
      <c r="R25" s="3">
        <f>COUNTIF('01-26'!G25:AO25,"TP")+COUNTIF('02-26'!F25:AO25,"TP")+COUNTIF('03-26'!F25:AO25,"TP")+COUNTIF('04-26'!F25:AO25,"TP")+COUNTIF('05-26'!F25:AO25,"TP")+COUNTIF('06-26'!F25:AO25,"TP")+COUNTIF('07-26'!G25:AO25,"TP")+COUNTIF('08-26'!F25:AO25,"TP")+COUNTIF('09-26'!F25:AO25,"TP")+COUNTIF('10-26'!F25:AO25,"TP")+COUNTIF('11-26'!F25:AO25,"TP")+COUNTIF('12-26'!G25:AO25,"TP")</f>
        <v>0</v>
      </c>
      <c r="S25" s="3">
        <f>COUNTIF('01-26'!G25:AO25,"CSE")+COUNTIF('01-26'!G25:AO25,"CSE/RPX")+COUNTIF('01-26'!G25:AO25,"RPX")+COUNTIF('02-26'!F25:AO25,"CSE")+COUNTIF('02-26'!F25:AO25,"CSE/RPX")+COUNTIF('02-26'!F25:AO25,"RPX")+COUNTIF('03-26'!F25:AO25,"CSE")+COUNTIF('03-26'!F25:AO25,"CSE/RPX")+COUNTIF('03-26'!F25:AO25,"RPX")+COUNTIF('04-26'!F25:AO25,"CSE")+COUNTIF('04-26'!F25:AO25,"CSE/RPX")+COUNTIF('04-26'!F25:AO25,"RPX")+COUNTIF('05-26'!F25:AO25,"CSE")+COUNTIF('05-26'!F25:AO25,"CSE/RPX")+COUNTIF('05-26'!F25:AO25,"RPX")+COUNTIF('06-26'!F25:AO25,"CSE")+COUNTIF('06-26'!F25:AO25,"CSE/RPX")+COUNTIF('06-26'!F25:AO25,"RPX")+COUNTIF('07-26'!G25:AO25,"CSE")+COUNTIF('07-26'!G25:AO25,"CSE/RPX")+COUNTIF('07-26'!G25:AO25,"RPX")+COUNTIF('08-26'!F25:AO25,"CSE")+COUNTIF('08-26'!F25:AO25,"CSE/RPX")+COUNTIF('08-26'!F25:AO25,"RPX")+COUNTIF('09-26'!F25:AO25,"CSE")+COUNTIF('09-26'!F25:AO25,"CSE/RPX")+COUNTIF('09-26'!F25:AO25,"RPX")+COUNTIF('10-26'!F25:AO25,"CSE")+COUNTIF('10-26'!F25:AO25,"CSE/RPX")+COUNTIF('10-26'!F25:AO25,"RPX")+COUNTIF('11-26'!F25:AO25,"CSE")+COUNTIF('11-26'!F25:AO25,"CSE/RPX")+COUNTIF('11-26'!F25:AO25,"RPX")+COUNTIF('12-26'!G25:AO25,"CSE")+COUNTIF('12-26'!G25:AO25,"CSE/RPX")+COUNTIF('12-26'!G25:AO25,"RPX")</f>
        <v>0</v>
      </c>
      <c r="T25" s="3">
        <f>COUNTIF('01-26'!G25:AO25,"CA/RC")+COUNTIF('01-26'!G25:AO25,"CA")+COUNTIF('02-26'!F25:AO25,"CA/RC")+COUNTIF('02-26'!F25:AO25,"CA")+COUNTIF('03-26'!F25:AO25,"CA/RC")+COUNTIF('03-26'!F25:AO25,"CA")+COUNTIF('04-26'!F25:AO25,"CA/RC")+COUNTIF('04-26'!F25:AO25,"CA")+COUNTIF('05-26'!F25:AO25,"CA/RC")+COUNTIF('05-26'!F25:AO25,"CA")+COUNTIF('06-26'!F25:AO25,"CA/RC")+COUNTIF('06-26'!F25:AO25,"CA")+COUNTIF('07-26'!G25:AO25,"CA/RC")+COUNTIF('07-26'!G25:AO25,"CA")+COUNTIF('08-26'!F25:AO25,"CA/RC")+COUNTIF('08-26'!F25:AO25,"CA")+COUNTIF('09-26'!F25:AO25,"CA/RC")+COUNTIF('09-26'!F25:AO25,"CA")+COUNTIF('10-26'!F25:AO25,"CA/RC")+COUNTIF('10-26'!F25:AO25,"CA")+COUNTIF('11-26'!F25:AO25,"CA/RC")+COUNTIF('11-26'!F25:AO25,"CA")+COUNTIF('12-26'!G25:AO25,"CA/RC")+COUNTIF('12-26'!G25:AO25,"CA")</f>
        <v>27</v>
      </c>
      <c r="U25" s="5">
        <f>COUNTIF('01-26'!G25:AO25,"ATM/ATA")+COUNTIF('01-26'!G25:AO25,"ATM")+COUNTIF('01-26'!G25:AO25,"ATA")+COUNTIF('02-26'!G25:AO25,"ATM/ATA")+COUNTIF('02-26'!G25:AO25,"ATM")+COUNTIF('02-26'!G25:AO25,"ATA")+COUNTIF('03-26'!G25:AO25,"ATM/ATA")+COUNTIF('03-26'!G25:AO25,"ATM")+COUNTIF('03-26'!G25:AO25,"ATA")+COUNTIF('04-26'!G25:AO25,"ATM/ATA")+COUNTIF('04-26'!G25:AO25,"ATM")+COUNTIF('04-26'!G25:AO25,"ATA")+COUNTIF('05-26'!G25:AO25,"ATM/ATA")+COUNTIF('05-26'!G25:AO25,"ATM")+COUNTIF('05-26'!G25:AO25,"ATA")+COUNTIF('06-26'!G25:AO25,"ATM/ATA")+COUNTIF('06-26'!G25:AO25,"ATM")+COUNTIF('06-26'!G25:AO25,"ATA")+COUNTIF('07-26'!F25:AO25,"ATM/ATA")+COUNTIF('07-26'!F25:AO25,"ATM")+COUNTIF('07-26'!F25:AO25,"ATA")+COUNTIF('08-26'!F25:AO25,"ATM/ATA")+COUNTIF('08-26'!F25:AO25,"ATM")+COUNTIF('08-26'!F25:AO25,"ATA")+COUNTIF('09-26'!F25:AO25,"ATM/ATA")+COUNTIF('09-26'!F25:AO25,"ATM")+COUNTIF('09-26'!F25:AO25,"ATA")+COUNTIF('10-26'!F25:AO25,"ATM/ATA")+COUNTIF('10-26'!F25:AO25,"ATM")+COUNTIF('10-26'!F25:AO25,"ATA")+COUNTIF('11-26'!G25:AO25,"ATM/ATA")+COUNTIF('11-26'!G25:AO25,"ATM")+COUNTIF('11-26'!G25:AO25,"ATA")+COUNTIF('12-26'!G25:AO25,"ATM/ATA")+COUNTIF('12-26'!G25:AO25,"ATM")+COUNTIF('12-26'!G25:AO25,"ATA")</f>
        <v>0</v>
      </c>
      <c r="V25" s="5">
        <f>COUNTIF('01-26'!G25:AO25,"ASA")+COUNTIF('02-26'!G25:AO25,"ASA")+COUNTIF('03-26'!G25:AO25,"ASA")+COUNTIF('04-26'!G25:AO25,"ASA")+COUNTIF('05-26'!G25:AO25,"ASA")+COUNTIF('06-26'!G25:AO25,"ASA")+COUNTIF('07-26'!F25:AO25,"ASA")+COUNTIF('08-26'!F25:AO25,"ASA")+COUNTIF('09-26'!F25:AO25,"ASA")+COUNTIF('10-26'!F25:AO25,"ASA")+COUNTIF('11-26'!G25:AO25,"ASA")+COUNTIF('12-26'!G25:AO25,"ASA")</f>
        <v>0</v>
      </c>
      <c r="W25" s="5">
        <f>COUNTIF('01-26'!G25:AO25,"FORM")+COUNTIF('02-26'!G25:AO25,"FORM")+COUNTIF('03-26'!G25:AO25,"FORM")+COUNTIF('04-26'!G25:AO25,"FORM")+COUNTIF('05-26'!G25:AO25,"FORM")+COUNTIF('06-26'!G25:AO25,"FORM")+COUNTIF('07-26'!F25:AO25,"FORM")+COUNTIF('08-26'!F25:AO25,"FORM")+COUNTIF('09-26'!F25:AO25,"FORM")+COUNTIF('10-26'!F25:AO25,"FORM")+COUNTIF('11-26'!G25:AO25,"FORM")+COUNTIF('12-26'!G25:AO25,"FORM")</f>
        <v>0</v>
      </c>
      <c r="X25" s="5">
        <f>COUNTIF('01-26'!G25:AO25,"RPM")+COUNTIF('01-26'!G25:AO25,"JPS")+COUNTIF('02-26'!G25:AO25,"RPM")+COUNTIF('02-26'!G25:AO25,"JPS")+COUNTIF('03-26'!G25:AO25,"RPM")+COUNTIF('03-26'!G25:AO25,"JPS")+COUNTIF('04-26'!G25:AO25,"RPM")+COUNTIF('04-26'!G25:AO25,"JPS")+COUNTIF('05-26'!G25:AO25,"RPM")+COUNTIF('05-26'!G25:AO25,"JPS")+COUNTIF('06-26'!G25:AO25,"RPM")+COUNTIF('06-26'!G25:AO25,"JPS")+COUNTIF('07-26'!F25:AO25,"RPM")+COUNTIF('07-26'!F25:AO25,"JPS")+COUNTIF('08-26'!F25:AO25,"RPM")+COUNTIF('08-26'!F25:AO25,"JPS")+COUNTIF('09-26'!F25:AO25,"RPM")+COUNTIF('09-26'!F25:AO25,"JPS")+COUNTIF('10-26'!F25:AO25,"RPM")+COUNTIF('10-26'!F25:AO25,"JPS")+COUNTIF('11-26'!G25:AO25,"RPM")+COUNTIF('11-26'!G25:AO25,"JPS")+COUNTIF('12-26'!G25:AO25,"RPM")+COUNTIF('12-26'!G25:AO25,"JPS")</f>
        <v>3</v>
      </c>
      <c r="Y25" s="393">
        <f t="shared" si="1"/>
        <v>30</v>
      </c>
      <c r="AB25" t="s">
        <v>53</v>
      </c>
      <c r="AC25" t="s">
        <v>54</v>
      </c>
      <c r="AD25">
        <v>28</v>
      </c>
    </row>
    <row r="26" spans="1:30" ht="19.5" customHeight="1">
      <c r="A26" s="390"/>
      <c r="Q26" s="2" t="s">
        <v>52</v>
      </c>
      <c r="R26" s="3">
        <f>COUNTIF('01-26'!G26:AO26,"TP")+COUNTIF('02-26'!F26:AO26,"TP")+COUNTIF('03-26'!F26:AO26,"TP")+COUNTIF('04-26'!F26:AO26,"TP")+COUNTIF('05-26'!F26:AO26,"TP")+COUNTIF('06-26'!F26:AO26,"TP")+COUNTIF('07-26'!G26:AO26,"TP")+COUNTIF('08-26'!F26:AO26,"TP")+COUNTIF('09-26'!F26:AO26,"TP")+COUNTIF('10-26'!F26:AO26,"TP")+COUNTIF('11-26'!F26:AO26,"TP")+COUNTIF('12-26'!G26:AO26,"TP")</f>
        <v>0</v>
      </c>
      <c r="S26" s="3">
        <f>COUNTIF('01-26'!G26:AO26,"CSE")+COUNTIF('01-26'!G26:AO26,"CSE/RPX")+COUNTIF('01-26'!G26:AO26,"RPX")+COUNTIF('02-26'!F26:AO26,"CSE")+COUNTIF('02-26'!F26:AO26,"CSE/RPX")+COUNTIF('02-26'!F26:AO26,"RPX")+COUNTIF('03-26'!F26:AO26,"CSE")+COUNTIF('03-26'!F26:AO26,"CSE/RPX")+COUNTIF('03-26'!F26:AO26,"RPX")+COUNTIF('04-26'!F26:AO26,"CSE")+COUNTIF('04-26'!F26:AO26,"CSE/RPX")+COUNTIF('04-26'!F26:AO26,"RPX")+COUNTIF('05-26'!F26:AO26,"CSE")+COUNTIF('05-26'!F26:AO26,"CSE/RPX")+COUNTIF('05-26'!F26:AO26,"RPX")+COUNTIF('06-26'!F26:AO26,"CSE")+COUNTIF('06-26'!F26:AO26,"CSE/RPX")+COUNTIF('06-26'!F26:AO26,"RPX")+COUNTIF('07-26'!G26:AO26,"CSE")+COUNTIF('07-26'!G26:AO26,"CSE/RPX")+COUNTIF('07-26'!G26:AO26,"RPX")+COUNTIF('08-26'!F26:AO26,"CSE")+COUNTIF('08-26'!F26:AO26,"CSE/RPX")+COUNTIF('08-26'!F26:AO26,"RPX")+COUNTIF('09-26'!F26:AO26,"CSE")+COUNTIF('09-26'!F26:AO26,"CSE/RPX")+COUNTIF('09-26'!F26:AO26,"RPX")+COUNTIF('10-26'!F26:AO26,"CSE")+COUNTIF('10-26'!F26:AO26,"CSE/RPX")+COUNTIF('10-26'!F26:AO26,"RPX")+COUNTIF('11-26'!F26:AO26,"CSE")+COUNTIF('11-26'!F26:AO26,"CSE/RPX")+COUNTIF('11-26'!F26:AO26,"RPX")+COUNTIF('12-26'!G26:AO26,"CSE")+COUNTIF('12-26'!G26:AO26,"CSE/RPX")+COUNTIF('12-26'!G26:AO26,"RPX")</f>
        <v>5</v>
      </c>
      <c r="T26" s="3">
        <f>COUNTIF('01-26'!G26:AO26,"CA/RC")+COUNTIF('01-26'!G26:AO26,"CA")+COUNTIF('02-26'!F26:AO26,"CA/RC")+COUNTIF('02-26'!F26:AO26,"CA")+COUNTIF('03-26'!F26:AO26,"CA/RC")+COUNTIF('03-26'!F26:AO26,"CA")+COUNTIF('04-26'!F26:AO26,"CA/RC")+COUNTIF('04-26'!F26:AO26,"CA")+COUNTIF('05-26'!F26:AO26,"CA/RC")+COUNTIF('05-26'!F26:AO26,"CA")+COUNTIF('06-26'!F26:AO26,"CA/RC")+COUNTIF('06-26'!F26:AO26,"CA")+COUNTIF('07-26'!G26:AO26,"CA/RC")+COUNTIF('07-26'!G26:AO26,"CA")+COUNTIF('08-26'!F26:AO26,"CA/RC")+COUNTIF('08-26'!F26:AO26,"CA")+COUNTIF('09-26'!F26:AO26,"CA/RC")+COUNTIF('09-26'!F26:AO26,"CA")+COUNTIF('10-26'!F26:AO26,"CA/RC")+COUNTIF('10-26'!F26:AO26,"CA")+COUNTIF('11-26'!F26:AO26,"CA/RC")+COUNTIF('11-26'!F26:AO26,"CA")+COUNTIF('12-26'!G26:AO26,"CA/RC")+COUNTIF('12-26'!G26:AO26,"CA")</f>
        <v>32</v>
      </c>
      <c r="U26" s="5">
        <f>COUNTIF('01-26'!G26:AO26,"ATM/ATA")+COUNTIF('01-26'!G26:AO26,"ATM")+COUNTIF('01-26'!G26:AO26,"ATA")+COUNTIF('02-26'!G26:AO26,"ATM/ATA")+COUNTIF('02-26'!G26:AO26,"ATM")+COUNTIF('02-26'!G26:AO26,"ATA")+COUNTIF('03-26'!G26:AO26,"ATM/ATA")+COUNTIF('03-26'!G26:AO26,"ATM")+COUNTIF('03-26'!G26:AO26,"ATA")+COUNTIF('04-26'!G26:AO26,"ATM/ATA")+COUNTIF('04-26'!G26:AO26,"ATM")+COUNTIF('04-26'!G26:AO26,"ATA")+COUNTIF('05-26'!G26:AO26,"ATM/ATA")+COUNTIF('05-26'!G26:AO26,"ATM")+COUNTIF('05-26'!G26:AO26,"ATA")+COUNTIF('06-26'!G26:AO26,"ATM/ATA")+COUNTIF('06-26'!G26:AO26,"ATM")+COUNTIF('06-26'!G26:AO26,"ATA")+COUNTIF('07-26'!F26:AO26,"ATM/ATA")+COUNTIF('07-26'!F26:AO26,"ATM")+COUNTIF('07-26'!F26:AO26,"ATA")+COUNTIF('08-26'!F26:AO26,"ATM/ATA")+COUNTIF('08-26'!F26:AO26,"ATM")+COUNTIF('08-26'!F26:AO26,"ATA")+COUNTIF('09-26'!F26:AO26,"ATM/ATA")+COUNTIF('09-26'!F26:AO26,"ATM")+COUNTIF('09-26'!F26:AO26,"ATA")+COUNTIF('10-26'!F26:AO26,"ATM/ATA")+COUNTIF('10-26'!F26:AO26,"ATM")+COUNTIF('10-26'!F26:AO26,"ATA")+COUNTIF('11-26'!G26:AO26,"ATM/ATA")+COUNTIF('11-26'!G26:AO26,"ATM")+COUNTIF('11-26'!G26:AO26,"ATA")+COUNTIF('12-26'!G26:AO26,"ATM/ATA")+COUNTIF('12-26'!G26:AO26,"ATM")+COUNTIF('12-26'!G26:AO26,"ATA")</f>
        <v>0</v>
      </c>
      <c r="V26" s="5">
        <f>COUNTIF('01-26'!G26:AO26,"ASA")+COUNTIF('02-26'!G26:AO26,"ASA")+COUNTIF('03-26'!G26:AO26,"ASA")+COUNTIF('04-26'!G26:AO26,"ASA")+COUNTIF('05-26'!G26:AO26,"ASA")+COUNTIF('06-26'!G26:AO26,"ASA")+COUNTIF('07-26'!F26:AO26,"ASA")+COUNTIF('08-26'!F26:AO26,"ASA")+COUNTIF('09-26'!F26:AO26,"ASA")+COUNTIF('10-26'!F26:AO26,"ASA")+COUNTIF('11-26'!G26:AO26,"ASA")+COUNTIF('12-26'!G26:AO26,"ASA")</f>
        <v>3</v>
      </c>
      <c r="W26" s="5">
        <f>COUNTIF('01-26'!G26:AO26,"FORM")+COUNTIF('02-26'!G26:AO26,"FORM")+COUNTIF('03-26'!G26:AO26,"FORM")+COUNTIF('04-26'!G26:AO26,"FORM")+COUNTIF('05-26'!G26:AO26,"FORM")+COUNTIF('06-26'!G26:AO26,"FORM")+COUNTIF('07-26'!F26:AO26,"FORM")+COUNTIF('08-26'!F26:AO26,"FORM")+COUNTIF('09-26'!F26:AO26,"FORM")+COUNTIF('10-26'!F26:AO26,"FORM")+COUNTIF('11-26'!G26:AO26,"FORM")+COUNTIF('12-26'!G26:AO26,"FORM")</f>
        <v>0</v>
      </c>
      <c r="X26" s="5">
        <f>COUNTIF('01-26'!G26:AO26,"RPM")+COUNTIF('01-26'!G26:AO26,"JPS")+COUNTIF('02-26'!G26:AO26,"RPM")+COUNTIF('02-26'!G26:AO26,"JPS")+COUNTIF('03-26'!G26:AO26,"RPM")+COUNTIF('03-26'!G26:AO26,"JPS")+COUNTIF('04-26'!G26:AO26,"RPM")+COUNTIF('04-26'!G26:AO26,"JPS")+COUNTIF('05-26'!G26:AO26,"RPM")+COUNTIF('05-26'!G26:AO26,"JPS")+COUNTIF('06-26'!G26:AO26,"RPM")+COUNTIF('06-26'!G26:AO26,"JPS")+COUNTIF('07-26'!F26:AO26,"RPM")+COUNTIF('07-26'!F26:AO26,"JPS")+COUNTIF('08-26'!F26:AO26,"RPM")+COUNTIF('08-26'!F26:AO26,"JPS")+COUNTIF('09-26'!F26:AO26,"RPM")+COUNTIF('09-26'!F26:AO26,"JPS")+COUNTIF('10-26'!F26:AO26,"RPM")+COUNTIF('10-26'!F26:AO26,"JPS")+COUNTIF('11-26'!G26:AO26,"RPM")+COUNTIF('11-26'!G26:AO26,"JPS")+COUNTIF('12-26'!G26:AO26,"RPM")+COUNTIF('12-26'!G26:AO26,"JPS")</f>
        <v>1</v>
      </c>
      <c r="Y26" s="393">
        <f t="shared" si="1"/>
        <v>41</v>
      </c>
      <c r="AB26" t="s">
        <v>54</v>
      </c>
    </row>
    <row r="27" spans="1:30" ht="19.5" customHeight="1">
      <c r="A27" s="390"/>
      <c r="Q27" s="6" t="s">
        <v>53</v>
      </c>
      <c r="R27" s="3">
        <f>COUNTIF('01-26'!G27:AO27,"TP")+COUNTIF('02-26'!F27:AO27,"TP")+COUNTIF('03-26'!F27:AO27,"TP")+COUNTIF('04-26'!F27:AO27,"TP")+COUNTIF('05-26'!F27:AO27,"TP")+COUNTIF('06-26'!F27:AO27,"TP")+COUNTIF('07-26'!G27:AO27,"TP")+COUNTIF('08-26'!F27:AO27,"TP")+COUNTIF('09-26'!F27:AO27,"TP")+COUNTIF('10-26'!F27:AO27,"TP")+COUNTIF('11-26'!F27:AO27,"TP")+COUNTIF('12-26'!G27:AO27,"TP")</f>
        <v>0</v>
      </c>
      <c r="S27" s="3">
        <f>COUNTIF('01-26'!G27:AO27,"CSE")+COUNTIF('01-26'!G27:AO27,"CSE/RPX")+COUNTIF('01-26'!G27:AO27,"RPX")+COUNTIF('02-26'!F27:AO27,"CSE")+COUNTIF('02-26'!F27:AO27,"CSE/RPX")+COUNTIF('02-26'!F27:AO27,"RPX")+COUNTIF('03-26'!F27:AO27,"CSE")+COUNTIF('03-26'!F27:AO27,"CSE/RPX")+COUNTIF('03-26'!F27:AO27,"RPX")+COUNTIF('04-26'!F27:AO27,"CSE")+COUNTIF('04-26'!F27:AO27,"CSE/RPX")+COUNTIF('04-26'!F27:AO27,"RPX")+COUNTIF('05-26'!F27:AO27,"CSE")+COUNTIF('05-26'!F27:AO27,"CSE/RPX")+COUNTIF('05-26'!F27:AO27,"RPX")+COUNTIF('06-26'!F27:AO27,"CSE")+COUNTIF('06-26'!F27:AO27,"CSE/RPX")+COUNTIF('06-26'!F27:AO27,"RPX")+COUNTIF('07-26'!G27:AO27,"CSE")+COUNTIF('07-26'!G27:AO27,"CSE/RPX")+COUNTIF('07-26'!G27:AO27,"RPX")+COUNTIF('08-26'!F27:AO27,"CSE")+COUNTIF('08-26'!F27:AO27,"CSE/RPX")+COUNTIF('08-26'!F27:AO27,"RPX")+COUNTIF('09-26'!F27:AO27,"CSE")+COUNTIF('09-26'!F27:AO27,"CSE/RPX")+COUNTIF('09-26'!F27:AO27,"RPX")+COUNTIF('10-26'!F27:AO27,"CSE")+COUNTIF('10-26'!F27:AO27,"CSE/RPX")+COUNTIF('10-26'!F27:AO27,"RPX")+COUNTIF('11-26'!F27:AO27,"CSE")+COUNTIF('11-26'!F27:AO27,"CSE/RPX")+COUNTIF('11-26'!F27:AO27,"RPX")+COUNTIF('12-26'!G27:AO27,"CSE")+COUNTIF('12-26'!G27:AO27,"CSE/RPX")+COUNTIF('12-26'!G27:AO27,"RPX")</f>
        <v>0</v>
      </c>
      <c r="T27" s="3">
        <f>COUNTIF('01-26'!G27:AO27,"CA/RC")+COUNTIF('01-26'!G27:AO27,"CA")+COUNTIF('02-26'!F27:AO27,"CA/RC")+COUNTIF('02-26'!F27:AO27,"CA")+COUNTIF('03-26'!F27:AO27,"CA/RC")+COUNTIF('03-26'!F27:AO27,"CA")+COUNTIF('04-26'!F27:AO27,"CA/RC")+COUNTIF('04-26'!F27:AO27,"CA")+COUNTIF('05-26'!F27:AO27,"CA/RC")+COUNTIF('05-26'!F27:AO27,"CA")+COUNTIF('06-26'!F27:AO27,"CA/RC")+COUNTIF('06-26'!F27:AO27,"CA")+COUNTIF('07-26'!G27:AO27,"CA/RC")+COUNTIF('07-26'!G27:AO27,"CA")+COUNTIF('08-26'!F27:AO27,"CA/RC")+COUNTIF('08-26'!F27:AO27,"CA")+COUNTIF('09-26'!F27:AO27,"CA/RC")+COUNTIF('09-26'!F27:AO27,"CA")+COUNTIF('10-26'!F27:AO27,"CA/RC")+COUNTIF('10-26'!F27:AO27,"CA")+COUNTIF('11-26'!F27:AO27,"CA/RC")+COUNTIF('11-26'!F27:AO27,"CA")+COUNTIF('12-26'!G27:AO27,"CA/RC")+COUNTIF('12-26'!G27:AO27,"CA")</f>
        <v>30</v>
      </c>
      <c r="U27" s="5">
        <f>COUNTIF('01-26'!G27:AO27,"ATM/ATA")+COUNTIF('01-26'!G27:AO27,"ATM")+COUNTIF('01-26'!G27:AO27,"ATA")+COUNTIF('02-26'!G27:AO27,"ATM/ATA")+COUNTIF('02-26'!G27:AO27,"ATM")+COUNTIF('02-26'!G27:AO27,"ATA")+COUNTIF('03-26'!G27:AO27,"ATM/ATA")+COUNTIF('03-26'!G27:AO27,"ATM")+COUNTIF('03-26'!G27:AO27,"ATA")+COUNTIF('04-26'!G27:AO27,"ATM/ATA")+COUNTIF('04-26'!G27:AO27,"ATM")+COUNTIF('04-26'!G27:AO27,"ATA")+COUNTIF('05-26'!G27:AO27,"ATM/ATA")+COUNTIF('05-26'!G27:AO27,"ATM")+COUNTIF('05-26'!G27:AO27,"ATA")+COUNTIF('06-26'!G27:AO27,"ATM/ATA")+COUNTIF('06-26'!G27:AO27,"ATM")+COUNTIF('06-26'!G27:AO27,"ATA")+COUNTIF('07-26'!F27:AO27,"ATM/ATA")+COUNTIF('07-26'!F27:AO27,"ATM")+COUNTIF('07-26'!F27:AO27,"ATA")+COUNTIF('08-26'!F27:AO27,"ATM/ATA")+COUNTIF('08-26'!F27:AO27,"ATM")+COUNTIF('08-26'!F27:AO27,"ATA")+COUNTIF('09-26'!F27:AO27,"ATM/ATA")+COUNTIF('09-26'!F27:AO27,"ATM")+COUNTIF('09-26'!F27:AO27,"ATA")+COUNTIF('10-26'!F27:AO27,"ATM/ATA")+COUNTIF('10-26'!F27:AO27,"ATM")+COUNTIF('10-26'!F27:AO27,"ATA")+COUNTIF('11-26'!G27:AO27,"ATM/ATA")+COUNTIF('11-26'!G27:AO27,"ATM")+COUNTIF('11-26'!G27:AO27,"ATA")+COUNTIF('12-26'!G27:AO27,"ATM/ATA")+COUNTIF('12-26'!G27:AO27,"ATM")+COUNTIF('12-26'!G27:AO27,"ATA")</f>
        <v>18</v>
      </c>
      <c r="V27" s="5">
        <f>COUNTIF('01-26'!G27:AO27,"ASA")+COUNTIF('02-26'!G27:AO27,"ASA")+COUNTIF('03-26'!G27:AO27,"ASA")+COUNTIF('04-26'!G27:AO27,"ASA")+COUNTIF('05-26'!G27:AO27,"ASA")+COUNTIF('06-26'!G27:AO27,"ASA")+COUNTIF('07-26'!F27:AO27,"ASA")+COUNTIF('08-26'!F27:AO27,"ASA")+COUNTIF('09-26'!F27:AO27,"ASA")+COUNTIF('10-26'!F27:AO27,"ASA")+COUNTIF('11-26'!G27:AO27,"ASA")+COUNTIF('12-26'!G27:AO27,"ASA")</f>
        <v>0</v>
      </c>
      <c r="W27" s="5">
        <f>COUNTIF('01-26'!G27:AO27,"FORM")+COUNTIF('02-26'!G27:AO27,"FORM")+COUNTIF('03-26'!G27:AO27,"FORM")+COUNTIF('04-26'!G27:AO27,"FORM")+COUNTIF('05-26'!G27:AO27,"FORM")+COUNTIF('06-26'!G27:AO27,"FORM")+COUNTIF('07-26'!F27:AO27,"FORM")+COUNTIF('08-26'!F27:AO27,"FORM")+COUNTIF('09-26'!F27:AO27,"FORM")+COUNTIF('10-26'!F27:AO27,"FORM")+COUNTIF('11-26'!G27:AO27,"FORM")+COUNTIF('12-26'!G27:AO27,"FORM")</f>
        <v>0</v>
      </c>
      <c r="X27" s="5">
        <f>COUNTIF('01-26'!G27:AO27,"RPM")+COUNTIF('01-26'!G27:AO27,"JPS")+COUNTIF('02-26'!G27:AO27,"RPM")+COUNTIF('02-26'!G27:AO27,"JPS")+COUNTIF('03-26'!G27:AO27,"RPM")+COUNTIF('03-26'!G27:AO27,"JPS")+COUNTIF('04-26'!G27:AO27,"RPM")+COUNTIF('04-26'!G27:AO27,"JPS")+COUNTIF('05-26'!G27:AO27,"RPM")+COUNTIF('05-26'!G27:AO27,"JPS")+COUNTIF('06-26'!G27:AO27,"RPM")+COUNTIF('06-26'!G27:AO27,"JPS")+COUNTIF('07-26'!F27:AO27,"RPM")+COUNTIF('07-26'!F27:AO27,"JPS")+COUNTIF('08-26'!F27:AO27,"RPM")+COUNTIF('08-26'!F27:AO27,"JPS")+COUNTIF('09-26'!F27:AO27,"RPM")+COUNTIF('09-26'!F27:AO27,"JPS")+COUNTIF('10-26'!F27:AO27,"RPM")+COUNTIF('10-26'!F27:AO27,"JPS")+COUNTIF('11-26'!G27:AO27,"RPM")+COUNTIF('11-26'!G27:AO27,"JPS")+COUNTIF('12-26'!G27:AO27,"RPM")+COUNTIF('12-26'!G27:AO27,"JPS")</f>
        <v>0</v>
      </c>
      <c r="Y27" s="393">
        <f t="shared" si="1"/>
        <v>48</v>
      </c>
    </row>
    <row r="28" spans="1:30" ht="19.5" customHeight="1">
      <c r="A28" s="390"/>
      <c r="Q28" s="2" t="s">
        <v>54</v>
      </c>
      <c r="R28" s="3">
        <f>COUNTIF('01-26'!G28:AO28,"TP")+COUNTIF('02-26'!F28:AO28,"TP")+COUNTIF('03-26'!F28:AO28,"TP")+COUNTIF('04-26'!F28:AO28,"TP")+COUNTIF('05-26'!F28:AO28,"TP")+COUNTIF('06-26'!F28:AO28,"TP")+COUNTIF('07-26'!G28:AO28,"TP")+COUNTIF('08-26'!F28:AO28,"TP")+COUNTIF('09-26'!F28:AO28,"TP")+COUNTIF('10-26'!F28:AO28,"TP")+COUNTIF('11-26'!F28:AO28,"TP")+COUNTIF('12-26'!G28:AO28,"TP")</f>
        <v>0</v>
      </c>
      <c r="S28" s="3">
        <f>COUNTIF('01-26'!G28:AO28,"CSE")+COUNTIF('01-26'!G28:AO28,"CSE/RPX")+COUNTIF('01-26'!G28:AO28,"RPX")+COUNTIF('02-26'!F28:AO28,"CSE")+COUNTIF('02-26'!F28:AO28,"CSE/RPX")+COUNTIF('02-26'!F28:AO28,"RPX")+COUNTIF('03-26'!F28:AO28,"CSE")+COUNTIF('03-26'!F28:AO28,"CSE/RPX")+COUNTIF('03-26'!F28:AO28,"RPX")+COUNTIF('04-26'!F28:AO28,"CSE")+COUNTIF('04-26'!F28:AO28,"CSE/RPX")+COUNTIF('04-26'!F28:AO28,"RPX")+COUNTIF('05-26'!F28:AO28,"CSE")+COUNTIF('05-26'!F28:AO28,"CSE/RPX")+COUNTIF('05-26'!F28:AO28,"RPX")+COUNTIF('06-26'!F28:AO28,"CSE")+COUNTIF('06-26'!F28:AO28,"CSE/RPX")+COUNTIF('06-26'!F28:AO28,"RPX")+COUNTIF('07-26'!G28:AO28,"CSE")+COUNTIF('07-26'!G28:AO28,"CSE/RPX")+COUNTIF('07-26'!G28:AO28,"RPX")+COUNTIF('08-26'!F28:AO28,"CSE")+COUNTIF('08-26'!F28:AO28,"CSE/RPX")+COUNTIF('08-26'!F28:AO28,"RPX")+COUNTIF('09-26'!F28:AO28,"CSE")+COUNTIF('09-26'!F28:AO28,"CSE/RPX")+COUNTIF('09-26'!F28:AO28,"RPX")+COUNTIF('10-26'!F28:AO28,"CSE")+COUNTIF('10-26'!F28:AO28,"CSE/RPX")+COUNTIF('10-26'!F28:AO28,"RPX")+COUNTIF('11-26'!F28:AO28,"CSE")+COUNTIF('11-26'!F28:AO28,"CSE/RPX")+COUNTIF('11-26'!F28:AO28,"RPX")+COUNTIF('12-26'!G28:AO28,"CSE")+COUNTIF('12-26'!G28:AO28,"CSE/RPX")+COUNTIF('12-26'!G28:AO28,"RPX")</f>
        <v>0</v>
      </c>
      <c r="T28" s="3">
        <f>COUNTIF('01-26'!G28:AO28,"CA/RC")+COUNTIF('01-26'!G28:AO28,"CA")+COUNTIF('02-26'!F28:AO28,"CA/RC")+COUNTIF('02-26'!F28:AO28,"CA")+COUNTIF('03-26'!F28:AO28,"CA/RC")+COUNTIF('03-26'!F28:AO28,"CA")+COUNTIF('04-26'!F28:AO28,"CA/RC")+COUNTIF('04-26'!F28:AO28,"CA")+COUNTIF('05-26'!F28:AO28,"CA/RC")+COUNTIF('05-26'!F28:AO28,"CA")+COUNTIF('06-26'!F28:AO28,"CA/RC")+COUNTIF('06-26'!F28:AO28,"CA")+COUNTIF('07-26'!G28:AO28,"CA/RC")+COUNTIF('07-26'!G28:AO28,"CA")+COUNTIF('08-26'!F28:AO28,"CA/RC")+COUNTIF('08-26'!F28:AO28,"CA")+COUNTIF('09-26'!F28:AO28,"CA/RC")+COUNTIF('09-26'!F28:AO28,"CA")+COUNTIF('10-26'!F28:AO28,"CA/RC")+COUNTIF('10-26'!F28:AO28,"CA")+COUNTIF('11-26'!F28:AO28,"CA/RC")+COUNTIF('11-26'!F28:AO28,"CA")+COUNTIF('12-26'!G28:AO28,"CA/RC")+COUNTIF('12-26'!G28:AO28,"CA")</f>
        <v>29</v>
      </c>
      <c r="U28" s="5">
        <f>COUNTIF('01-26'!G28:AO28,"ATM/ATA")+COUNTIF('01-26'!G28:AO28,"ATM")+COUNTIF('01-26'!G28:AO28,"ATA")+COUNTIF('02-26'!G28:AO28,"ATM/ATA")+COUNTIF('02-26'!G28:AO28,"ATM")+COUNTIF('02-26'!G28:AO28,"ATA")+COUNTIF('03-26'!G28:AO28,"ATM/ATA")+COUNTIF('03-26'!G28:AO28,"ATM")+COUNTIF('03-26'!G28:AO28,"ATA")+COUNTIF('04-26'!G28:AO28,"ATM/ATA")+COUNTIF('04-26'!G28:AO28,"ATM")+COUNTIF('04-26'!G28:AO28,"ATA")+COUNTIF('05-26'!G28:AO28,"ATM/ATA")+COUNTIF('05-26'!G28:AO28,"ATM")+COUNTIF('05-26'!G28:AO28,"ATA")+COUNTIF('06-26'!G28:AO28,"ATM/ATA")+COUNTIF('06-26'!G28:AO28,"ATM")+COUNTIF('06-26'!G28:AO28,"ATA")+COUNTIF('07-26'!F28:AO28,"ATM/ATA")+COUNTIF('07-26'!F28:AO28,"ATM")+COUNTIF('07-26'!F28:AO28,"ATA")+COUNTIF('08-26'!F28:AO28,"ATM/ATA")+COUNTIF('08-26'!F28:AO28,"ATM")+COUNTIF('08-26'!F28:AO28,"ATA")+COUNTIF('09-26'!F28:AO28,"ATM/ATA")+COUNTIF('09-26'!F28:AO28,"ATM")+COUNTIF('09-26'!F28:AO28,"ATA")+COUNTIF('10-26'!F28:AO28,"ATM/ATA")+COUNTIF('10-26'!F28:AO28,"ATM")+COUNTIF('10-26'!F28:AO28,"ATA")+COUNTIF('11-26'!G28:AO28,"ATM/ATA")+COUNTIF('11-26'!G28:AO28,"ATM")+COUNTIF('11-26'!G28:AO28,"ATA")+COUNTIF('12-26'!G28:AO28,"ATM/ATA")+COUNTIF('12-26'!G28:AO28,"ATM")+COUNTIF('12-26'!G28:AO28,"ATA")</f>
        <v>0</v>
      </c>
      <c r="V28" s="5">
        <f>COUNTIF('01-26'!G28:AO28,"ASA")+COUNTIF('02-26'!G28:AO28,"ASA")+COUNTIF('03-26'!G28:AO28,"ASA")+COUNTIF('04-26'!G28:AO28,"ASA")+COUNTIF('05-26'!G28:AO28,"ASA")+COUNTIF('06-26'!G28:AO28,"ASA")+COUNTIF('07-26'!F28:AO28,"ASA")+COUNTIF('08-26'!F28:AO28,"ASA")+COUNTIF('09-26'!F28:AO28,"ASA")+COUNTIF('10-26'!F28:AO28,"ASA")+COUNTIF('11-26'!G28:AO28,"ASA")+COUNTIF('12-26'!G28:AO28,"ASA")</f>
        <v>0</v>
      </c>
      <c r="W28" s="5">
        <f>COUNTIF('01-26'!G28:AO28,"FORM")+COUNTIF('02-26'!G28:AO28,"FORM")+COUNTIF('03-26'!G28:AO28,"FORM")+COUNTIF('04-26'!G28:AO28,"FORM")+COUNTIF('05-26'!G28:AO28,"FORM")+COUNTIF('06-26'!G28:AO28,"FORM")+COUNTIF('07-26'!F28:AO28,"FORM")+COUNTIF('08-26'!F28:AO28,"FORM")+COUNTIF('09-26'!F28:AO28,"FORM")+COUNTIF('10-26'!F28:AO28,"FORM")+COUNTIF('11-26'!G28:AO28,"FORM")+COUNTIF('12-26'!G28:AO28,"FORM")</f>
        <v>36</v>
      </c>
      <c r="X28" s="5">
        <f>COUNTIF('01-26'!G28:AO28,"RPM")+COUNTIF('01-26'!G28:AO28,"JPS")+COUNTIF('02-26'!G28:AO28,"RPM")+COUNTIF('02-26'!G28:AO28,"JPS")+COUNTIF('03-26'!G28:AO28,"RPM")+COUNTIF('03-26'!G28:AO28,"JPS")+COUNTIF('04-26'!G28:AO28,"RPM")+COUNTIF('04-26'!G28:AO28,"JPS")+COUNTIF('05-26'!G28:AO28,"RPM")+COUNTIF('05-26'!G28:AO28,"JPS")+COUNTIF('06-26'!G28:AO28,"RPM")+COUNTIF('06-26'!G28:AO28,"JPS")+COUNTIF('07-26'!F28:AO28,"RPM")+COUNTIF('07-26'!F28:AO28,"JPS")+COUNTIF('08-26'!F28:AO28,"RPM")+COUNTIF('08-26'!F28:AO28,"JPS")+COUNTIF('09-26'!F28:AO28,"RPM")+COUNTIF('09-26'!F28:AO28,"JPS")+COUNTIF('10-26'!F28:AO28,"RPM")+COUNTIF('10-26'!F28:AO28,"JPS")+COUNTIF('11-26'!G28:AO28,"RPM")+COUNTIF('11-26'!G28:AO28,"JPS")+COUNTIF('12-26'!G28:AO28,"RPM")+COUNTIF('12-26'!G28:AO28,"JPS")</f>
        <v>0</v>
      </c>
      <c r="Y28" s="393">
        <f t="shared" si="1"/>
        <v>65</v>
      </c>
    </row>
    <row r="29" spans="1:30">
      <c r="A29" s="390"/>
      <c r="Y29" s="391"/>
    </row>
    <row r="30" spans="1:30">
      <c r="A30" s="390"/>
      <c r="Y30" s="391"/>
    </row>
    <row r="31" spans="1:30">
      <c r="A31" s="390"/>
      <c r="Y31" s="391"/>
    </row>
    <row r="32" spans="1:30">
      <c r="A32" s="390"/>
      <c r="Y32" s="391"/>
    </row>
    <row r="33" spans="1:25">
      <c r="A33" s="390"/>
      <c r="Y33" s="391"/>
    </row>
    <row r="34" spans="1:25">
      <c r="A34" s="390"/>
      <c r="Y34" s="391"/>
    </row>
    <row r="35" spans="1:25">
      <c r="A35" s="390"/>
      <c r="Y35" s="391"/>
    </row>
    <row r="36" spans="1:25">
      <c r="A36" s="390"/>
      <c r="Y36" s="391"/>
    </row>
    <row r="37" spans="1:25">
      <c r="A37" s="390"/>
      <c r="Y37" s="391"/>
    </row>
    <row r="38" spans="1:25">
      <c r="A38" s="390"/>
      <c r="Y38" s="391"/>
    </row>
    <row r="39" spans="1:25">
      <c r="A39" s="390"/>
      <c r="Y39" s="391"/>
    </row>
    <row r="40" spans="1:25">
      <c r="A40" s="390"/>
      <c r="Y40" s="391"/>
    </row>
    <row r="41" spans="1:25">
      <c r="A41" s="390"/>
      <c r="Y41" s="391"/>
    </row>
    <row r="42" spans="1:25">
      <c r="A42" s="390"/>
      <c r="Y42" s="391"/>
    </row>
    <row r="43" spans="1:25">
      <c r="A43" s="390"/>
      <c r="Y43" s="391"/>
    </row>
    <row r="44" spans="1:25">
      <c r="A44" s="390"/>
      <c r="Y44" s="391"/>
    </row>
    <row r="45" spans="1:25">
      <c r="A45" s="390"/>
      <c r="Y45" s="391"/>
    </row>
    <row r="46" spans="1:25">
      <c r="A46" s="394"/>
      <c r="B46" s="395"/>
      <c r="C46" s="395"/>
      <c r="D46" s="395"/>
      <c r="E46" s="395"/>
      <c r="F46" s="395"/>
      <c r="G46" s="395"/>
      <c r="H46" s="395"/>
      <c r="I46" s="395"/>
      <c r="J46" s="395"/>
      <c r="K46" s="395"/>
      <c r="L46" s="395"/>
      <c r="M46" s="395"/>
      <c r="N46" s="395"/>
      <c r="O46" s="395"/>
      <c r="P46" s="395"/>
      <c r="Q46" s="395"/>
      <c r="R46" s="395"/>
      <c r="S46" s="395"/>
      <c r="T46" s="395"/>
      <c r="U46" s="395"/>
      <c r="V46" s="395"/>
      <c r="W46" s="395"/>
      <c r="X46" s="395"/>
      <c r="Y46" s="396"/>
    </row>
    <row r="47" spans="1:25">
      <c r="A47" s="390"/>
      <c r="Y47" s="391"/>
    </row>
    <row r="48" spans="1:25">
      <c r="A48" s="390"/>
      <c r="Y48" s="391"/>
    </row>
    <row r="49" spans="1:25">
      <c r="A49" s="390"/>
      <c r="Y49" s="391"/>
    </row>
    <row r="50" spans="1:25">
      <c r="A50" s="390"/>
      <c r="Y50" s="391"/>
    </row>
    <row r="51" spans="1:25">
      <c r="A51" s="390"/>
      <c r="Y51" s="391"/>
    </row>
    <row r="52" spans="1:25">
      <c r="A52" s="390"/>
      <c r="Y52" s="391"/>
    </row>
    <row r="53" spans="1:25">
      <c r="A53" s="390"/>
      <c r="Y53" s="391"/>
    </row>
    <row r="54" spans="1:25">
      <c r="A54" s="390"/>
      <c r="Y54" s="391"/>
    </row>
    <row r="55" spans="1:25">
      <c r="A55" s="390"/>
      <c r="Y55" s="391"/>
    </row>
    <row r="56" spans="1:25">
      <c r="A56" s="390"/>
      <c r="Y56" s="391"/>
    </row>
    <row r="57" spans="1:25">
      <c r="A57" s="390"/>
      <c r="Y57" s="391"/>
    </row>
    <row r="58" spans="1:25">
      <c r="A58" s="390"/>
      <c r="Y58" s="391"/>
    </row>
    <row r="59" spans="1:25">
      <c r="A59" s="390"/>
      <c r="Y59" s="391"/>
    </row>
    <row r="60" spans="1:25">
      <c r="A60" s="390"/>
      <c r="Y60" s="391"/>
    </row>
    <row r="61" spans="1:25">
      <c r="A61" s="390"/>
      <c r="Y61" s="391"/>
    </row>
    <row r="62" spans="1:25">
      <c r="A62" s="390"/>
      <c r="Y62" s="391"/>
    </row>
    <row r="63" spans="1:25">
      <c r="A63" s="390"/>
      <c r="Y63" s="391"/>
    </row>
    <row r="64" spans="1:25">
      <c r="A64" s="390"/>
      <c r="Y64" s="391"/>
    </row>
    <row r="65" spans="1:25">
      <c r="A65" s="390"/>
      <c r="Y65" s="391"/>
    </row>
    <row r="66" spans="1:25">
      <c r="A66" s="390"/>
      <c r="Y66" s="391"/>
    </row>
    <row r="67" spans="1:25">
      <c r="A67" s="390"/>
      <c r="Y67" s="391"/>
    </row>
    <row r="68" spans="1:25">
      <c r="A68" s="390"/>
      <c r="Y68" s="391"/>
    </row>
    <row r="69" spans="1:25">
      <c r="A69" s="390"/>
      <c r="Y69" s="391"/>
    </row>
    <row r="70" spans="1:25">
      <c r="A70" s="390"/>
      <c r="Y70" s="391"/>
    </row>
    <row r="71" spans="1:25">
      <c r="A71" s="390"/>
      <c r="Y71" s="391"/>
    </row>
    <row r="72" spans="1:25">
      <c r="A72" s="390"/>
      <c r="Y72" s="391"/>
    </row>
    <row r="73" spans="1:25">
      <c r="A73" s="390"/>
      <c r="Y73" s="391"/>
    </row>
    <row r="74" spans="1:25">
      <c r="A74" s="390"/>
      <c r="Y74" s="391"/>
    </row>
    <row r="75" spans="1:25">
      <c r="A75" s="394"/>
      <c r="B75" s="395"/>
      <c r="C75" s="395"/>
      <c r="D75" s="395"/>
      <c r="E75" s="395"/>
      <c r="F75" s="395"/>
      <c r="G75" s="395"/>
      <c r="H75" s="395"/>
      <c r="I75" s="395"/>
      <c r="J75" s="395"/>
      <c r="K75" s="395"/>
      <c r="L75" s="395"/>
      <c r="M75" s="395"/>
      <c r="N75" s="395"/>
      <c r="O75" s="395"/>
      <c r="P75" s="395"/>
      <c r="Q75" s="395"/>
      <c r="R75" s="395"/>
      <c r="S75" s="395"/>
      <c r="T75" s="395"/>
      <c r="U75" s="395"/>
      <c r="V75" s="395"/>
      <c r="W75" s="395"/>
      <c r="X75" s="395"/>
      <c r="Y75" s="396"/>
    </row>
  </sheetData>
  <mergeCells count="7">
    <mergeCell ref="B1:Y2"/>
    <mergeCell ref="B18:O18"/>
    <mergeCell ref="B4:D4"/>
    <mergeCell ref="E4:I4"/>
    <mergeCell ref="K4:Y4"/>
    <mergeCell ref="B6:O6"/>
    <mergeCell ref="Q6:Y6"/>
  </mergeCells>
  <conditionalFormatting sqref="C22:N22">
    <cfRule type="colorScale" priority="5">
      <colorScale>
        <cfvo type="num" val="-5"/>
        <cfvo type="num" val="0"/>
        <cfvo type="num" val="5"/>
        <color rgb="FFF8CBAD"/>
        <color rgb="FFFFFFFF"/>
        <color rgb="FFC6EFCE"/>
      </colorScale>
    </cfRule>
  </conditionalFormatting>
  <conditionalFormatting sqref="O8:O14">
    <cfRule type="dataBar" priority="2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{B24B5EB1-4BC4-43ED-A718-8237178AA2A8}</x14:id>
        </ext>
      </extLst>
    </cfRule>
  </conditionalFormatting>
  <conditionalFormatting sqref="R8:X28">
    <cfRule type="colorScale" priority="4">
      <colorScale>
        <cfvo type="min"/>
        <cfvo type="percentile" val="50"/>
        <cfvo type="max"/>
        <color rgb="FFFFFFFF"/>
        <color rgb="FFFFE699"/>
        <color rgb="FFF4B084"/>
      </colorScale>
    </cfRule>
  </conditionalFormatting>
  <conditionalFormatting sqref="Y8:Y28">
    <cfRule type="dataBar" priority="3">
      <dataBar>
        <cfvo type="min"/>
        <cfvo type="max"/>
        <color rgb="FFED7D31"/>
      </dataBar>
      <extLst>
        <ext xmlns:x14="http://schemas.microsoft.com/office/spreadsheetml/2009/9/main" uri="{B025F937-C7B1-47D3-B67F-A62EFF666E3E}">
          <x14:id>{BFC4C0CF-B9BF-4967-9910-924A9F10DB44}</x14:id>
        </ext>
      </extLst>
    </cfRule>
  </conditionalFormatting>
  <dataValidations count="1">
    <dataValidation type="list" errorTitle="Valeur invalide" error="Sélectionnez un agent valide dans la liste" promptTitle="Filtre" prompt="Choisissez un agent ou TOUS" sqref="E4" xr:uid="{00000000-0002-0000-0000-000000000000}">
      <formula1>$AB$5:$AB$26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24B5EB1-4BC4-43ED-A718-8237178AA2A8}">
            <x14:dataBar axisPosition="none">
              <x14:cfvo type="min"/>
              <x14:cfvo type="max"/>
              <x14:negativeFillColor rgb="FF4472C4"/>
            </x14:dataBar>
          </x14:cfRule>
          <xm:sqref>O8:O14</xm:sqref>
        </x14:conditionalFormatting>
        <x14:conditionalFormatting xmlns:xm="http://schemas.microsoft.com/office/excel/2006/main">
          <x14:cfRule type="dataBar" id="{BFC4C0CF-B9BF-4967-9910-924A9F10DB44}">
            <x14:dataBar axisPosition="none">
              <x14:cfvo type="min"/>
              <x14:cfvo type="max"/>
              <x14:negativeFillColor rgb="FFED7D31"/>
            </x14:dataBar>
          </x14:cfRule>
          <xm:sqref>Y8:Y28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AJ42"/>
  <sheetViews>
    <sheetView zoomScale="60" zoomScaleNormal="60" workbookViewId="0">
      <pane xSplit="5" topLeftCell="F23" activePane="topRight" state="frozen"/>
      <selection pane="topRight" activeCell="R50" sqref="R50"/>
      <selection activeCell="A10" sqref="A10"/>
    </sheetView>
  </sheetViews>
  <sheetFormatPr defaultColWidth="11.42578125" defaultRowHeight="18.95"/>
  <cols>
    <col min="1" max="1" width="12.42578125" customWidth="1"/>
    <col min="2" max="2" width="26.140625" customWidth="1"/>
    <col min="3" max="3" width="20" customWidth="1"/>
    <col min="4" max="4" width="21.42578125" style="12" customWidth="1"/>
    <col min="5" max="5" width="19.7109375" style="12" customWidth="1"/>
    <col min="6" max="6" width="13.7109375" style="13" customWidth="1"/>
    <col min="7" max="16" width="13.7109375" style="14" customWidth="1"/>
    <col min="17" max="17" width="15.28515625" style="14" customWidth="1"/>
    <col min="18" max="34" width="13.7109375" style="14" customWidth="1"/>
    <col min="35" max="35" width="27.140625" style="14" customWidth="1"/>
    <col min="36" max="36" width="10.7109375" style="14" customWidth="1"/>
  </cols>
  <sheetData>
    <row r="2" spans="1:35" ht="30" customHeight="1"/>
    <row r="3" spans="1:35" ht="30" customHeight="1">
      <c r="A3" s="15"/>
      <c r="B3" s="16"/>
      <c r="C3" s="16"/>
      <c r="D3" s="17"/>
      <c r="E3" s="17"/>
    </row>
    <row r="4" spans="1:35" ht="30" customHeight="1">
      <c r="A4" s="18" t="s">
        <v>23</v>
      </c>
      <c r="B4" s="409" t="s">
        <v>55</v>
      </c>
      <c r="C4" s="409"/>
      <c r="D4" s="409"/>
      <c r="E4" s="409"/>
      <c r="F4" s="19"/>
      <c r="G4" s="410" t="s">
        <v>56</v>
      </c>
      <c r="H4" s="410"/>
      <c r="I4" s="410"/>
      <c r="J4" s="410"/>
      <c r="K4" s="410"/>
      <c r="L4" s="410"/>
      <c r="M4" s="410"/>
      <c r="N4" s="411" t="s">
        <v>57</v>
      </c>
      <c r="O4" s="411"/>
      <c r="P4" s="411"/>
      <c r="Q4" s="411"/>
      <c r="R4" s="411"/>
      <c r="S4" s="411"/>
      <c r="T4" s="411"/>
      <c r="U4" s="412" t="s">
        <v>58</v>
      </c>
      <c r="V4" s="412"/>
      <c r="W4" s="412"/>
      <c r="X4" s="412"/>
      <c r="Y4" s="412"/>
      <c r="Z4" s="412"/>
      <c r="AA4" s="412"/>
      <c r="AB4" s="413" t="s">
        <v>59</v>
      </c>
      <c r="AC4" s="413"/>
      <c r="AD4" s="413"/>
      <c r="AE4" s="413"/>
      <c r="AF4" s="413"/>
      <c r="AG4" s="413"/>
      <c r="AH4" s="413"/>
    </row>
    <row r="5" spans="1:35" ht="30" customHeight="1">
      <c r="A5" s="20" t="s">
        <v>24</v>
      </c>
      <c r="B5" s="409"/>
      <c r="C5" s="409"/>
      <c r="D5" s="409"/>
      <c r="E5" s="409"/>
      <c r="F5" s="21"/>
      <c r="G5" s="22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4"/>
      <c r="AC5" s="24"/>
      <c r="AD5" s="24"/>
      <c r="AE5" s="24"/>
      <c r="AF5" s="24"/>
      <c r="AG5" s="24"/>
      <c r="AH5" s="25"/>
      <c r="AI5" s="26"/>
    </row>
    <row r="6" spans="1:35" ht="30" customHeight="1">
      <c r="A6" s="27" t="s">
        <v>25</v>
      </c>
      <c r="B6" s="415" t="s">
        <v>60</v>
      </c>
      <c r="C6" s="415"/>
      <c r="D6" s="415"/>
      <c r="E6" s="415"/>
      <c r="F6" s="28"/>
      <c r="G6" s="29" t="s">
        <v>61</v>
      </c>
      <c r="H6" s="30" t="s">
        <v>62</v>
      </c>
      <c r="I6" s="30" t="s">
        <v>63</v>
      </c>
      <c r="J6" s="30" t="s">
        <v>64</v>
      </c>
      <c r="K6" s="30" t="s">
        <v>65</v>
      </c>
      <c r="L6" s="31" t="s">
        <v>66</v>
      </c>
      <c r="M6" s="31" t="s">
        <v>67</v>
      </c>
      <c r="N6" s="30" t="s">
        <v>68</v>
      </c>
      <c r="O6" s="30" t="s">
        <v>62</v>
      </c>
      <c r="P6" s="30" t="s">
        <v>63</v>
      </c>
      <c r="Q6" s="30" t="s">
        <v>64</v>
      </c>
      <c r="R6" s="30" t="s">
        <v>65</v>
      </c>
      <c r="S6" s="31" t="s">
        <v>66</v>
      </c>
      <c r="T6" s="31" t="s">
        <v>67</v>
      </c>
      <c r="U6" s="30" t="s">
        <v>68</v>
      </c>
      <c r="V6" s="30" t="s">
        <v>62</v>
      </c>
      <c r="W6" s="30" t="s">
        <v>63</v>
      </c>
      <c r="X6" s="30" t="s">
        <v>64</v>
      </c>
      <c r="Y6" s="30" t="s">
        <v>65</v>
      </c>
      <c r="Z6" s="31" t="s">
        <v>66</v>
      </c>
      <c r="AA6" s="31" t="s">
        <v>67</v>
      </c>
      <c r="AB6" s="30" t="s">
        <v>68</v>
      </c>
      <c r="AC6" s="30" t="s">
        <v>62</v>
      </c>
      <c r="AD6" s="30" t="s">
        <v>63</v>
      </c>
      <c r="AE6" s="30" t="s">
        <v>64</v>
      </c>
      <c r="AF6" s="30" t="s">
        <v>65</v>
      </c>
      <c r="AG6" s="31" t="s">
        <v>66</v>
      </c>
      <c r="AH6" s="32" t="s">
        <v>67</v>
      </c>
      <c r="AI6" s="26"/>
    </row>
    <row r="7" spans="1:35" ht="30" customHeight="1">
      <c r="A7" s="33" t="s">
        <v>26</v>
      </c>
      <c r="B7" s="34" t="s">
        <v>69</v>
      </c>
      <c r="C7" s="35" t="s">
        <v>70</v>
      </c>
      <c r="D7" s="36" t="s">
        <v>71</v>
      </c>
      <c r="E7" s="37" t="s">
        <v>72</v>
      </c>
      <c r="F7" s="38"/>
      <c r="G7" s="39">
        <v>5</v>
      </c>
      <c r="H7" s="40">
        <v>6</v>
      </c>
      <c r="I7" s="40">
        <v>7</v>
      </c>
      <c r="J7" s="40">
        <v>8</v>
      </c>
      <c r="K7" s="40">
        <v>9</v>
      </c>
      <c r="L7" s="41">
        <v>10</v>
      </c>
      <c r="M7" s="41">
        <v>11</v>
      </c>
      <c r="N7" s="40">
        <v>12</v>
      </c>
      <c r="O7" s="40">
        <v>13</v>
      </c>
      <c r="P7" s="40">
        <v>14</v>
      </c>
      <c r="Q7" s="40">
        <v>15</v>
      </c>
      <c r="R7" s="40">
        <v>16</v>
      </c>
      <c r="S7" s="41">
        <v>17</v>
      </c>
      <c r="T7" s="41">
        <v>18</v>
      </c>
      <c r="U7" s="40">
        <v>19</v>
      </c>
      <c r="V7" s="40">
        <v>20</v>
      </c>
      <c r="W7" s="40">
        <v>21</v>
      </c>
      <c r="X7" s="40">
        <v>22</v>
      </c>
      <c r="Y7" s="40">
        <v>23</v>
      </c>
      <c r="Z7" s="41">
        <v>24</v>
      </c>
      <c r="AA7" s="41">
        <v>25</v>
      </c>
      <c r="AB7" s="40">
        <v>26</v>
      </c>
      <c r="AC7" s="40">
        <v>27</v>
      </c>
      <c r="AD7" s="40">
        <v>28</v>
      </c>
      <c r="AE7" s="40">
        <v>29</v>
      </c>
      <c r="AF7" s="40">
        <v>30</v>
      </c>
      <c r="AG7" s="41">
        <v>31</v>
      </c>
      <c r="AH7" s="42">
        <v>1</v>
      </c>
      <c r="AI7" s="26"/>
    </row>
    <row r="8" spans="1:35" ht="30" customHeight="1">
      <c r="A8" s="43" t="s">
        <v>27</v>
      </c>
      <c r="B8" s="416" t="s">
        <v>73</v>
      </c>
      <c r="C8" s="416"/>
      <c r="D8" s="45" t="s">
        <v>74</v>
      </c>
      <c r="E8" s="46" t="s">
        <v>75</v>
      </c>
      <c r="F8" s="47">
        <v>1</v>
      </c>
      <c r="G8" s="48"/>
      <c r="H8" s="49"/>
      <c r="I8" s="49"/>
      <c r="J8" s="49"/>
      <c r="K8" s="49"/>
      <c r="L8" s="50"/>
      <c r="M8" s="50"/>
      <c r="N8" s="49"/>
      <c r="O8" s="49"/>
      <c r="P8" s="49"/>
      <c r="Q8" s="49"/>
      <c r="R8" s="49"/>
      <c r="S8" s="50"/>
      <c r="T8" s="50"/>
      <c r="U8" s="49"/>
      <c r="V8" s="49"/>
      <c r="W8" s="51" t="s">
        <v>25</v>
      </c>
      <c r="X8" s="49"/>
      <c r="Y8" s="49"/>
      <c r="Z8" s="50"/>
      <c r="AA8" s="50"/>
      <c r="AB8" s="49"/>
      <c r="AC8" s="49" t="s">
        <v>76</v>
      </c>
      <c r="AD8" s="49"/>
      <c r="AE8" s="49"/>
      <c r="AF8" s="49"/>
      <c r="AG8" s="50"/>
      <c r="AH8" s="52"/>
    </row>
    <row r="9" spans="1:35" ht="30" customHeight="1">
      <c r="A9" s="53" t="s">
        <v>28</v>
      </c>
      <c r="B9" s="54" t="s">
        <v>77</v>
      </c>
      <c r="C9" s="55" t="s">
        <v>78</v>
      </c>
      <c r="D9" s="45" t="s">
        <v>79</v>
      </c>
      <c r="E9" s="46" t="s">
        <v>80</v>
      </c>
      <c r="F9" s="56">
        <v>1</v>
      </c>
      <c r="G9" s="57" t="s">
        <v>81</v>
      </c>
      <c r="H9" s="58" t="s">
        <v>81</v>
      </c>
      <c r="I9" s="58" t="s">
        <v>81</v>
      </c>
      <c r="J9" s="58" t="s">
        <v>81</v>
      </c>
      <c r="K9" s="58" t="s">
        <v>81</v>
      </c>
      <c r="L9" s="59"/>
      <c r="M9" s="59"/>
      <c r="N9" s="58">
        <v>8026</v>
      </c>
      <c r="O9" s="58">
        <v>8026</v>
      </c>
      <c r="P9" s="58">
        <v>8026</v>
      </c>
      <c r="Q9" s="58">
        <v>8026</v>
      </c>
      <c r="R9" s="58">
        <v>8026</v>
      </c>
      <c r="S9" s="59"/>
      <c r="T9" s="60" t="s">
        <v>82</v>
      </c>
      <c r="U9" s="58" t="s">
        <v>83</v>
      </c>
      <c r="V9" s="58" t="s">
        <v>83</v>
      </c>
      <c r="W9" s="58" t="s">
        <v>84</v>
      </c>
      <c r="X9" s="58" t="s">
        <v>83</v>
      </c>
      <c r="Y9" s="58" t="s">
        <v>83</v>
      </c>
      <c r="Z9" s="59"/>
      <c r="AA9" s="59"/>
      <c r="AB9" s="61" t="s">
        <v>85</v>
      </c>
      <c r="AC9" s="62" t="s">
        <v>86</v>
      </c>
      <c r="AD9" s="61" t="s">
        <v>87</v>
      </c>
      <c r="AE9" s="61" t="s">
        <v>87</v>
      </c>
      <c r="AF9" s="61" t="s">
        <v>87</v>
      </c>
      <c r="AG9" s="59"/>
      <c r="AH9" s="63"/>
    </row>
    <row r="10" spans="1:35" ht="30" customHeight="1">
      <c r="A10" s="417" t="s">
        <v>88</v>
      </c>
      <c r="B10" s="64" t="s">
        <v>89</v>
      </c>
      <c r="C10" s="65" t="s">
        <v>90</v>
      </c>
      <c r="D10" s="66" t="s">
        <v>91</v>
      </c>
      <c r="E10" s="67" t="s">
        <v>92</v>
      </c>
      <c r="F10" s="68">
        <v>0.6</v>
      </c>
      <c r="G10" s="69"/>
      <c r="H10" s="61"/>
      <c r="I10" s="61"/>
      <c r="J10" s="61"/>
      <c r="K10" s="61"/>
      <c r="L10" s="70"/>
      <c r="M10" s="70"/>
      <c r="N10" s="61"/>
      <c r="O10" s="61"/>
      <c r="P10" s="61"/>
      <c r="Q10" s="61"/>
      <c r="R10" s="61"/>
      <c r="S10" s="70"/>
      <c r="T10" s="70"/>
      <c r="U10" s="71" t="s">
        <v>23</v>
      </c>
      <c r="V10" s="71" t="s">
        <v>23</v>
      </c>
      <c r="W10" s="71" t="s">
        <v>23</v>
      </c>
      <c r="X10" s="71" t="s">
        <v>23</v>
      </c>
      <c r="Y10" s="71" t="s">
        <v>23</v>
      </c>
      <c r="Z10" s="70"/>
      <c r="AA10" s="70"/>
      <c r="AB10" s="61" t="s">
        <v>93</v>
      </c>
      <c r="AC10" s="61"/>
      <c r="AD10" s="61"/>
      <c r="AE10" s="61"/>
      <c r="AF10" s="61"/>
      <c r="AG10" s="70"/>
      <c r="AH10" s="72"/>
    </row>
    <row r="11" spans="1:35" ht="30" customHeight="1">
      <c r="A11" s="417"/>
      <c r="B11" s="64" t="s">
        <v>94</v>
      </c>
      <c r="C11" s="65" t="s">
        <v>95</v>
      </c>
      <c r="D11" s="73" t="s">
        <v>96</v>
      </c>
      <c r="E11" s="74" t="s">
        <v>97</v>
      </c>
      <c r="F11" s="75">
        <v>1</v>
      </c>
      <c r="G11" s="76"/>
      <c r="H11" s="58"/>
      <c r="I11" s="58"/>
      <c r="J11" s="58"/>
      <c r="K11" s="58"/>
      <c r="L11" s="59"/>
      <c r="M11" s="59"/>
      <c r="N11" s="58"/>
      <c r="O11" s="58"/>
      <c r="P11" s="58"/>
      <c r="Q11" s="58"/>
      <c r="R11" s="58"/>
      <c r="S11" s="59"/>
      <c r="T11" s="59"/>
      <c r="U11" s="58"/>
      <c r="V11" s="58"/>
      <c r="W11" s="58"/>
      <c r="X11" s="58"/>
      <c r="Y11" s="58"/>
      <c r="Z11" s="59"/>
      <c r="AA11" s="59"/>
      <c r="AB11" s="51" t="s">
        <v>25</v>
      </c>
      <c r="AC11" s="51" t="s">
        <v>25</v>
      </c>
      <c r="AD11" s="51" t="s">
        <v>25</v>
      </c>
      <c r="AE11" s="51" t="s">
        <v>25</v>
      </c>
      <c r="AF11" s="51" t="s">
        <v>25</v>
      </c>
      <c r="AG11" s="59"/>
      <c r="AH11" s="63"/>
    </row>
    <row r="12" spans="1:35" ht="30" customHeight="1">
      <c r="A12" s="417"/>
      <c r="B12" s="64" t="s">
        <v>98</v>
      </c>
      <c r="C12" s="65" t="s">
        <v>99</v>
      </c>
      <c r="D12" s="77" t="s">
        <v>100</v>
      </c>
      <c r="E12" s="78" t="s">
        <v>101</v>
      </c>
      <c r="F12" s="79">
        <v>1</v>
      </c>
      <c r="G12" s="69"/>
      <c r="H12" s="61"/>
      <c r="I12" s="61"/>
      <c r="J12" s="61"/>
      <c r="K12" s="61"/>
      <c r="L12" s="70"/>
      <c r="M12" s="70"/>
      <c r="N12" s="80" t="s">
        <v>26</v>
      </c>
      <c r="O12" s="80" t="s">
        <v>26</v>
      </c>
      <c r="P12" s="80" t="s">
        <v>26</v>
      </c>
      <c r="Q12" s="80" t="s">
        <v>26</v>
      </c>
      <c r="R12" s="80" t="s">
        <v>26</v>
      </c>
      <c r="S12" s="59"/>
      <c r="T12" s="59"/>
      <c r="U12" s="80" t="s">
        <v>26</v>
      </c>
      <c r="V12" s="80" t="s">
        <v>26</v>
      </c>
      <c r="W12" s="80" t="s">
        <v>26</v>
      </c>
      <c r="X12" s="80" t="s">
        <v>26</v>
      </c>
      <c r="Y12" s="80" t="s">
        <v>26</v>
      </c>
      <c r="Z12" s="59"/>
      <c r="AA12" s="70"/>
      <c r="AB12" s="80" t="s">
        <v>26</v>
      </c>
      <c r="AC12" s="80" t="s">
        <v>26</v>
      </c>
      <c r="AD12" s="80" t="s">
        <v>26</v>
      </c>
      <c r="AE12" s="80" t="s">
        <v>26</v>
      </c>
      <c r="AF12" s="80" t="s">
        <v>26</v>
      </c>
      <c r="AG12" s="59"/>
      <c r="AH12" s="72"/>
    </row>
    <row r="13" spans="1:35" ht="30" customHeight="1">
      <c r="A13" s="417"/>
      <c r="B13" s="64" t="s">
        <v>102</v>
      </c>
      <c r="C13" s="65" t="s">
        <v>103</v>
      </c>
      <c r="D13" s="77" t="s">
        <v>104</v>
      </c>
      <c r="E13" s="78" t="s">
        <v>105</v>
      </c>
      <c r="F13" s="79">
        <v>0.8</v>
      </c>
      <c r="G13" s="81" t="s">
        <v>106</v>
      </c>
      <c r="H13" s="51" t="s">
        <v>106</v>
      </c>
      <c r="I13" s="51" t="s">
        <v>106</v>
      </c>
      <c r="J13" s="51" t="s">
        <v>106</v>
      </c>
      <c r="K13" s="51" t="s">
        <v>106</v>
      </c>
      <c r="L13" s="59"/>
      <c r="M13" s="70"/>
      <c r="N13" s="51" t="s">
        <v>106</v>
      </c>
      <c r="O13" s="51" t="s">
        <v>106</v>
      </c>
      <c r="P13" s="51" t="s">
        <v>106</v>
      </c>
      <c r="Q13" s="51" t="s">
        <v>106</v>
      </c>
      <c r="R13" s="51" t="s">
        <v>106</v>
      </c>
      <c r="S13" s="59"/>
      <c r="T13" s="59"/>
      <c r="U13" s="82" t="s">
        <v>23</v>
      </c>
      <c r="V13" s="82" t="s">
        <v>23</v>
      </c>
      <c r="W13" s="82" t="s">
        <v>23</v>
      </c>
      <c r="X13" s="82" t="s">
        <v>23</v>
      </c>
      <c r="Y13" s="82" t="s">
        <v>23</v>
      </c>
      <c r="Z13" s="59"/>
      <c r="AA13" s="70"/>
      <c r="AB13" s="83" t="s">
        <v>25</v>
      </c>
      <c r="AC13" s="83" t="s">
        <v>25</v>
      </c>
      <c r="AD13" s="83" t="s">
        <v>25</v>
      </c>
      <c r="AE13" s="61"/>
      <c r="AF13" s="61"/>
      <c r="AG13" s="59"/>
      <c r="AH13" s="72"/>
    </row>
    <row r="14" spans="1:35" ht="30" customHeight="1">
      <c r="A14" s="417"/>
      <c r="B14" s="64" t="s">
        <v>107</v>
      </c>
      <c r="C14" s="65" t="s">
        <v>108</v>
      </c>
      <c r="D14" s="77" t="s">
        <v>109</v>
      </c>
      <c r="E14" s="78" t="s">
        <v>110</v>
      </c>
      <c r="F14" s="79">
        <v>1</v>
      </c>
      <c r="G14" s="69"/>
      <c r="H14" s="61"/>
      <c r="I14" s="58"/>
      <c r="J14" s="61"/>
      <c r="K14" s="61"/>
      <c r="L14" s="70"/>
      <c r="M14" s="70"/>
      <c r="N14" s="61"/>
      <c r="O14" s="61"/>
      <c r="P14" s="61"/>
      <c r="Q14" s="58"/>
      <c r="R14" s="58"/>
      <c r="S14" s="59"/>
      <c r="T14" s="59"/>
      <c r="U14" s="61"/>
      <c r="V14" s="61"/>
      <c r="W14" s="61"/>
      <c r="X14" s="58"/>
      <c r="Y14" s="61"/>
      <c r="Z14" s="59"/>
      <c r="AA14" s="70"/>
      <c r="AB14" s="61"/>
      <c r="AC14" s="61"/>
      <c r="AD14" s="58"/>
      <c r="AE14" s="61"/>
      <c r="AF14" s="61"/>
      <c r="AG14" s="59"/>
      <c r="AH14" s="72"/>
    </row>
    <row r="15" spans="1:35" ht="30" customHeight="1">
      <c r="A15" s="417"/>
      <c r="B15" s="64" t="s">
        <v>111</v>
      </c>
      <c r="C15" s="65" t="s">
        <v>112</v>
      </c>
      <c r="D15" s="77" t="s">
        <v>113</v>
      </c>
      <c r="E15" s="78" t="s">
        <v>114</v>
      </c>
      <c r="F15" s="79">
        <v>1</v>
      </c>
      <c r="G15" s="69"/>
      <c r="H15" s="61"/>
      <c r="I15" s="61"/>
      <c r="J15" s="61"/>
      <c r="K15" s="61"/>
      <c r="L15" s="59"/>
      <c r="M15" s="70"/>
      <c r="N15" s="61"/>
      <c r="O15" s="61"/>
      <c r="P15" s="61"/>
      <c r="Q15" s="58"/>
      <c r="R15" s="58"/>
      <c r="S15" s="59"/>
      <c r="T15" s="59"/>
      <c r="U15" s="61"/>
      <c r="V15" s="61"/>
      <c r="W15" s="61"/>
      <c r="X15" s="61"/>
      <c r="Y15" s="61"/>
      <c r="Z15" s="59"/>
      <c r="AA15" s="70"/>
      <c r="AB15" s="61"/>
      <c r="AC15" s="61"/>
      <c r="AD15" s="61"/>
      <c r="AE15" s="61"/>
      <c r="AF15" s="58" t="s">
        <v>115</v>
      </c>
      <c r="AG15" s="59"/>
      <c r="AH15" s="72"/>
    </row>
    <row r="16" spans="1:35" ht="30" customHeight="1">
      <c r="A16" s="417"/>
      <c r="B16" s="64" t="s">
        <v>116</v>
      </c>
      <c r="C16" s="65" t="s">
        <v>117</v>
      </c>
      <c r="D16" s="77" t="s">
        <v>118</v>
      </c>
      <c r="E16" s="78" t="s">
        <v>119</v>
      </c>
      <c r="F16" s="79">
        <v>1</v>
      </c>
      <c r="G16" s="69"/>
      <c r="H16" s="61"/>
      <c r="I16" s="61"/>
      <c r="J16" s="58"/>
      <c r="K16" s="61"/>
      <c r="L16" s="70"/>
      <c r="M16" s="70"/>
      <c r="N16" s="61"/>
      <c r="O16" s="61"/>
      <c r="P16" s="61"/>
      <c r="Q16" s="58"/>
      <c r="R16" s="58"/>
      <c r="S16" s="59"/>
      <c r="T16" s="59"/>
      <c r="U16" s="61"/>
      <c r="V16" s="61"/>
      <c r="W16" s="61"/>
      <c r="X16" s="61"/>
      <c r="Y16" s="58"/>
      <c r="Z16" s="59"/>
      <c r="AA16" s="70"/>
      <c r="AB16" s="61"/>
      <c r="AC16" s="61"/>
      <c r="AD16" s="61"/>
      <c r="AE16" s="58"/>
      <c r="AF16" s="61"/>
      <c r="AG16" s="59"/>
      <c r="AH16" s="72"/>
    </row>
    <row r="17" spans="1:35" ht="30" customHeight="1">
      <c r="A17" s="417"/>
      <c r="B17" s="64" t="s">
        <v>120</v>
      </c>
      <c r="C17" s="65" t="s">
        <v>121</v>
      </c>
      <c r="D17" s="77" t="s">
        <v>122</v>
      </c>
      <c r="E17" s="78" t="s">
        <v>123</v>
      </c>
      <c r="F17" s="79">
        <v>1</v>
      </c>
      <c r="G17" s="69"/>
      <c r="H17" s="61"/>
      <c r="I17" s="61"/>
      <c r="J17" s="61"/>
      <c r="K17" s="61"/>
      <c r="L17" s="59"/>
      <c r="M17" s="70"/>
      <c r="N17" s="61"/>
      <c r="O17" s="61"/>
      <c r="P17" s="61"/>
      <c r="Q17" s="58"/>
      <c r="R17" s="58"/>
      <c r="S17" s="59"/>
      <c r="T17" s="59"/>
      <c r="U17" s="61"/>
      <c r="V17" s="61"/>
      <c r="W17" s="61"/>
      <c r="X17" s="58"/>
      <c r="Y17" s="61"/>
      <c r="Z17" s="59"/>
      <c r="AA17" s="70"/>
      <c r="AB17" s="58"/>
      <c r="AC17" s="61"/>
      <c r="AD17" s="61"/>
      <c r="AE17" s="61"/>
      <c r="AF17" s="61"/>
      <c r="AG17" s="59"/>
      <c r="AH17" s="72"/>
    </row>
    <row r="18" spans="1:35" ht="30" customHeight="1">
      <c r="A18" s="417"/>
      <c r="B18" s="64" t="s">
        <v>124</v>
      </c>
      <c r="C18" s="65" t="s">
        <v>125</v>
      </c>
      <c r="D18" s="77" t="s">
        <v>126</v>
      </c>
      <c r="E18" s="78" t="s">
        <v>127</v>
      </c>
      <c r="F18" s="79">
        <v>1</v>
      </c>
      <c r="G18" s="69"/>
      <c r="H18" s="61"/>
      <c r="I18" s="61"/>
      <c r="J18" s="61"/>
      <c r="K18" s="58"/>
      <c r="L18" s="70"/>
      <c r="M18" s="70"/>
      <c r="N18" s="61"/>
      <c r="O18" s="61"/>
      <c r="P18" s="61"/>
      <c r="Q18" s="58"/>
      <c r="R18" s="58"/>
      <c r="S18" s="59"/>
      <c r="T18" s="59"/>
      <c r="U18" s="58"/>
      <c r="V18" s="61"/>
      <c r="W18" s="61"/>
      <c r="X18" s="61"/>
      <c r="Y18" s="61"/>
      <c r="Z18" s="59"/>
      <c r="AA18" s="70"/>
      <c r="AB18" s="61"/>
      <c r="AC18" s="61"/>
      <c r="AD18" s="61"/>
      <c r="AE18" s="61"/>
      <c r="AF18" s="58"/>
      <c r="AG18" s="59"/>
      <c r="AH18" s="72"/>
      <c r="AI18" s="14" t="s">
        <v>128</v>
      </c>
    </row>
    <row r="19" spans="1:35" ht="30" customHeight="1">
      <c r="A19" s="417"/>
      <c r="B19" s="64" t="s">
        <v>129</v>
      </c>
      <c r="C19" s="65" t="s">
        <v>130</v>
      </c>
      <c r="D19" s="84" t="s">
        <v>131</v>
      </c>
      <c r="E19" s="85" t="s">
        <v>132</v>
      </c>
      <c r="F19" s="79">
        <v>0.8</v>
      </c>
      <c r="G19" s="86" t="s">
        <v>23</v>
      </c>
      <c r="H19" s="82" t="s">
        <v>23</v>
      </c>
      <c r="I19" s="82" t="s">
        <v>23</v>
      </c>
      <c r="J19" s="82" t="s">
        <v>23</v>
      </c>
      <c r="K19" s="82" t="s">
        <v>23</v>
      </c>
      <c r="L19" s="87"/>
      <c r="M19" s="87"/>
      <c r="N19" s="88"/>
      <c r="O19" s="88"/>
      <c r="P19" s="88"/>
      <c r="Q19" s="58"/>
      <c r="R19" s="58"/>
      <c r="S19" s="59"/>
      <c r="T19" s="59"/>
      <c r="U19" s="58"/>
      <c r="V19" s="61"/>
      <c r="W19" s="61"/>
      <c r="X19" s="61"/>
      <c r="Y19" s="61"/>
      <c r="Z19" s="59"/>
      <c r="AA19" s="70"/>
      <c r="AB19" s="89" t="s">
        <v>28</v>
      </c>
      <c r="AC19" s="89" t="s">
        <v>28</v>
      </c>
      <c r="AD19" s="89" t="s">
        <v>28</v>
      </c>
      <c r="AE19" s="89" t="s">
        <v>28</v>
      </c>
      <c r="AF19" s="89" t="s">
        <v>28</v>
      </c>
      <c r="AG19" s="59"/>
      <c r="AH19" s="90"/>
    </row>
    <row r="20" spans="1:35" ht="30" customHeight="1">
      <c r="A20" s="417"/>
      <c r="B20" s="64" t="s">
        <v>133</v>
      </c>
      <c r="C20" s="65" t="s">
        <v>134</v>
      </c>
      <c r="D20" s="84" t="s">
        <v>135</v>
      </c>
      <c r="E20" s="85" t="s">
        <v>136</v>
      </c>
      <c r="F20" s="79">
        <v>1</v>
      </c>
      <c r="G20" s="91"/>
      <c r="H20" s="88"/>
      <c r="I20" s="88"/>
      <c r="J20" s="88"/>
      <c r="K20" s="58"/>
      <c r="L20" s="87"/>
      <c r="M20" s="87"/>
      <c r="N20" s="88"/>
      <c r="O20" s="88"/>
      <c r="P20" s="88"/>
      <c r="Q20" s="58"/>
      <c r="R20" s="58"/>
      <c r="S20" s="59"/>
      <c r="T20" s="59"/>
      <c r="U20" s="58"/>
      <c r="V20" s="61"/>
      <c r="W20" s="61"/>
      <c r="X20" s="61"/>
      <c r="Y20" s="61"/>
      <c r="Z20" s="59"/>
      <c r="AA20" s="70"/>
      <c r="AB20" s="61"/>
      <c r="AC20" s="61"/>
      <c r="AD20" s="61"/>
      <c r="AE20" s="61"/>
      <c r="AF20" s="58"/>
      <c r="AG20" s="59"/>
      <c r="AH20" s="90"/>
    </row>
    <row r="21" spans="1:35" ht="30" customHeight="1">
      <c r="A21" s="417"/>
      <c r="B21" s="64" t="s">
        <v>137</v>
      </c>
      <c r="C21" s="65" t="s">
        <v>138</v>
      </c>
      <c r="D21" s="84" t="s">
        <v>139</v>
      </c>
      <c r="E21" s="85" t="s">
        <v>140</v>
      </c>
      <c r="F21" s="79">
        <v>1</v>
      </c>
      <c r="G21" s="91"/>
      <c r="H21" s="88"/>
      <c r="I21" s="88"/>
      <c r="J21" s="88"/>
      <c r="K21" s="58"/>
      <c r="L21" s="87"/>
      <c r="M21" s="87"/>
      <c r="N21" s="88"/>
      <c r="O21" s="88"/>
      <c r="P21" s="88"/>
      <c r="Q21" s="58"/>
      <c r="R21" s="58"/>
      <c r="S21" s="59"/>
      <c r="T21" s="59"/>
      <c r="U21" s="58"/>
      <c r="V21" s="61"/>
      <c r="W21" s="61"/>
      <c r="X21" s="61"/>
      <c r="Y21" s="61"/>
      <c r="Z21" s="59"/>
      <c r="AA21" s="70"/>
      <c r="AB21" s="61"/>
      <c r="AC21" s="61"/>
      <c r="AD21" s="61"/>
      <c r="AE21" s="61"/>
      <c r="AF21" s="58"/>
      <c r="AG21" s="59"/>
      <c r="AH21" s="90"/>
    </row>
    <row r="22" spans="1:35" ht="30" customHeight="1">
      <c r="A22" s="417"/>
      <c r="B22" s="64" t="s">
        <v>141</v>
      </c>
      <c r="C22" s="65" t="s">
        <v>142</v>
      </c>
      <c r="D22" s="84" t="s">
        <v>143</v>
      </c>
      <c r="E22" s="85" t="s">
        <v>144</v>
      </c>
      <c r="F22" s="79">
        <v>1</v>
      </c>
      <c r="G22" s="91"/>
      <c r="H22" s="88"/>
      <c r="I22" s="88"/>
      <c r="J22" s="88"/>
      <c r="K22" s="92"/>
      <c r="L22" s="87"/>
      <c r="M22" s="87"/>
      <c r="N22" s="93" t="s">
        <v>25</v>
      </c>
      <c r="O22" s="93" t="s">
        <v>25</v>
      </c>
      <c r="P22" s="93" t="s">
        <v>25</v>
      </c>
      <c r="Q22" s="93" t="s">
        <v>145</v>
      </c>
      <c r="R22" s="93" t="s">
        <v>25</v>
      </c>
      <c r="S22" s="94"/>
      <c r="T22" s="94"/>
      <c r="U22" s="92"/>
      <c r="V22" s="88"/>
      <c r="W22" s="88"/>
      <c r="X22" s="88"/>
      <c r="Y22" s="88"/>
      <c r="Z22" s="94"/>
      <c r="AA22" s="87"/>
      <c r="AB22" s="88"/>
      <c r="AC22" s="88"/>
      <c r="AD22" s="88"/>
      <c r="AE22" s="88"/>
      <c r="AF22" s="92"/>
      <c r="AG22" s="94"/>
      <c r="AH22" s="90"/>
    </row>
    <row r="23" spans="1:35" ht="30" customHeight="1">
      <c r="A23" s="417"/>
      <c r="B23" s="64" t="s">
        <v>146</v>
      </c>
      <c r="C23" s="65"/>
      <c r="D23" s="95" t="s">
        <v>147</v>
      </c>
      <c r="E23" s="85" t="s">
        <v>148</v>
      </c>
      <c r="F23" s="21">
        <v>1</v>
      </c>
      <c r="G23" s="96" t="s">
        <v>27</v>
      </c>
      <c r="H23" s="97" t="s">
        <v>27</v>
      </c>
      <c r="I23" s="97" t="s">
        <v>27</v>
      </c>
      <c r="J23" s="97" t="s">
        <v>27</v>
      </c>
      <c r="K23" s="97" t="s">
        <v>27</v>
      </c>
      <c r="L23" s="98"/>
      <c r="M23" s="98"/>
      <c r="N23" s="99">
        <v>8008</v>
      </c>
      <c r="O23" s="99">
        <v>8008</v>
      </c>
      <c r="P23" s="99">
        <v>8008</v>
      </c>
      <c r="Q23" s="99">
        <v>8008</v>
      </c>
      <c r="R23" s="99">
        <v>8008</v>
      </c>
      <c r="S23" s="98"/>
      <c r="T23" s="98"/>
      <c r="U23" s="99" t="s">
        <v>149</v>
      </c>
      <c r="V23" s="99" t="s">
        <v>149</v>
      </c>
      <c r="W23" s="99" t="s">
        <v>149</v>
      </c>
      <c r="X23" s="99" t="s">
        <v>149</v>
      </c>
      <c r="Y23" s="99" t="s">
        <v>149</v>
      </c>
      <c r="Z23" s="98"/>
      <c r="AA23" s="98"/>
      <c r="AB23" s="99" t="s">
        <v>149</v>
      </c>
      <c r="AC23" s="99" t="s">
        <v>149</v>
      </c>
      <c r="AD23" s="99" t="s">
        <v>149</v>
      </c>
      <c r="AE23" s="99" t="s">
        <v>149</v>
      </c>
      <c r="AF23" s="99" t="s">
        <v>149</v>
      </c>
      <c r="AG23" s="98"/>
      <c r="AH23" s="100"/>
    </row>
    <row r="24" spans="1:35" ht="30" customHeight="1">
      <c r="A24" s="417"/>
      <c r="B24" s="101" t="s">
        <v>150</v>
      </c>
      <c r="C24" s="65"/>
      <c r="D24" s="84" t="s">
        <v>151</v>
      </c>
      <c r="E24" s="85" t="s">
        <v>152</v>
      </c>
      <c r="F24" s="102">
        <v>1</v>
      </c>
      <c r="G24" s="103" t="s">
        <v>149</v>
      </c>
      <c r="H24" s="104" t="s">
        <v>149</v>
      </c>
      <c r="I24" s="104" t="s">
        <v>149</v>
      </c>
      <c r="J24" s="104" t="s">
        <v>149</v>
      </c>
      <c r="K24" s="104" t="s">
        <v>149</v>
      </c>
      <c r="L24" s="105"/>
      <c r="M24" s="105"/>
      <c r="N24" s="104" t="s">
        <v>153</v>
      </c>
      <c r="O24" s="104" t="s">
        <v>153</v>
      </c>
      <c r="P24" s="104" t="s">
        <v>153</v>
      </c>
      <c r="Q24" s="104" t="s">
        <v>153</v>
      </c>
      <c r="R24" s="106" t="s">
        <v>25</v>
      </c>
      <c r="S24" s="105"/>
      <c r="T24" s="105"/>
      <c r="U24" s="104" t="s">
        <v>154</v>
      </c>
      <c r="V24" s="104" t="s">
        <v>154</v>
      </c>
      <c r="W24" s="104" t="s">
        <v>154</v>
      </c>
      <c r="X24" s="104" t="s">
        <v>154</v>
      </c>
      <c r="Y24" s="104" t="s">
        <v>154</v>
      </c>
      <c r="Z24" s="105"/>
      <c r="AA24" s="105"/>
      <c r="AB24" s="104" t="s">
        <v>155</v>
      </c>
      <c r="AC24" s="104" t="s">
        <v>155</v>
      </c>
      <c r="AD24" s="104" t="s">
        <v>155</v>
      </c>
      <c r="AE24" s="104" t="s">
        <v>155</v>
      </c>
      <c r="AF24" s="104" t="s">
        <v>155</v>
      </c>
      <c r="AG24" s="105"/>
      <c r="AH24" s="107"/>
    </row>
    <row r="25" spans="1:35" ht="30" customHeight="1">
      <c r="A25" s="418" t="s">
        <v>156</v>
      </c>
      <c r="B25" s="108" t="s">
        <v>157</v>
      </c>
      <c r="C25" s="109" t="s">
        <v>158</v>
      </c>
      <c r="D25" s="110" t="s">
        <v>159</v>
      </c>
      <c r="E25" s="111" t="s">
        <v>160</v>
      </c>
      <c r="F25" s="112">
        <v>1</v>
      </c>
      <c r="G25" s="113" t="s">
        <v>161</v>
      </c>
      <c r="H25" s="114" t="s">
        <v>161</v>
      </c>
      <c r="I25" s="114" t="s">
        <v>157</v>
      </c>
      <c r="J25" s="114" t="s">
        <v>157</v>
      </c>
      <c r="K25" s="114" t="s">
        <v>157</v>
      </c>
      <c r="L25" s="115"/>
      <c r="M25" s="116"/>
      <c r="N25" s="114" t="s">
        <v>157</v>
      </c>
      <c r="O25" s="114" t="s">
        <v>157</v>
      </c>
      <c r="P25" s="114" t="s">
        <v>157</v>
      </c>
      <c r="Q25" s="114" t="s">
        <v>157</v>
      </c>
      <c r="R25" s="114" t="s">
        <v>157</v>
      </c>
      <c r="S25" s="116"/>
      <c r="T25" s="116"/>
      <c r="U25" s="114" t="s">
        <v>157</v>
      </c>
      <c r="V25" s="114" t="s">
        <v>157</v>
      </c>
      <c r="W25" s="114" t="s">
        <v>157</v>
      </c>
      <c r="X25" s="114" t="s">
        <v>157</v>
      </c>
      <c r="Y25" s="114" t="s">
        <v>157</v>
      </c>
      <c r="Z25" s="116"/>
      <c r="AA25" s="116"/>
      <c r="AB25" s="114" t="s">
        <v>157</v>
      </c>
      <c r="AC25" s="114" t="s">
        <v>157</v>
      </c>
      <c r="AD25" s="114" t="s">
        <v>157</v>
      </c>
      <c r="AE25" s="114" t="s">
        <v>157</v>
      </c>
      <c r="AF25" s="114" t="s">
        <v>157</v>
      </c>
      <c r="AG25" s="116"/>
      <c r="AH25" s="117"/>
    </row>
    <row r="26" spans="1:35" ht="30" customHeight="1">
      <c r="A26" s="418"/>
      <c r="B26" s="118" t="s">
        <v>161</v>
      </c>
      <c r="C26" s="119" t="s">
        <v>158</v>
      </c>
      <c r="D26" s="120" t="s">
        <v>162</v>
      </c>
      <c r="E26" s="121" t="s">
        <v>163</v>
      </c>
      <c r="F26" s="112">
        <v>1</v>
      </c>
      <c r="G26" s="122" t="s">
        <v>27</v>
      </c>
      <c r="H26" s="123" t="s">
        <v>27</v>
      </c>
      <c r="I26" s="123" t="s">
        <v>27</v>
      </c>
      <c r="J26" s="83" t="s">
        <v>25</v>
      </c>
      <c r="K26" s="83" t="s">
        <v>25</v>
      </c>
      <c r="L26" s="70"/>
      <c r="M26" s="94"/>
      <c r="N26" s="88" t="s">
        <v>161</v>
      </c>
      <c r="O26" s="88" t="s">
        <v>161</v>
      </c>
      <c r="P26" s="88" t="s">
        <v>161</v>
      </c>
      <c r="Q26" s="88" t="s">
        <v>161</v>
      </c>
      <c r="R26" s="88" t="s">
        <v>161</v>
      </c>
      <c r="S26" s="70"/>
      <c r="T26" s="94"/>
      <c r="U26" s="88" t="s">
        <v>161</v>
      </c>
      <c r="V26" s="88" t="s">
        <v>161</v>
      </c>
      <c r="W26" s="88" t="s">
        <v>161</v>
      </c>
      <c r="X26" s="88" t="s">
        <v>161</v>
      </c>
      <c r="Y26" s="88" t="s">
        <v>161</v>
      </c>
      <c r="Z26" s="94"/>
      <c r="AA26" s="94"/>
      <c r="AB26" s="88" t="s">
        <v>161</v>
      </c>
      <c r="AC26" s="88" t="s">
        <v>161</v>
      </c>
      <c r="AD26" s="88" t="s">
        <v>161</v>
      </c>
      <c r="AE26" s="88" t="s">
        <v>161</v>
      </c>
      <c r="AF26" s="88" t="s">
        <v>161</v>
      </c>
      <c r="AG26" s="94"/>
      <c r="AH26" s="124"/>
    </row>
    <row r="27" spans="1:35" ht="30" customHeight="1">
      <c r="A27" s="418"/>
      <c r="B27" s="118" t="s">
        <v>164</v>
      </c>
      <c r="C27" s="119" t="s">
        <v>158</v>
      </c>
      <c r="D27" s="119" t="s">
        <v>165</v>
      </c>
      <c r="E27" s="125" t="s">
        <v>105</v>
      </c>
      <c r="F27" s="21">
        <v>1</v>
      </c>
      <c r="G27" s="69" t="s">
        <v>157</v>
      </c>
      <c r="H27" s="88" t="s">
        <v>157</v>
      </c>
      <c r="I27" s="88" t="s">
        <v>157</v>
      </c>
      <c r="J27" s="88" t="s">
        <v>157</v>
      </c>
      <c r="K27" s="88" t="s">
        <v>157</v>
      </c>
      <c r="L27" s="70"/>
      <c r="M27" s="87"/>
      <c r="N27" s="88" t="s">
        <v>166</v>
      </c>
      <c r="O27" s="88" t="s">
        <v>166</v>
      </c>
      <c r="P27" s="88" t="s">
        <v>166</v>
      </c>
      <c r="Q27" s="88" t="s">
        <v>166</v>
      </c>
      <c r="R27" s="88" t="s">
        <v>153</v>
      </c>
      <c r="S27" s="70"/>
      <c r="T27" s="87"/>
      <c r="U27" s="88" t="s">
        <v>167</v>
      </c>
      <c r="V27" s="88" t="s">
        <v>167</v>
      </c>
      <c r="W27" s="88" t="s">
        <v>167</v>
      </c>
      <c r="X27" s="88" t="s">
        <v>168</v>
      </c>
      <c r="Y27" s="88" t="s">
        <v>168</v>
      </c>
      <c r="Z27" s="70"/>
      <c r="AA27" s="87"/>
      <c r="AB27" s="88" t="s">
        <v>169</v>
      </c>
      <c r="AC27" s="88" t="s">
        <v>169</v>
      </c>
      <c r="AD27" s="88" t="s">
        <v>169</v>
      </c>
      <c r="AE27" s="126" t="s">
        <v>25</v>
      </c>
      <c r="AF27" s="126" t="s">
        <v>25</v>
      </c>
      <c r="AG27" s="70"/>
      <c r="AH27" s="72"/>
    </row>
    <row r="28" spans="1:35" ht="30" customHeight="1">
      <c r="A28" s="418"/>
      <c r="B28" s="127" t="s">
        <v>170</v>
      </c>
      <c r="C28" s="128" t="s">
        <v>158</v>
      </c>
      <c r="D28" s="128" t="s">
        <v>171</v>
      </c>
      <c r="E28" s="129" t="s">
        <v>172</v>
      </c>
      <c r="F28" s="21">
        <v>1</v>
      </c>
      <c r="G28" s="130" t="s">
        <v>28</v>
      </c>
      <c r="H28" s="89" t="s">
        <v>28</v>
      </c>
      <c r="I28" s="89" t="s">
        <v>28</v>
      </c>
      <c r="J28" s="89" t="s">
        <v>28</v>
      </c>
      <c r="K28" s="89" t="s">
        <v>28</v>
      </c>
      <c r="L28" s="87"/>
      <c r="M28" s="87"/>
      <c r="N28" s="89" t="s">
        <v>28</v>
      </c>
      <c r="O28" s="89" t="s">
        <v>28</v>
      </c>
      <c r="P28" s="89" t="s">
        <v>28</v>
      </c>
      <c r="Q28" s="89" t="s">
        <v>28</v>
      </c>
      <c r="R28" s="89" t="s">
        <v>28</v>
      </c>
      <c r="S28" s="94"/>
      <c r="T28" s="94"/>
      <c r="U28" s="89" t="s">
        <v>28</v>
      </c>
      <c r="V28" s="89" t="s">
        <v>28</v>
      </c>
      <c r="W28" s="89" t="s">
        <v>28</v>
      </c>
      <c r="X28" s="88" t="s">
        <v>173</v>
      </c>
      <c r="Y28" s="88" t="s">
        <v>173</v>
      </c>
      <c r="Z28" s="94"/>
      <c r="AA28" s="131" t="s">
        <v>82</v>
      </c>
      <c r="AB28" s="92" t="s">
        <v>167</v>
      </c>
      <c r="AC28" s="92" t="s">
        <v>167</v>
      </c>
      <c r="AD28" s="92" t="s">
        <v>167</v>
      </c>
      <c r="AE28" s="92" t="s">
        <v>167</v>
      </c>
      <c r="AF28" s="92" t="s">
        <v>167</v>
      </c>
      <c r="AG28" s="94"/>
      <c r="AH28" s="124"/>
    </row>
    <row r="29" spans="1:35" ht="30" customHeight="1">
      <c r="A29" s="419" t="s">
        <v>174</v>
      </c>
      <c r="B29" s="419"/>
      <c r="C29" s="419"/>
      <c r="D29" s="419"/>
      <c r="E29" s="419"/>
      <c r="F29" s="132">
        <f>SUM(F8:F28)</f>
        <v>20.2</v>
      </c>
      <c r="G29" s="133"/>
      <c r="H29" s="134"/>
      <c r="I29" s="134"/>
      <c r="J29" s="135"/>
      <c r="K29" s="134"/>
      <c r="L29" s="116"/>
      <c r="M29" s="116"/>
      <c r="N29" s="134"/>
      <c r="O29" s="134"/>
      <c r="P29" s="134"/>
      <c r="Q29" s="134"/>
      <c r="R29" s="134"/>
      <c r="S29" s="116"/>
      <c r="T29" s="116"/>
      <c r="U29" s="134"/>
      <c r="V29" s="134"/>
      <c r="W29" s="134"/>
      <c r="X29" s="134"/>
      <c r="Y29" s="134"/>
      <c r="Z29" s="116"/>
      <c r="AA29" s="116"/>
      <c r="AB29" s="114"/>
      <c r="AC29" s="114"/>
      <c r="AD29" s="114"/>
      <c r="AE29" s="114"/>
      <c r="AF29" s="114"/>
      <c r="AG29" s="116"/>
      <c r="AH29" s="117"/>
    </row>
    <row r="30" spans="1:35" ht="30" customHeight="1">
      <c r="A30" s="419"/>
      <c r="B30" s="419"/>
      <c r="C30" s="419"/>
      <c r="D30" s="419"/>
      <c r="E30" s="419"/>
      <c r="F30" s="21"/>
      <c r="G30" s="69"/>
      <c r="H30" s="136"/>
      <c r="I30" s="136"/>
      <c r="J30" s="136"/>
      <c r="K30" s="136"/>
      <c r="L30" s="137"/>
      <c r="M30" s="137"/>
      <c r="N30" s="136"/>
      <c r="O30" s="136"/>
      <c r="P30" s="136"/>
      <c r="Q30" s="136"/>
      <c r="R30" s="136"/>
      <c r="S30" s="137"/>
      <c r="T30" s="137"/>
      <c r="U30" s="136"/>
      <c r="V30" s="136"/>
      <c r="W30" s="136"/>
      <c r="X30" s="136"/>
      <c r="Y30" s="136"/>
      <c r="Z30" s="137"/>
      <c r="AA30" s="137"/>
      <c r="AB30" s="136"/>
      <c r="AC30" s="136"/>
      <c r="AD30" s="136"/>
      <c r="AE30" s="136"/>
      <c r="AF30" s="136"/>
      <c r="AG30" s="137"/>
      <c r="AH30" s="138"/>
    </row>
    <row r="31" spans="1:35" ht="30" customHeight="1">
      <c r="A31" s="419"/>
      <c r="B31" s="419"/>
      <c r="C31" s="419"/>
      <c r="D31" s="419"/>
      <c r="E31" s="419"/>
      <c r="F31" s="21"/>
      <c r="G31" s="139"/>
      <c r="H31" s="140"/>
      <c r="I31" s="140"/>
      <c r="J31" s="140"/>
      <c r="K31" s="140"/>
      <c r="L31" s="141"/>
      <c r="M31" s="141"/>
      <c r="N31" s="140"/>
      <c r="O31" s="140"/>
      <c r="P31" s="140"/>
      <c r="Q31" s="140"/>
      <c r="R31" s="140"/>
      <c r="S31" s="141"/>
      <c r="T31" s="141"/>
      <c r="U31" s="140"/>
      <c r="V31" s="140"/>
      <c r="W31" s="140"/>
      <c r="X31" s="140"/>
      <c r="Y31" s="140"/>
      <c r="Z31" s="141"/>
      <c r="AA31" s="141"/>
      <c r="AB31" s="140"/>
      <c r="AC31" s="140"/>
      <c r="AD31" s="140"/>
      <c r="AE31" s="140"/>
      <c r="AF31" s="140"/>
      <c r="AG31" s="141"/>
      <c r="AH31" s="142"/>
    </row>
    <row r="32" spans="1:35" ht="30" customHeight="1">
      <c r="A32" s="414" t="s">
        <v>175</v>
      </c>
      <c r="B32" s="414"/>
      <c r="C32" s="414"/>
      <c r="D32" s="414"/>
      <c r="E32" s="414"/>
      <c r="F32" s="143"/>
      <c r="G32" s="144">
        <f>COUNTA(G29:G31)</f>
        <v>0</v>
      </c>
      <c r="H32" s="144">
        <f>COUNTA(H29:H31)</f>
        <v>0</v>
      </c>
      <c r="I32" s="144">
        <f>COUNTA(I29:I31)</f>
        <v>0</v>
      </c>
      <c r="J32" s="144">
        <f>COUNTA(J29:J31)</f>
        <v>0</v>
      </c>
      <c r="K32" s="144">
        <f>COUNTA(K29:K31)</f>
        <v>0</v>
      </c>
      <c r="L32" s="145"/>
      <c r="M32" s="145"/>
      <c r="N32" s="144">
        <f>COUNTA(N29:N31)</f>
        <v>0</v>
      </c>
      <c r="O32" s="144">
        <f>COUNTA(O29:O31)</f>
        <v>0</v>
      </c>
      <c r="P32" s="144">
        <f>COUNTA(P29:P31)</f>
        <v>0</v>
      </c>
      <c r="Q32" s="144">
        <f>COUNTA(Q29:Q31)</f>
        <v>0</v>
      </c>
      <c r="R32" s="144">
        <f>COUNTA(R29:R31)</f>
        <v>0</v>
      </c>
      <c r="S32" s="146"/>
      <c r="T32" s="146"/>
      <c r="U32" s="144">
        <f>COUNTA(U29:U31)</f>
        <v>0</v>
      </c>
      <c r="V32" s="144">
        <f>COUNTA(V29:V31)</f>
        <v>0</v>
      </c>
      <c r="W32" s="144">
        <f>COUNTA(W29:W31)</f>
        <v>0</v>
      </c>
      <c r="X32" s="144">
        <f>COUNTA(X29:X31)</f>
        <v>0</v>
      </c>
      <c r="Y32" s="144">
        <f>COUNTA(Y29:Y31)</f>
        <v>0</v>
      </c>
      <c r="Z32" s="146"/>
      <c r="AA32" s="146"/>
      <c r="AB32" s="144">
        <f>COUNTA(AB29:AB31)</f>
        <v>0</v>
      </c>
      <c r="AC32" s="144">
        <f>COUNTA(AC29:AC31)</f>
        <v>0</v>
      </c>
      <c r="AD32" s="144">
        <f>COUNTA(AD29:AD31)</f>
        <v>0</v>
      </c>
      <c r="AE32" s="144">
        <f>COUNTA(AE29:AE31)</f>
        <v>0</v>
      </c>
      <c r="AF32" s="144">
        <f>COUNTA(AF29:AF31)</f>
        <v>0</v>
      </c>
      <c r="AG32" s="146"/>
      <c r="AH32" s="147"/>
    </row>
    <row r="33" spans="4:34" ht="30" customHeight="1">
      <c r="D33" s="86" t="s">
        <v>176</v>
      </c>
      <c r="E33" s="86">
        <f t="shared" ref="E33:E38" si="0">SUM(L33,S33,Z33,AG33)</f>
        <v>15</v>
      </c>
      <c r="F33" s="86" t="s">
        <v>23</v>
      </c>
      <c r="G33" s="148">
        <f>COUNTIF(G8:G31,"TP")</f>
        <v>1</v>
      </c>
      <c r="H33" s="148">
        <f>COUNTIF(H9:H31,"TP")</f>
        <v>1</v>
      </c>
      <c r="I33" s="148">
        <f>COUNTIF(I9:I31,"TP")</f>
        <v>1</v>
      </c>
      <c r="J33" s="148">
        <f>COUNTIF(J9:J31,"TP")</f>
        <v>1</v>
      </c>
      <c r="K33" s="148">
        <f>COUNTIF(K9:K31,"TP")</f>
        <v>1</v>
      </c>
      <c r="L33" s="149">
        <f t="shared" ref="L33:L38" si="1">SUM(G33:K33)</f>
        <v>5</v>
      </c>
      <c r="M33" s="149"/>
      <c r="N33" s="148">
        <f>COUNTIF(N9:N31,"TP")</f>
        <v>0</v>
      </c>
      <c r="O33" s="148">
        <f>COUNTIF(O9:O31,"TP")</f>
        <v>0</v>
      </c>
      <c r="P33" s="148">
        <f>COUNTIF(P9:P31,"TP")</f>
        <v>0</v>
      </c>
      <c r="Q33" s="148">
        <f>COUNTIF(Q9:Q31,"TP")</f>
        <v>0</v>
      </c>
      <c r="R33" s="148">
        <f>COUNTIF(R9:R31,"TP")</f>
        <v>0</v>
      </c>
      <c r="S33" s="150">
        <f t="shared" ref="S33:S38" si="2">SUM(N33:R33)</f>
        <v>0</v>
      </c>
      <c r="T33" s="150"/>
      <c r="U33" s="148">
        <f>COUNTIF(U9:U31,"TP")</f>
        <v>2</v>
      </c>
      <c r="V33" s="148">
        <f>COUNTIF(V9:V31,"TP")</f>
        <v>2</v>
      </c>
      <c r="W33" s="148">
        <f>COUNTIF(W9:W31,"TP")</f>
        <v>2</v>
      </c>
      <c r="X33" s="148">
        <f>COUNTIF(X9:X31,"TP")</f>
        <v>2</v>
      </c>
      <c r="Y33" s="148">
        <f>COUNTIF(Y9:Y31,"TP")</f>
        <v>2</v>
      </c>
      <c r="Z33" s="150">
        <f t="shared" ref="Z33:Z38" si="3">SUM(U33:Y33)</f>
        <v>10</v>
      </c>
      <c r="AA33" s="150"/>
      <c r="AB33" s="148">
        <f>COUNTIF(AB9:AB31,"TP")</f>
        <v>0</v>
      </c>
      <c r="AC33" s="148">
        <f>COUNTIF(AC9:AC31,"TP")</f>
        <v>0</v>
      </c>
      <c r="AD33" s="148">
        <f>COUNTIF(AD9:AD31,"TP")</f>
        <v>0</v>
      </c>
      <c r="AE33" s="148">
        <f>COUNTIF(AE9:AE31,"TP")</f>
        <v>0</v>
      </c>
      <c r="AF33" s="148">
        <f>COUNTIF(AF9:AF31,"TP")</f>
        <v>0</v>
      </c>
      <c r="AG33" s="150">
        <f t="shared" ref="AG33:AG38" si="4">SUM(AB33:AF33)</f>
        <v>0</v>
      </c>
      <c r="AH33" s="151"/>
    </row>
    <row r="34" spans="4:34" ht="30" customHeight="1">
      <c r="D34" s="152" t="s">
        <v>176</v>
      </c>
      <c r="E34" s="152">
        <f t="shared" si="0"/>
        <v>10</v>
      </c>
      <c r="F34" s="152" t="s">
        <v>24</v>
      </c>
      <c r="G34" s="148">
        <f>COUNTIF(G8:G31,"CSE") + COUNTIF(G8:G31,"RPX")</f>
        <v>1</v>
      </c>
      <c r="H34" s="148">
        <f>COUNTIF(H9:H31,"CSE") + COUNTIF(H9:H31,"RPX")</f>
        <v>1</v>
      </c>
      <c r="I34" s="148">
        <f>COUNTIF(I9:I31,"CSE") + COUNTIF(I9:I31,"RPX")</f>
        <v>1</v>
      </c>
      <c r="J34" s="148">
        <f>COUNTIF(J9:J31,"CSE") + COUNTIF(J9:J31,"RPX")</f>
        <v>1</v>
      </c>
      <c r="K34" s="148">
        <f>COUNTIF(K9:K31,"CSE") + COUNTIF(K9:K31,"RPX")</f>
        <v>1</v>
      </c>
      <c r="L34" s="149">
        <f t="shared" si="1"/>
        <v>5</v>
      </c>
      <c r="M34" s="149"/>
      <c r="N34" s="148">
        <f>COUNTIF(N8:N31,"CSE") + COUNTIF(N8:N31,"RPX")</f>
        <v>1</v>
      </c>
      <c r="O34" s="148">
        <f>COUNTIF(O8:O31,"CSE") + COUNTIF(O8:O31,"RPX")</f>
        <v>1</v>
      </c>
      <c r="P34" s="148">
        <f>COUNTIF(P8:P31,"CSE") + COUNTIF(P8:P31,"RPX")</f>
        <v>1</v>
      </c>
      <c r="Q34" s="148">
        <f>COUNTIF(Q8:Q31,"CSE") + COUNTIF(Q8:Q31,"RPX")</f>
        <v>1</v>
      </c>
      <c r="R34" s="148">
        <f>COUNTIF(R8:R31,"CSE") + COUNTIF(R8:R31,"RPX")</f>
        <v>1</v>
      </c>
      <c r="S34" s="150">
        <f t="shared" si="2"/>
        <v>5</v>
      </c>
      <c r="T34" s="150"/>
      <c r="U34" s="148">
        <f>COUNTIF(U9:U31,"CSE") + COUNTIF(U9:U31,"RPX")</f>
        <v>0</v>
      </c>
      <c r="V34" s="148">
        <f>COUNTIF(V9:V31,"CSE") + COUNTIF(V9:V31,"RPX")</f>
        <v>0</v>
      </c>
      <c r="W34" s="148">
        <f>COUNTIF(W9:W31,"CSE") + COUNTIF(W9:W31,"RPX")</f>
        <v>0</v>
      </c>
      <c r="X34" s="148">
        <f>COUNTIF(X9:X31,"CSE") + COUNTIF(X9:X31,"RPX")</f>
        <v>0</v>
      </c>
      <c r="Y34" s="148">
        <f>COUNTIF(Y9:Y31,"CSE") + COUNTIF(Y9:Y31,"RPX")</f>
        <v>0</v>
      </c>
      <c r="Z34" s="150">
        <f t="shared" si="3"/>
        <v>0</v>
      </c>
      <c r="AA34" s="150"/>
      <c r="AB34" s="148">
        <f>COUNTIF(AB9:AB31,"CSE") + COUNTIF(AB9:AB31,"RPX")</f>
        <v>0</v>
      </c>
      <c r="AC34" s="148">
        <f>COUNTIF(AC9:AC31,"CSE") + COUNTIF(AC9:AC31,"RPX")</f>
        <v>0</v>
      </c>
      <c r="AD34" s="148">
        <f>COUNTIF(AD9:AD31,"CSE") + COUNTIF(AD9:AD31,"RPX")</f>
        <v>0</v>
      </c>
      <c r="AE34" s="148">
        <f>COUNTIF(AE9:AE31,"CSE") + COUNTIF(AE9:AE31,"RPX")</f>
        <v>0</v>
      </c>
      <c r="AF34" s="148">
        <f>COUNTIF(AF9:AF31,"CSE") + COUNTIF(AF9:AF31,"RPX")</f>
        <v>0</v>
      </c>
      <c r="AG34" s="150">
        <f t="shared" si="4"/>
        <v>0</v>
      </c>
      <c r="AH34" s="151"/>
    </row>
    <row r="35" spans="4:34" ht="30" customHeight="1">
      <c r="D35" s="153" t="s">
        <v>176</v>
      </c>
      <c r="E35" s="153">
        <f t="shared" si="0"/>
        <v>17</v>
      </c>
      <c r="F35" s="153" t="s">
        <v>25</v>
      </c>
      <c r="G35" s="148">
        <f>COUNTIF(G9:G31,"CA/RC")</f>
        <v>0</v>
      </c>
      <c r="H35" s="148">
        <f>COUNTIF(H9:H31,"CA/RC")</f>
        <v>0</v>
      </c>
      <c r="I35" s="148">
        <f>COUNTIF(I9:I31,"CA/RC")</f>
        <v>0</v>
      </c>
      <c r="J35" s="148">
        <f>COUNTIF(J9:J31,"CA/RC")</f>
        <v>1</v>
      </c>
      <c r="K35" s="148">
        <f>COUNTIF(K9:K31,"CA/RC")</f>
        <v>1</v>
      </c>
      <c r="L35" s="149">
        <f t="shared" si="1"/>
        <v>2</v>
      </c>
      <c r="M35" s="149"/>
      <c r="N35" s="148">
        <f>COUNTIF(N9:N31,"CA/RC")</f>
        <v>1</v>
      </c>
      <c r="O35" s="148">
        <f>COUNTIF(O9:O31,"CA/RC")</f>
        <v>1</v>
      </c>
      <c r="P35" s="148">
        <f>COUNTIF(P9:P31,"CA/RC")</f>
        <v>1</v>
      </c>
      <c r="Q35" s="148">
        <f>COUNTIF(Q9:Q31,"CA/RC")</f>
        <v>0</v>
      </c>
      <c r="R35" s="148">
        <f>COUNTIF(R9:R31,"CA/RC")</f>
        <v>2</v>
      </c>
      <c r="S35" s="150">
        <f t="shared" si="2"/>
        <v>5</v>
      </c>
      <c r="T35" s="150"/>
      <c r="U35" s="148">
        <f>COUNTIF(U9:U31,"CA/RC")</f>
        <v>0</v>
      </c>
      <c r="V35" s="148">
        <f>COUNTIF(V9:V31,"CA/RC")</f>
        <v>0</v>
      </c>
      <c r="W35" s="148">
        <f>COUNTIF(W9:W31,"CA/RC")</f>
        <v>0</v>
      </c>
      <c r="X35" s="148">
        <f>COUNTIF(X9:X31,"CA/RC")</f>
        <v>0</v>
      </c>
      <c r="Y35" s="148">
        <f>COUNTIF(Y9:Y31,"CA/RC")</f>
        <v>0</v>
      </c>
      <c r="Z35" s="150">
        <f t="shared" si="3"/>
        <v>0</v>
      </c>
      <c r="AA35" s="150"/>
      <c r="AB35" s="148">
        <f>COUNTIF(AB9:AB31,"CA/RC")</f>
        <v>2</v>
      </c>
      <c r="AC35" s="148">
        <f>COUNTIF(AC9:AC31,"CA/RC")</f>
        <v>2</v>
      </c>
      <c r="AD35" s="148">
        <f>COUNTIF(AD9:AD31,"CA/RC")</f>
        <v>2</v>
      </c>
      <c r="AE35" s="148">
        <f>COUNTIF(AE9:AE31,"CA/RC")</f>
        <v>2</v>
      </c>
      <c r="AF35" s="148">
        <f>COUNTIF(AF9:AF31,"CA/RC")</f>
        <v>2</v>
      </c>
      <c r="AG35" s="150">
        <f t="shared" si="4"/>
        <v>10</v>
      </c>
      <c r="AH35" s="151"/>
    </row>
    <row r="36" spans="4:34" ht="30" customHeight="1">
      <c r="D36" s="154" t="s">
        <v>176</v>
      </c>
      <c r="E36" s="154">
        <f t="shared" si="0"/>
        <v>15</v>
      </c>
      <c r="F36" s="154" t="s">
        <v>26</v>
      </c>
      <c r="G36" s="148">
        <f>COUNTIF(G9:G31,"ATM/ATA")</f>
        <v>0</v>
      </c>
      <c r="H36" s="148">
        <f>COUNTIF(H9:H31,"ATM/ATA")</f>
        <v>0</v>
      </c>
      <c r="I36" s="148">
        <f>COUNTIF(I9:I31,"ATM/ATA")</f>
        <v>0</v>
      </c>
      <c r="J36" s="148">
        <f>COUNTIF(J9:J31,"ATM/ATA")</f>
        <v>0</v>
      </c>
      <c r="K36" s="148">
        <f>COUNTIF(K9:K31,"ATM/ATA")</f>
        <v>0</v>
      </c>
      <c r="L36" s="149">
        <f t="shared" si="1"/>
        <v>0</v>
      </c>
      <c r="M36" s="149"/>
      <c r="N36" s="148">
        <f>COUNTIF(N9:N31,"ATM/ATA")</f>
        <v>1</v>
      </c>
      <c r="O36" s="148">
        <f>COUNTIF(O9:O31,"ATM/ATA")</f>
        <v>1</v>
      </c>
      <c r="P36" s="148">
        <f>COUNTIF(P9:P31,"ATM/ATA")</f>
        <v>1</v>
      </c>
      <c r="Q36" s="148">
        <f>COUNTIF(Q9:Q31,"ATM/ATA")</f>
        <v>1</v>
      </c>
      <c r="R36" s="148">
        <f>COUNTIF(R9:R31,"ATM/ATA")</f>
        <v>1</v>
      </c>
      <c r="S36" s="150">
        <f t="shared" si="2"/>
        <v>5</v>
      </c>
      <c r="T36" s="150"/>
      <c r="U36" s="148">
        <f>COUNTIF(U9:U31,"ATM/ATA")</f>
        <v>1</v>
      </c>
      <c r="V36" s="148">
        <f>COUNTIF(V9:V31,"ATM/ATA")</f>
        <v>1</v>
      </c>
      <c r="W36" s="148">
        <f>COUNTIF(W9:W31,"ATM/ATA")</f>
        <v>1</v>
      </c>
      <c r="X36" s="148">
        <f>COUNTIF(X9:X31,"ATM/ATA")</f>
        <v>1</v>
      </c>
      <c r="Y36" s="148">
        <f>COUNTIF(Y9:Y31,"ATM/ATA")</f>
        <v>1</v>
      </c>
      <c r="Z36" s="150">
        <f t="shared" si="3"/>
        <v>5</v>
      </c>
      <c r="AA36" s="150"/>
      <c r="AB36" s="148">
        <f>COUNTIF(AB9:AB31,"ATM/ATA")</f>
        <v>1</v>
      </c>
      <c r="AC36" s="148">
        <f>COUNTIF(AC9:AC31,"ATM/ATA")</f>
        <v>1</v>
      </c>
      <c r="AD36" s="148">
        <f>COUNTIF(AD9:AD31,"ATM/ATA")</f>
        <v>1</v>
      </c>
      <c r="AE36" s="148">
        <f>COUNTIF(AE9:AE31,"ATM/ATA")</f>
        <v>1</v>
      </c>
      <c r="AF36" s="148">
        <f>COUNTIF(AF9:AF31,"ATM/ATA")</f>
        <v>1</v>
      </c>
      <c r="AG36" s="150">
        <f t="shared" si="4"/>
        <v>5</v>
      </c>
      <c r="AH36" s="151"/>
    </row>
    <row r="37" spans="4:34" ht="24" customHeight="1">
      <c r="D37" s="122" t="s">
        <v>176</v>
      </c>
      <c r="E37" s="122">
        <f t="shared" si="0"/>
        <v>8</v>
      </c>
      <c r="F37" s="122" t="s">
        <v>27</v>
      </c>
      <c r="G37" s="148">
        <f>COUNTIF(G9:G31,"ASA")</f>
        <v>2</v>
      </c>
      <c r="H37" s="148">
        <f>COUNTIF(H9:H31,"ASA")</f>
        <v>2</v>
      </c>
      <c r="I37" s="148">
        <f>COUNTIF(I9:I31,"ASA")</f>
        <v>2</v>
      </c>
      <c r="J37" s="148">
        <f>COUNTIF(J9:J31,"ASA")</f>
        <v>1</v>
      </c>
      <c r="K37" s="148">
        <f>COUNTIF(K9:K31,"ASA")</f>
        <v>1</v>
      </c>
      <c r="L37" s="149">
        <f t="shared" si="1"/>
        <v>8</v>
      </c>
      <c r="M37" s="149"/>
      <c r="N37" s="148">
        <f>COUNTIF(N9:N31,"ASA")</f>
        <v>0</v>
      </c>
      <c r="O37" s="148">
        <f>COUNTIF(O9:O31,"ASA")</f>
        <v>0</v>
      </c>
      <c r="P37" s="148">
        <f>COUNTIF(P9:P31,"ASA")</f>
        <v>0</v>
      </c>
      <c r="Q37" s="148">
        <f>COUNTIF(Q9:Q31,"ASA")</f>
        <v>0</v>
      </c>
      <c r="R37" s="148">
        <f>COUNTIF(R9:R31,"ASA")</f>
        <v>0</v>
      </c>
      <c r="S37" s="150">
        <f t="shared" si="2"/>
        <v>0</v>
      </c>
      <c r="T37" s="150"/>
      <c r="U37" s="148">
        <f>COUNTIF(U9:U31,"ASA")</f>
        <v>0</v>
      </c>
      <c r="V37" s="148">
        <f>COUNTIF(V9:V31,"ASA")</f>
        <v>0</v>
      </c>
      <c r="W37" s="148">
        <f>COUNTIF(W9:W31,"ASA")</f>
        <v>0</v>
      </c>
      <c r="X37" s="148">
        <f>COUNTIF(X9:X31,"ASA")</f>
        <v>0</v>
      </c>
      <c r="Y37" s="148">
        <f>COUNTIF(Y9:Y31,"ASA")</f>
        <v>0</v>
      </c>
      <c r="Z37" s="150">
        <f t="shared" si="3"/>
        <v>0</v>
      </c>
      <c r="AA37" s="150"/>
      <c r="AB37" s="148">
        <f>COUNTIF(AB9:AB31,"ASA")</f>
        <v>0</v>
      </c>
      <c r="AC37" s="148">
        <f>COUNTIF(AC9:AC31,"ASA")</f>
        <v>0</v>
      </c>
      <c r="AD37" s="148">
        <f>COUNTIF(AD9:AD31,"ASA")</f>
        <v>0</v>
      </c>
      <c r="AE37" s="148">
        <f>COUNTIF(AE9:AE31,"ASA")</f>
        <v>0</v>
      </c>
      <c r="AF37" s="148">
        <f>COUNTIF(AF9:AF31,"ASA")</f>
        <v>0</v>
      </c>
      <c r="AG37" s="150">
        <f t="shared" si="4"/>
        <v>0</v>
      </c>
      <c r="AH37" s="151"/>
    </row>
    <row r="38" spans="4:34" ht="24" customHeight="1">
      <c r="D38" s="155" t="s">
        <v>176</v>
      </c>
      <c r="E38" s="155">
        <f t="shared" si="0"/>
        <v>18</v>
      </c>
      <c r="F38" s="155" t="s">
        <v>28</v>
      </c>
      <c r="G38" s="148">
        <f>COUNTIF(G9:G31,"FORM")</f>
        <v>1</v>
      </c>
      <c r="H38" s="148">
        <f>COUNTIF(H9:H31,"FORM")</f>
        <v>1</v>
      </c>
      <c r="I38" s="148">
        <f>COUNTIF(I9:I31,"FORM")</f>
        <v>1</v>
      </c>
      <c r="J38" s="148">
        <f>COUNTIF(J9:J31,"FORM")</f>
        <v>1</v>
      </c>
      <c r="K38" s="148">
        <f>COUNTIF(K9:K31,"FORM")</f>
        <v>1</v>
      </c>
      <c r="L38" s="149">
        <f t="shared" si="1"/>
        <v>5</v>
      </c>
      <c r="M38" s="149"/>
      <c r="N38" s="148">
        <f>COUNTIF(N9:N31,"FORM")</f>
        <v>1</v>
      </c>
      <c r="O38" s="148">
        <f>COUNTIF(O9:O31,"FORM")</f>
        <v>1</v>
      </c>
      <c r="P38" s="148">
        <f>COUNTIF(P9:P31,"FORM")</f>
        <v>1</v>
      </c>
      <c r="Q38" s="148">
        <f>COUNTIF(Q9:Q31,"FORM")</f>
        <v>1</v>
      </c>
      <c r="R38" s="148">
        <f>COUNTIF(R9:R31,"FORM")</f>
        <v>1</v>
      </c>
      <c r="S38" s="150">
        <f t="shared" si="2"/>
        <v>5</v>
      </c>
      <c r="T38" s="150"/>
      <c r="U38" s="148">
        <f>COUNTIF(U9:U31,"FORM")</f>
        <v>1</v>
      </c>
      <c r="V38" s="148">
        <f>COUNTIF(V9:V31,"FORM")</f>
        <v>1</v>
      </c>
      <c r="W38" s="148">
        <f>COUNTIF(W9:W31,"FORM")</f>
        <v>1</v>
      </c>
      <c r="X38" s="148">
        <f>COUNTIF(X9:X31,"FORM")</f>
        <v>0</v>
      </c>
      <c r="Y38" s="148">
        <f>COUNTIF(Y9:Y31,"FORM")</f>
        <v>0</v>
      </c>
      <c r="Z38" s="150">
        <f t="shared" si="3"/>
        <v>3</v>
      </c>
      <c r="AA38" s="150"/>
      <c r="AB38" s="148">
        <f>COUNTIF(AB9:AB31,"FORM")</f>
        <v>1</v>
      </c>
      <c r="AC38" s="148">
        <f>COUNTIF(AC9:AC31,"FORM")</f>
        <v>1</v>
      </c>
      <c r="AD38" s="148">
        <f>COUNTIF(AD9:AD31,"FORM")</f>
        <v>1</v>
      </c>
      <c r="AE38" s="148">
        <f>COUNTIF(AE9:AE31,"FORM")</f>
        <v>1</v>
      </c>
      <c r="AF38" s="148">
        <f>COUNTIF(AF9:AF31,"FORM")</f>
        <v>1</v>
      </c>
      <c r="AG38" s="150">
        <f t="shared" si="4"/>
        <v>5</v>
      </c>
      <c r="AH38" s="151"/>
    </row>
    <row r="39" spans="4:34" ht="24" customHeight="1">
      <c r="D39" s="156" t="s">
        <v>177</v>
      </c>
      <c r="E39" s="156">
        <f>AVERAGE(G39:AF39)</f>
        <v>4.1500000000000004</v>
      </c>
      <c r="F39" s="157" t="s">
        <v>178</v>
      </c>
      <c r="G39" s="158">
        <f>SUM(G33:G38)</f>
        <v>5</v>
      </c>
      <c r="H39" s="158">
        <f>SUM(H33:H38)</f>
        <v>5</v>
      </c>
      <c r="I39" s="158">
        <f>SUM(I33:I38)</f>
        <v>5</v>
      </c>
      <c r="J39" s="158">
        <f>SUM(J33:J38)</f>
        <v>5</v>
      </c>
      <c r="K39" s="158">
        <f>SUM(K33:K38)</f>
        <v>5</v>
      </c>
      <c r="L39" s="158"/>
      <c r="M39" s="158"/>
      <c r="N39" s="158">
        <f>SUM(N33:N38)</f>
        <v>4</v>
      </c>
      <c r="O39" s="158">
        <f>SUM(O33:O38)</f>
        <v>4</v>
      </c>
      <c r="P39" s="158">
        <f>SUM(P33:P38)</f>
        <v>4</v>
      </c>
      <c r="Q39" s="158">
        <f>SUM(Q33:Q38)</f>
        <v>3</v>
      </c>
      <c r="R39" s="158">
        <f>SUM(R33:R38)</f>
        <v>5</v>
      </c>
      <c r="S39" s="158"/>
      <c r="T39" s="158"/>
      <c r="U39" s="158">
        <f>SUM(U33:U38)</f>
        <v>4</v>
      </c>
      <c r="V39" s="158">
        <f>SUM(V33:V38)</f>
        <v>4</v>
      </c>
      <c r="W39" s="158">
        <f>SUM(W33:W38)</f>
        <v>4</v>
      </c>
      <c r="X39" s="158">
        <f>SUM(X33:X38)</f>
        <v>3</v>
      </c>
      <c r="Y39" s="158">
        <f>SUM(Y33:Y38)</f>
        <v>3</v>
      </c>
      <c r="Z39" s="158"/>
      <c r="AA39" s="158"/>
      <c r="AB39" s="158">
        <f>SUM(AB33:AB38)</f>
        <v>4</v>
      </c>
      <c r="AC39" s="158">
        <f>SUM(AC33:AC38)</f>
        <v>4</v>
      </c>
      <c r="AD39" s="158">
        <f>SUM(AD33:AD38)</f>
        <v>4</v>
      </c>
      <c r="AE39" s="158">
        <f>SUM(AE33:AE38)</f>
        <v>4</v>
      </c>
      <c r="AF39" s="158">
        <f>SUM(AF33:AF38)</f>
        <v>4</v>
      </c>
      <c r="AG39" s="158"/>
      <c r="AH39" s="159"/>
    </row>
    <row r="40" spans="4:34" ht="24" customHeight="1">
      <c r="D40" s="156" t="s">
        <v>177</v>
      </c>
      <c r="E40" s="156">
        <f>AVERAGE(G40:AF40)</f>
        <v>15.85</v>
      </c>
      <c r="F40" s="157" t="s">
        <v>179</v>
      </c>
      <c r="G40" s="158">
        <f>(20+G32)-G39</f>
        <v>15</v>
      </c>
      <c r="H40" s="158">
        <f>(20+H32)-H39</f>
        <v>15</v>
      </c>
      <c r="I40" s="158">
        <f>(20+I32)-I39</f>
        <v>15</v>
      </c>
      <c r="J40" s="158">
        <f>(20+J32)-J39</f>
        <v>15</v>
      </c>
      <c r="K40" s="158">
        <f>(20+K32)-K39</f>
        <v>15</v>
      </c>
      <c r="L40" s="158"/>
      <c r="M40" s="158"/>
      <c r="N40" s="158">
        <f>(20+N32)-N39</f>
        <v>16</v>
      </c>
      <c r="O40" s="158">
        <f>(20+O32)-O39</f>
        <v>16</v>
      </c>
      <c r="P40" s="158">
        <f>(20+P32)-P39</f>
        <v>16</v>
      </c>
      <c r="Q40" s="158">
        <f>(20+Q32)-Q39</f>
        <v>17</v>
      </c>
      <c r="R40" s="158">
        <f>(20+R32)-R39</f>
        <v>15</v>
      </c>
      <c r="S40" s="158"/>
      <c r="T40" s="158"/>
      <c r="U40" s="158">
        <f>(20+U32)-U39</f>
        <v>16</v>
      </c>
      <c r="V40" s="158">
        <f>(20+V32)-V39</f>
        <v>16</v>
      </c>
      <c r="W40" s="158">
        <f>(20+W32)-W39</f>
        <v>16</v>
      </c>
      <c r="X40" s="158">
        <f>(20+X32)-X39</f>
        <v>17</v>
      </c>
      <c r="Y40" s="158">
        <f>(20+Y32)-Y39</f>
        <v>17</v>
      </c>
      <c r="Z40" s="158"/>
      <c r="AA40" s="158"/>
      <c r="AB40" s="158">
        <f>(20+AB32)-AB39</f>
        <v>16</v>
      </c>
      <c r="AC40" s="158">
        <f>(20+AC32)-AC39</f>
        <v>16</v>
      </c>
      <c r="AD40" s="158">
        <f>(20+AD32)-AD39</f>
        <v>16</v>
      </c>
      <c r="AE40" s="158">
        <f>(20+AE32)-AE39</f>
        <v>16</v>
      </c>
      <c r="AF40" s="158">
        <f>(20+AF32)-AF39</f>
        <v>16</v>
      </c>
      <c r="AG40" s="158"/>
      <c r="AH40" s="159"/>
    </row>
    <row r="41" spans="4:34" ht="24" customHeight="1">
      <c r="D41" s="156" t="s">
        <v>177</v>
      </c>
      <c r="E41" s="156">
        <f>AVERAGE(G41:AF41)</f>
        <v>16</v>
      </c>
      <c r="F41" s="160" t="s">
        <v>180</v>
      </c>
      <c r="G41" s="161">
        <v>16</v>
      </c>
      <c r="H41" s="161">
        <v>16</v>
      </c>
      <c r="I41" s="161">
        <v>16</v>
      </c>
      <c r="J41" s="161">
        <v>16</v>
      </c>
      <c r="K41" s="161">
        <v>16</v>
      </c>
      <c r="L41" s="161"/>
      <c r="M41" s="161"/>
      <c r="N41" s="161">
        <v>16</v>
      </c>
      <c r="O41" s="161">
        <v>16</v>
      </c>
      <c r="P41" s="161">
        <v>16</v>
      </c>
      <c r="Q41" s="161">
        <v>16</v>
      </c>
      <c r="R41" s="161">
        <v>16</v>
      </c>
      <c r="S41" s="162"/>
      <c r="T41" s="162"/>
      <c r="U41" s="161">
        <v>16</v>
      </c>
      <c r="V41" s="161">
        <v>16</v>
      </c>
      <c r="W41" s="161">
        <v>16</v>
      </c>
      <c r="X41" s="161">
        <v>16</v>
      </c>
      <c r="Y41" s="161">
        <v>16</v>
      </c>
      <c r="Z41" s="162"/>
      <c r="AA41" s="162"/>
      <c r="AB41" s="161">
        <v>16</v>
      </c>
      <c r="AC41" s="161">
        <v>16</v>
      </c>
      <c r="AD41" s="161">
        <v>16</v>
      </c>
      <c r="AE41" s="161">
        <v>16</v>
      </c>
      <c r="AF41" s="161">
        <v>16</v>
      </c>
      <c r="AG41" s="162"/>
      <c r="AH41" s="163"/>
    </row>
    <row r="42" spans="4:34" ht="24" customHeight="1">
      <c r="D42" s="156" t="s">
        <v>177</v>
      </c>
      <c r="E42" s="164">
        <f>AVERAGE(G42:AF42)</f>
        <v>-0.15</v>
      </c>
      <c r="F42" s="165" t="s">
        <v>181</v>
      </c>
      <c r="G42" s="166">
        <f>G40-G41</f>
        <v>-1</v>
      </c>
      <c r="H42" s="166">
        <f>H40-H41</f>
        <v>-1</v>
      </c>
      <c r="I42" s="166">
        <f>I40-I41</f>
        <v>-1</v>
      </c>
      <c r="J42" s="166">
        <f>J40-J41</f>
        <v>-1</v>
      </c>
      <c r="K42" s="166">
        <f>K40-K41</f>
        <v>-1</v>
      </c>
      <c r="L42" s="166"/>
      <c r="M42" s="166"/>
      <c r="N42" s="166">
        <f>N40-N41</f>
        <v>0</v>
      </c>
      <c r="O42" s="166">
        <f>O40-O41</f>
        <v>0</v>
      </c>
      <c r="P42" s="166">
        <f>P40-P41</f>
        <v>0</v>
      </c>
      <c r="Q42" s="166">
        <f>Q40-Q41</f>
        <v>1</v>
      </c>
      <c r="R42" s="166">
        <f>R40-R41</f>
        <v>-1</v>
      </c>
      <c r="S42" s="166"/>
      <c r="T42" s="166"/>
      <c r="U42" s="166">
        <f>U40-U41</f>
        <v>0</v>
      </c>
      <c r="V42" s="166">
        <f>V40-V41</f>
        <v>0</v>
      </c>
      <c r="W42" s="166">
        <f>W40-W41</f>
        <v>0</v>
      </c>
      <c r="X42" s="166">
        <f>X40-X41</f>
        <v>1</v>
      </c>
      <c r="Y42" s="166">
        <f>Y40-Y41</f>
        <v>1</v>
      </c>
      <c r="Z42" s="166"/>
      <c r="AA42" s="166"/>
      <c r="AB42" s="166">
        <f>AB40-AB41</f>
        <v>0</v>
      </c>
      <c r="AC42" s="166">
        <f>AC40-AC41</f>
        <v>0</v>
      </c>
      <c r="AD42" s="166">
        <f>AD40-AD41</f>
        <v>0</v>
      </c>
      <c r="AE42" s="166">
        <f>AE40-AE41</f>
        <v>0</v>
      </c>
      <c r="AF42" s="166">
        <f>AF40-AF41</f>
        <v>0</v>
      </c>
      <c r="AG42" s="166"/>
      <c r="AH42" s="167"/>
    </row>
  </sheetData>
  <mergeCells count="11">
    <mergeCell ref="A32:E32"/>
    <mergeCell ref="B6:E6"/>
    <mergeCell ref="B8:C8"/>
    <mergeCell ref="A10:A24"/>
    <mergeCell ref="A25:A28"/>
    <mergeCell ref="A29:E31"/>
    <mergeCell ref="B4:E5"/>
    <mergeCell ref="G4:M4"/>
    <mergeCell ref="N4:T4"/>
    <mergeCell ref="U4:AA4"/>
    <mergeCell ref="AB4:AH4"/>
  </mergeCells>
  <conditionalFormatting sqref="B8 D8:E8">
    <cfRule type="expression" dxfId="2848" priority="7">
      <formula>ISNUMBER(SEARCH("MRP",$B8))</formula>
    </cfRule>
  </conditionalFormatting>
  <conditionalFormatting sqref="B9:E28">
    <cfRule type="expression" dxfId="2847" priority="6">
      <formula>ISNUMBER(SEARCH("MRP",$B9))</formula>
    </cfRule>
  </conditionalFormatting>
  <conditionalFormatting sqref="F8:AH31">
    <cfRule type="expression" dxfId="2846" priority="8">
      <formula>ISNUMBER(SEARCH("JOK",F8))</formula>
    </cfRule>
    <cfRule type="expression" dxfId="2845" priority="9">
      <formula>OR(ISNUMBER(SEARCH("PPP 1",F8)),ISNUMBER(SEARCH("PPP 2",F8)))</formula>
    </cfRule>
    <cfRule type="expression" dxfId="2844" priority="10">
      <formula>ISNUMBER(SEARCH("FORM",F8))</formula>
    </cfRule>
    <cfRule type="expression" dxfId="2843" priority="11">
      <formula>ISNUMBER(SEARCH("ASA",F8))</formula>
    </cfRule>
    <cfRule type="expression" dxfId="2842" priority="12">
      <formula>OR(ISNUMBER(SEARCH("ATM",F8)),ISNUMBER(SEARCH("ATA",F8)))</formula>
    </cfRule>
    <cfRule type="expression" dxfId="2841" priority="13">
      <formula>ISNUMBER(SEARCH("TP",F8))</formula>
    </cfRule>
    <cfRule type="expression" dxfId="2840" priority="14">
      <formula>OR(ISNUMBER(SEARCH("CSE",F8)),ISNUMBER(SEARCH("RPX",F8)))</formula>
    </cfRule>
    <cfRule type="expression" dxfId="2839" priority="15">
      <formula>OR(ISNUMBER(SEARCH("CA",F8)),ISNUMBER(SEARCH("RC",F8)))</formula>
    </cfRule>
  </conditionalFormatting>
  <conditionalFormatting sqref="F40:AH40">
    <cfRule type="iconSet" priority="3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G4:AH31">
    <cfRule type="expression" dxfId="2838" priority="2">
      <formula>ISNUMBER(SEARCH("CA/RC ?",G4))</formula>
    </cfRule>
  </conditionalFormatting>
  <conditionalFormatting sqref="N22:R22">
    <cfRule type="iconSet" priority="4">
      <iconSet iconSet="3Symbols2">
        <cfvo type="percent" val="0"/>
        <cfvo type="percent" val="33"/>
        <cfvo type="percent" val="67"/>
      </iconSet>
    </cfRule>
    <cfRule type="iconSet" priority="5">
      <iconSet iconSet="3Symbols">
        <cfvo type="percent" val="0"/>
        <cfvo type="percent" val="33"/>
        <cfvo type="percent" val="67"/>
      </iconSet>
    </cfRule>
  </conditionalFormatting>
  <dataValidations count="1">
    <dataValidation allowBlank="1" showInputMessage="1" showErrorMessage="1" sqref="G9" xr:uid="{00000000-0002-0000-0100-000000000000}">
      <formula1>0</formula1>
      <formula2>0</formula2>
    </dataValidation>
  </dataValidations>
  <printOptions horizontalCentered="1"/>
  <pageMargins left="0" right="0" top="0.74791666666666701" bottom="0.74791666666666701" header="0.511811023622047" footer="0.31527777777777799"/>
  <pageSetup paperSize="8" orientation="landscape" horizontalDpi="300" verticalDpi="300"/>
  <headerFooter>
    <oddFooter>&amp;C&amp;10 &amp;K0078d7_x005F_x000d_# C1 - Interne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K595"/>
  <sheetViews>
    <sheetView topLeftCell="A10" zoomScale="70" zoomScaleNormal="70" workbookViewId="0">
      <pane xSplit="6" topLeftCell="G1" activePane="topRight" state="frozen"/>
      <selection pane="topRight" activeCell="D51" sqref="D51"/>
      <selection activeCell="A10" sqref="A10"/>
    </sheetView>
  </sheetViews>
  <sheetFormatPr defaultColWidth="8.85546875" defaultRowHeight="15"/>
  <cols>
    <col min="1" max="1" width="13.7109375" customWidth="1"/>
    <col min="2" max="2" width="21.42578125" customWidth="1"/>
    <col min="3" max="3" width="16.85546875" customWidth="1"/>
    <col min="4" max="4" width="32.7109375" customWidth="1"/>
    <col min="5" max="5" width="19.28515625" customWidth="1"/>
    <col min="6" max="6" width="13.7109375" customWidth="1"/>
    <col min="7" max="7" width="10.85546875" customWidth="1"/>
    <col min="8" max="11" width="10.42578125" customWidth="1"/>
    <col min="12" max="12" width="8.28515625" customWidth="1"/>
    <col min="13" max="13" width="6.28515625" customWidth="1"/>
    <col min="14" max="15" width="10.85546875" customWidth="1"/>
    <col min="16" max="17" width="12.42578125" customWidth="1"/>
    <col min="18" max="18" width="10.85546875" customWidth="1"/>
    <col min="19" max="19" width="8.28515625" customWidth="1"/>
    <col min="20" max="20" width="6.28515625" customWidth="1"/>
    <col min="21" max="25" width="10.85546875" customWidth="1"/>
    <col min="26" max="26" width="8.28515625" customWidth="1"/>
    <col min="27" max="27" width="6.28515625" customWidth="1"/>
    <col min="28" max="28" width="10.42578125" customWidth="1"/>
    <col min="29" max="29" width="10.85546875" customWidth="1"/>
    <col min="30" max="31" width="10.7109375" customWidth="1"/>
    <col min="32" max="32" width="10.85546875" customWidth="1"/>
    <col min="33" max="33" width="8.28515625" customWidth="1"/>
    <col min="34" max="34" width="6.28515625" customWidth="1"/>
    <col min="35" max="35" width="10.85546875" customWidth="1"/>
    <col min="36" max="36" width="27.140625" customWidth="1"/>
    <col min="16381" max="16384" width="9.140625" customWidth="1"/>
  </cols>
  <sheetData>
    <row r="1" spans="1:37" ht="18.75" customHeight="1">
      <c r="F1" s="13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1:37" ht="18.75" customHeight="1">
      <c r="F2" s="13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</row>
    <row r="3" spans="1:37" ht="34.5" customHeight="1">
      <c r="A3" s="15"/>
      <c r="B3" s="16"/>
      <c r="C3" s="16"/>
      <c r="D3" s="16"/>
      <c r="E3" s="16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 spans="1:37" ht="21" customHeight="1">
      <c r="A4" s="18" t="s">
        <v>23</v>
      </c>
      <c r="B4" s="422" t="s">
        <v>182</v>
      </c>
      <c r="C4" s="422"/>
      <c r="D4" s="422"/>
      <c r="E4" s="422"/>
      <c r="F4" s="423"/>
      <c r="G4" s="424" t="s">
        <v>183</v>
      </c>
      <c r="H4" s="424"/>
      <c r="I4" s="424"/>
      <c r="J4" s="424"/>
      <c r="K4" s="424"/>
      <c r="L4" s="424"/>
      <c r="M4" s="424"/>
      <c r="N4" s="425" t="s">
        <v>184</v>
      </c>
      <c r="O4" s="425"/>
      <c r="P4" s="425"/>
      <c r="Q4" s="425"/>
      <c r="R4" s="425"/>
      <c r="S4" s="425"/>
      <c r="T4" s="425"/>
      <c r="U4" s="425" t="s">
        <v>185</v>
      </c>
      <c r="V4" s="425"/>
      <c r="W4" s="425"/>
      <c r="X4" s="425"/>
      <c r="Y4" s="425"/>
      <c r="Z4" s="425"/>
      <c r="AA4" s="425"/>
      <c r="AB4" s="420" t="s">
        <v>186</v>
      </c>
      <c r="AC4" s="420"/>
      <c r="AD4" s="420"/>
      <c r="AE4" s="420"/>
      <c r="AF4" s="420"/>
      <c r="AG4" s="420"/>
      <c r="AH4" s="420"/>
      <c r="AI4" s="14"/>
      <c r="AJ4" s="14"/>
      <c r="AK4" s="14"/>
    </row>
    <row r="5" spans="1:37" ht="21" customHeight="1">
      <c r="A5" s="152" t="s">
        <v>24</v>
      </c>
      <c r="B5" s="422"/>
      <c r="C5" s="422"/>
      <c r="D5" s="422"/>
      <c r="E5" s="422"/>
      <c r="F5" s="423"/>
      <c r="G5" s="22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168"/>
      <c r="AI5" s="14"/>
      <c r="AJ5" s="14"/>
      <c r="AK5" s="14"/>
    </row>
    <row r="6" spans="1:37" ht="19.5" customHeight="1">
      <c r="A6" s="27" t="s">
        <v>25</v>
      </c>
      <c r="B6" s="421" t="s">
        <v>60</v>
      </c>
      <c r="C6" s="421"/>
      <c r="D6" s="421"/>
      <c r="E6" s="421"/>
      <c r="F6" s="423"/>
      <c r="G6" s="169" t="s">
        <v>61</v>
      </c>
      <c r="H6" s="170" t="s">
        <v>62</v>
      </c>
      <c r="I6" s="170" t="s">
        <v>63</v>
      </c>
      <c r="J6" s="170" t="s">
        <v>64</v>
      </c>
      <c r="K6" s="170" t="s">
        <v>65</v>
      </c>
      <c r="L6" s="171" t="s">
        <v>66</v>
      </c>
      <c r="M6" s="171" t="s">
        <v>67</v>
      </c>
      <c r="N6" s="170" t="s">
        <v>68</v>
      </c>
      <c r="O6" s="170" t="s">
        <v>62</v>
      </c>
      <c r="P6" s="170" t="s">
        <v>63</v>
      </c>
      <c r="Q6" s="170" t="s">
        <v>64</v>
      </c>
      <c r="R6" s="170" t="s">
        <v>65</v>
      </c>
      <c r="S6" s="171" t="s">
        <v>66</v>
      </c>
      <c r="T6" s="171" t="s">
        <v>67</v>
      </c>
      <c r="U6" s="170" t="s">
        <v>68</v>
      </c>
      <c r="V6" s="170" t="s">
        <v>62</v>
      </c>
      <c r="W6" s="170" t="s">
        <v>63</v>
      </c>
      <c r="X6" s="170" t="s">
        <v>64</v>
      </c>
      <c r="Y6" s="170" t="s">
        <v>65</v>
      </c>
      <c r="Z6" s="171" t="s">
        <v>66</v>
      </c>
      <c r="AA6" s="171" t="s">
        <v>67</v>
      </c>
      <c r="AB6" s="170" t="s">
        <v>68</v>
      </c>
      <c r="AC6" s="170" t="s">
        <v>62</v>
      </c>
      <c r="AD6" s="170" t="s">
        <v>63</v>
      </c>
      <c r="AE6" s="170" t="s">
        <v>64</v>
      </c>
      <c r="AF6" s="170" t="s">
        <v>65</v>
      </c>
      <c r="AG6" s="171" t="s">
        <v>66</v>
      </c>
      <c r="AH6" s="172" t="s">
        <v>67</v>
      </c>
      <c r="AI6" s="14"/>
      <c r="AJ6" s="14"/>
      <c r="AK6" s="14"/>
    </row>
    <row r="7" spans="1:37" ht="36" customHeight="1">
      <c r="A7" s="33" t="s">
        <v>26</v>
      </c>
      <c r="B7" s="34" t="s">
        <v>69</v>
      </c>
      <c r="C7" s="35" t="s">
        <v>70</v>
      </c>
      <c r="D7" s="36" t="s">
        <v>71</v>
      </c>
      <c r="E7" s="36" t="s">
        <v>72</v>
      </c>
      <c r="F7" s="423"/>
      <c r="G7" s="173">
        <v>2</v>
      </c>
      <c r="H7" s="174">
        <v>3</v>
      </c>
      <c r="I7" s="174">
        <v>4</v>
      </c>
      <c r="J7" s="174">
        <v>5</v>
      </c>
      <c r="K7" s="174">
        <v>6</v>
      </c>
      <c r="L7" s="175">
        <v>7</v>
      </c>
      <c r="M7" s="175">
        <v>8</v>
      </c>
      <c r="N7" s="174">
        <v>9</v>
      </c>
      <c r="O7" s="174">
        <v>10</v>
      </c>
      <c r="P7" s="174">
        <v>11</v>
      </c>
      <c r="Q7" s="174">
        <v>12</v>
      </c>
      <c r="R7" s="174">
        <v>13</v>
      </c>
      <c r="S7" s="175">
        <v>14</v>
      </c>
      <c r="T7" s="175">
        <v>14</v>
      </c>
      <c r="U7" s="174">
        <v>16</v>
      </c>
      <c r="V7" s="174">
        <v>17</v>
      </c>
      <c r="W7" s="174">
        <v>18</v>
      </c>
      <c r="X7" s="174">
        <v>19</v>
      </c>
      <c r="Y7" s="174">
        <v>20</v>
      </c>
      <c r="Z7" s="175">
        <v>21</v>
      </c>
      <c r="AA7" s="175">
        <v>22</v>
      </c>
      <c r="AB7" s="174">
        <v>23</v>
      </c>
      <c r="AC7" s="174">
        <v>24</v>
      </c>
      <c r="AD7" s="174">
        <v>25</v>
      </c>
      <c r="AE7" s="174">
        <v>26</v>
      </c>
      <c r="AF7" s="174">
        <v>27</v>
      </c>
      <c r="AG7" s="175">
        <v>28</v>
      </c>
      <c r="AH7" s="176">
        <v>1</v>
      </c>
      <c r="AI7" s="14"/>
      <c r="AJ7" s="14"/>
      <c r="AK7" s="14"/>
    </row>
    <row r="8" spans="1:37" ht="27.75" customHeight="1">
      <c r="A8" s="43" t="s">
        <v>27</v>
      </c>
      <c r="B8" s="416" t="s">
        <v>73</v>
      </c>
      <c r="C8" s="416"/>
      <c r="D8" s="45" t="s">
        <v>74</v>
      </c>
      <c r="E8" s="177" t="s">
        <v>75</v>
      </c>
      <c r="F8" s="178">
        <v>1</v>
      </c>
      <c r="G8" s="179"/>
      <c r="H8" s="180">
        <v>8014</v>
      </c>
      <c r="I8" s="180"/>
      <c r="J8" s="180"/>
      <c r="K8" s="181" t="s">
        <v>187</v>
      </c>
      <c r="L8" s="182"/>
      <c r="M8" s="182"/>
      <c r="N8" s="180"/>
      <c r="O8" s="180"/>
      <c r="P8" s="180"/>
      <c r="Q8" s="180"/>
      <c r="R8" s="180"/>
      <c r="S8" s="182"/>
      <c r="T8" s="182"/>
      <c r="U8" s="180"/>
      <c r="V8" s="180" t="s">
        <v>188</v>
      </c>
      <c r="W8" s="180"/>
      <c r="X8" s="183" t="s">
        <v>189</v>
      </c>
      <c r="Y8" s="180"/>
      <c r="Z8" s="182"/>
      <c r="AA8" s="182"/>
      <c r="AB8" s="180"/>
      <c r="AC8" s="180" t="s">
        <v>76</v>
      </c>
      <c r="AD8" s="180"/>
      <c r="AE8" s="180"/>
      <c r="AF8" s="180"/>
      <c r="AG8" s="182"/>
      <c r="AH8" s="184"/>
      <c r="AI8" s="14"/>
      <c r="AJ8" s="14"/>
      <c r="AK8" s="14"/>
    </row>
    <row r="9" spans="1:37" ht="50.25" customHeight="1">
      <c r="A9" s="53" t="s">
        <v>28</v>
      </c>
      <c r="B9" s="54" t="s">
        <v>77</v>
      </c>
      <c r="C9" s="55" t="s">
        <v>78</v>
      </c>
      <c r="D9" s="185" t="s">
        <v>79</v>
      </c>
      <c r="E9" s="177" t="s">
        <v>80</v>
      </c>
      <c r="F9" s="21">
        <v>1</v>
      </c>
      <c r="G9" s="57" t="s">
        <v>87</v>
      </c>
      <c r="H9" s="58" t="s">
        <v>87</v>
      </c>
      <c r="I9" s="58" t="s">
        <v>81</v>
      </c>
      <c r="J9" s="58" t="s">
        <v>81</v>
      </c>
      <c r="K9" s="58" t="s">
        <v>190</v>
      </c>
      <c r="L9" s="59"/>
      <c r="M9" s="59"/>
      <c r="N9" s="58" t="s">
        <v>87</v>
      </c>
      <c r="O9" s="58" t="s">
        <v>87</v>
      </c>
      <c r="P9" s="58" t="s">
        <v>87</v>
      </c>
      <c r="Q9" s="58" t="s">
        <v>87</v>
      </c>
      <c r="R9" s="58" t="s">
        <v>87</v>
      </c>
      <c r="S9" s="59"/>
      <c r="T9" s="59"/>
      <c r="U9" s="58" t="s">
        <v>87</v>
      </c>
      <c r="V9" s="58" t="s">
        <v>87</v>
      </c>
      <c r="W9" s="58" t="s">
        <v>87</v>
      </c>
      <c r="X9" s="58" t="s">
        <v>87</v>
      </c>
      <c r="Y9" s="58" t="s">
        <v>87</v>
      </c>
      <c r="Z9" s="59"/>
      <c r="AA9" s="59"/>
      <c r="AB9" s="58" t="s">
        <v>81</v>
      </c>
      <c r="AC9" s="58" t="s">
        <v>84</v>
      </c>
      <c r="AD9" s="58" t="s">
        <v>87</v>
      </c>
      <c r="AE9" s="58"/>
      <c r="AF9" s="58" t="s">
        <v>87</v>
      </c>
      <c r="AG9" s="59"/>
      <c r="AH9" s="63"/>
      <c r="AI9" s="14"/>
      <c r="AJ9" s="14"/>
      <c r="AK9" s="14"/>
    </row>
    <row r="10" spans="1:37" ht="21" customHeight="1">
      <c r="A10" s="417" t="s">
        <v>88</v>
      </c>
      <c r="B10" s="64" t="s">
        <v>89</v>
      </c>
      <c r="C10" s="65" t="s">
        <v>90</v>
      </c>
      <c r="D10" s="186" t="s">
        <v>91</v>
      </c>
      <c r="E10" s="187" t="s">
        <v>92</v>
      </c>
      <c r="F10" s="21">
        <v>0.5</v>
      </c>
      <c r="G10" s="69"/>
      <c r="H10" s="61"/>
      <c r="I10" s="61"/>
      <c r="J10" s="61"/>
      <c r="K10" s="61"/>
      <c r="L10" s="70"/>
      <c r="M10" s="70"/>
      <c r="N10" s="188" t="s">
        <v>23</v>
      </c>
      <c r="O10" s="188" t="s">
        <v>23</v>
      </c>
      <c r="P10" s="188" t="s">
        <v>23</v>
      </c>
      <c r="Q10" s="188" t="s">
        <v>23</v>
      </c>
      <c r="R10" s="188" t="s">
        <v>23</v>
      </c>
      <c r="S10" s="70"/>
      <c r="T10" s="70"/>
      <c r="U10" s="189" t="s">
        <v>26</v>
      </c>
      <c r="V10" s="189" t="s">
        <v>26</v>
      </c>
      <c r="W10" s="189" t="s">
        <v>26</v>
      </c>
      <c r="X10" s="189" t="s">
        <v>26</v>
      </c>
      <c r="Y10" s="189" t="s">
        <v>26</v>
      </c>
      <c r="Z10" s="70"/>
      <c r="AA10" s="190"/>
      <c r="AB10" s="99"/>
      <c r="AC10" s="99"/>
      <c r="AD10" s="99"/>
      <c r="AE10" s="99" t="s">
        <v>191</v>
      </c>
      <c r="AF10" s="61"/>
      <c r="AG10" s="70"/>
      <c r="AH10" s="72"/>
      <c r="AI10" s="14"/>
      <c r="AJ10" s="14"/>
      <c r="AK10" s="14"/>
    </row>
    <row r="11" spans="1:37" ht="21" customHeight="1">
      <c r="A11" s="417"/>
      <c r="B11" s="64" t="s">
        <v>94</v>
      </c>
      <c r="C11" s="65" t="s">
        <v>95</v>
      </c>
      <c r="D11" s="191" t="s">
        <v>96</v>
      </c>
      <c r="E11" s="192" t="s">
        <v>97</v>
      </c>
      <c r="F11" s="21">
        <v>1</v>
      </c>
      <c r="G11" s="57" t="s">
        <v>25</v>
      </c>
      <c r="H11" s="58" t="s">
        <v>25</v>
      </c>
      <c r="I11" s="58" t="s">
        <v>25</v>
      </c>
      <c r="J11" s="58" t="s">
        <v>25</v>
      </c>
      <c r="K11" s="58" t="s">
        <v>25</v>
      </c>
      <c r="L11" s="59"/>
      <c r="M11" s="59"/>
      <c r="N11" s="58" t="s">
        <v>25</v>
      </c>
      <c r="O11" s="58" t="s">
        <v>25</v>
      </c>
      <c r="P11" s="58" t="s">
        <v>25</v>
      </c>
      <c r="Q11" s="58" t="s">
        <v>25</v>
      </c>
      <c r="R11" s="58" t="s">
        <v>25</v>
      </c>
      <c r="S11" s="59"/>
      <c r="T11" s="59"/>
      <c r="U11" s="58"/>
      <c r="V11" s="58"/>
      <c r="W11" s="58"/>
      <c r="X11" s="58"/>
      <c r="Y11" s="58"/>
      <c r="Z11" s="59"/>
      <c r="AA11" s="59"/>
      <c r="AB11" s="58"/>
      <c r="AC11" s="61"/>
      <c r="AD11" s="61"/>
      <c r="AE11" s="61"/>
      <c r="AF11" s="61"/>
      <c r="AG11" s="59"/>
      <c r="AH11" s="63"/>
      <c r="AI11" s="14"/>
      <c r="AJ11" s="14"/>
      <c r="AK11" s="14"/>
    </row>
    <row r="12" spans="1:37" ht="21" customHeight="1">
      <c r="A12" s="417"/>
      <c r="B12" s="64" t="s">
        <v>98</v>
      </c>
      <c r="C12" s="65" t="s">
        <v>99</v>
      </c>
      <c r="D12" s="193" t="s">
        <v>192</v>
      </c>
      <c r="E12" s="194" t="s">
        <v>193</v>
      </c>
      <c r="F12" s="21">
        <v>1</v>
      </c>
      <c r="G12" s="69"/>
      <c r="H12" s="61"/>
      <c r="I12" s="61"/>
      <c r="J12" s="61"/>
      <c r="K12" s="61"/>
      <c r="L12" s="59"/>
      <c r="M12" s="70"/>
      <c r="N12" s="61"/>
      <c r="O12" s="61"/>
      <c r="P12" s="61"/>
      <c r="Q12" s="58"/>
      <c r="R12" s="58"/>
      <c r="S12" s="59"/>
      <c r="T12" s="59"/>
      <c r="U12" s="61"/>
      <c r="V12" s="61"/>
      <c r="W12" s="61"/>
      <c r="X12" s="61"/>
      <c r="Y12" s="61"/>
      <c r="Z12" s="59"/>
      <c r="AA12" s="70"/>
      <c r="AB12" s="58"/>
      <c r="AC12" s="61"/>
      <c r="AD12" s="61"/>
      <c r="AE12" s="61"/>
      <c r="AF12" s="61"/>
      <c r="AG12" s="59"/>
      <c r="AH12" s="72"/>
      <c r="AI12" s="14"/>
      <c r="AJ12" s="14"/>
      <c r="AK12" s="14"/>
    </row>
    <row r="13" spans="1:37" ht="21" customHeight="1">
      <c r="A13" s="417"/>
      <c r="B13" s="64" t="s">
        <v>102</v>
      </c>
      <c r="C13" s="65" t="s">
        <v>103</v>
      </c>
      <c r="D13" s="193" t="s">
        <v>104</v>
      </c>
      <c r="E13" s="194" t="s">
        <v>105</v>
      </c>
      <c r="F13" s="21">
        <v>0.8</v>
      </c>
      <c r="G13" s="195" t="s">
        <v>23</v>
      </c>
      <c r="H13" s="188" t="s">
        <v>23</v>
      </c>
      <c r="I13" s="188" t="s">
        <v>23</v>
      </c>
      <c r="J13" s="188" t="s">
        <v>23</v>
      </c>
      <c r="K13" s="188" t="s">
        <v>23</v>
      </c>
      <c r="L13" s="59"/>
      <c r="M13" s="70"/>
      <c r="N13" s="61"/>
      <c r="O13" s="61"/>
      <c r="P13" s="61"/>
      <c r="Q13" s="58"/>
      <c r="R13" s="58"/>
      <c r="S13" s="59"/>
      <c r="T13" s="59"/>
      <c r="U13" s="61"/>
      <c r="V13" s="61"/>
      <c r="W13" s="61"/>
      <c r="X13" s="61"/>
      <c r="Y13" s="61"/>
      <c r="Z13" s="59"/>
      <c r="AA13" s="70"/>
      <c r="AB13" s="62" t="s">
        <v>106</v>
      </c>
      <c r="AC13" s="62" t="s">
        <v>106</v>
      </c>
      <c r="AD13" s="62" t="s">
        <v>106</v>
      </c>
      <c r="AE13" s="62" t="s">
        <v>106</v>
      </c>
      <c r="AF13" s="62" t="s">
        <v>106</v>
      </c>
      <c r="AG13" s="59"/>
      <c r="AH13" s="72"/>
      <c r="AI13" s="14" t="s">
        <v>194</v>
      </c>
      <c r="AJ13" s="14"/>
      <c r="AK13" s="14"/>
    </row>
    <row r="14" spans="1:37" ht="18.75" customHeight="1">
      <c r="A14" s="417"/>
      <c r="B14" s="64" t="s">
        <v>107</v>
      </c>
      <c r="C14" s="65" t="s">
        <v>108</v>
      </c>
      <c r="D14" s="193" t="s">
        <v>109</v>
      </c>
      <c r="E14" s="194" t="s">
        <v>110</v>
      </c>
      <c r="F14" s="21">
        <v>1</v>
      </c>
      <c r="G14" s="69"/>
      <c r="H14" s="61"/>
      <c r="I14" s="58"/>
      <c r="J14" s="61"/>
      <c r="K14" s="58" t="s">
        <v>25</v>
      </c>
      <c r="L14" s="70"/>
      <c r="M14" s="70"/>
      <c r="N14" s="61"/>
      <c r="O14" s="61"/>
      <c r="P14" s="61"/>
      <c r="Q14" s="58"/>
      <c r="R14" s="58"/>
      <c r="S14" s="59"/>
      <c r="T14" s="59"/>
      <c r="U14" s="61"/>
      <c r="V14" s="61"/>
      <c r="W14" s="61"/>
      <c r="X14" s="58"/>
      <c r="Y14" s="61"/>
      <c r="Z14" s="59"/>
      <c r="AA14" s="70"/>
      <c r="AB14" s="61"/>
      <c r="AC14" s="61"/>
      <c r="AD14" s="58"/>
      <c r="AE14" s="61"/>
      <c r="AF14" s="61"/>
      <c r="AG14" s="59"/>
      <c r="AH14" s="72"/>
      <c r="AI14" s="14"/>
      <c r="AJ14" s="14"/>
      <c r="AK14" s="14"/>
    </row>
    <row r="15" spans="1:37" ht="18.75" customHeight="1">
      <c r="A15" s="417"/>
      <c r="B15" s="64" t="s">
        <v>111</v>
      </c>
      <c r="C15" s="65" t="s">
        <v>112</v>
      </c>
      <c r="D15" s="193" t="s">
        <v>113</v>
      </c>
      <c r="E15" s="194" t="s">
        <v>114</v>
      </c>
      <c r="F15" s="21">
        <v>1</v>
      </c>
      <c r="G15" s="69"/>
      <c r="H15" s="61"/>
      <c r="I15" s="61"/>
      <c r="J15" s="61"/>
      <c r="K15" s="61"/>
      <c r="L15" s="59"/>
      <c r="M15" s="70"/>
      <c r="N15" s="61"/>
      <c r="O15" s="61"/>
      <c r="P15" s="61"/>
      <c r="Q15" s="58"/>
      <c r="R15" s="58"/>
      <c r="S15" s="59"/>
      <c r="T15" s="59"/>
      <c r="U15" s="61"/>
      <c r="V15" s="61"/>
      <c r="W15" s="61"/>
      <c r="X15" s="61"/>
      <c r="Y15" s="61"/>
      <c r="Z15" s="59"/>
      <c r="AA15" s="70"/>
      <c r="AB15" s="61"/>
      <c r="AC15" s="61"/>
      <c r="AD15" s="61"/>
      <c r="AE15" s="61"/>
      <c r="AF15" s="58"/>
      <c r="AG15" s="59"/>
      <c r="AH15" s="72"/>
      <c r="AI15" s="14"/>
      <c r="AJ15" s="14"/>
      <c r="AK15" s="14"/>
    </row>
    <row r="16" spans="1:37" ht="18.75" customHeight="1">
      <c r="A16" s="417"/>
      <c r="B16" s="64" t="s">
        <v>116</v>
      </c>
      <c r="C16" s="65" t="s">
        <v>117</v>
      </c>
      <c r="D16" s="193" t="s">
        <v>118</v>
      </c>
      <c r="E16" s="194" t="s">
        <v>119</v>
      </c>
      <c r="F16" s="21">
        <v>1</v>
      </c>
      <c r="G16" s="69" t="s">
        <v>26</v>
      </c>
      <c r="H16" s="61" t="s">
        <v>26</v>
      </c>
      <c r="I16" s="61"/>
      <c r="J16" s="58"/>
      <c r="K16" s="61"/>
      <c r="L16" s="70"/>
      <c r="M16" s="70"/>
      <c r="N16" s="61"/>
      <c r="O16" s="61"/>
      <c r="P16" s="61"/>
      <c r="Q16" s="58"/>
      <c r="R16" s="58"/>
      <c r="S16" s="59"/>
      <c r="T16" s="59"/>
      <c r="U16" s="61"/>
      <c r="V16" s="61"/>
      <c r="W16" s="61"/>
      <c r="X16" s="61"/>
      <c r="Y16" s="58"/>
      <c r="Z16" s="59"/>
      <c r="AA16" s="70"/>
      <c r="AB16" s="61"/>
      <c r="AC16" s="61"/>
      <c r="AD16" s="61"/>
      <c r="AE16" s="58"/>
      <c r="AF16" s="61"/>
      <c r="AG16" s="59"/>
      <c r="AH16" s="72"/>
      <c r="AI16" s="14"/>
      <c r="AJ16" s="14"/>
      <c r="AK16" s="14"/>
    </row>
    <row r="17" spans="1:37" ht="18.75" customHeight="1">
      <c r="A17" s="417"/>
      <c r="B17" s="64" t="s">
        <v>120</v>
      </c>
      <c r="C17" s="65" t="s">
        <v>121</v>
      </c>
      <c r="D17" s="193" t="s">
        <v>122</v>
      </c>
      <c r="E17" s="194" t="s">
        <v>123</v>
      </c>
      <c r="F17" s="21">
        <v>1</v>
      </c>
      <c r="G17" s="69"/>
      <c r="H17" s="61"/>
      <c r="I17" s="61"/>
      <c r="J17" s="61"/>
      <c r="K17" s="61"/>
      <c r="L17" s="59"/>
      <c r="M17" s="70"/>
      <c r="N17" s="61"/>
      <c r="O17" s="61"/>
      <c r="P17" s="61"/>
      <c r="Q17" s="58"/>
      <c r="R17" s="58"/>
      <c r="S17" s="59"/>
      <c r="T17" s="59"/>
      <c r="U17" s="61"/>
      <c r="V17" s="61"/>
      <c r="W17" s="61"/>
      <c r="X17" s="58"/>
      <c r="Y17" s="61"/>
      <c r="Z17" s="59"/>
      <c r="AA17" s="70"/>
      <c r="AB17" s="58"/>
      <c r="AC17" s="61"/>
      <c r="AD17" s="61"/>
      <c r="AE17" s="61"/>
      <c r="AF17" s="61"/>
      <c r="AG17" s="59"/>
      <c r="AH17" s="72"/>
      <c r="AI17" s="14"/>
      <c r="AJ17" s="14"/>
      <c r="AK17" s="14"/>
    </row>
    <row r="18" spans="1:37" ht="18.75" customHeight="1">
      <c r="A18" s="417"/>
      <c r="B18" s="64" t="s">
        <v>124</v>
      </c>
      <c r="C18" s="65" t="s">
        <v>125</v>
      </c>
      <c r="D18" s="193" t="s">
        <v>126</v>
      </c>
      <c r="E18" s="194" t="s">
        <v>127</v>
      </c>
      <c r="F18" s="21">
        <v>1</v>
      </c>
      <c r="G18" s="69"/>
      <c r="H18" s="61"/>
      <c r="I18" s="61"/>
      <c r="J18" s="61"/>
      <c r="K18" s="58"/>
      <c r="L18" s="70"/>
      <c r="M18" s="70"/>
      <c r="N18" s="61"/>
      <c r="O18" s="61"/>
      <c r="P18" s="61"/>
      <c r="Q18" s="58"/>
      <c r="R18" s="58"/>
      <c r="S18" s="59"/>
      <c r="T18" s="59"/>
      <c r="U18" s="58" t="s">
        <v>25</v>
      </c>
      <c r="V18" s="58" t="s">
        <v>25</v>
      </c>
      <c r="W18" s="58" t="s">
        <v>25</v>
      </c>
      <c r="X18" s="58" t="s">
        <v>25</v>
      </c>
      <c r="Y18" s="58" t="s">
        <v>25</v>
      </c>
      <c r="Z18" s="59"/>
      <c r="AA18" s="70"/>
      <c r="AB18" s="58" t="s">
        <v>25</v>
      </c>
      <c r="AC18" s="61"/>
      <c r="AD18" s="61"/>
      <c r="AE18" s="61"/>
      <c r="AF18" s="58"/>
      <c r="AG18" s="59"/>
      <c r="AH18" s="72"/>
      <c r="AI18" s="14"/>
      <c r="AJ18" s="14"/>
      <c r="AK18" s="14"/>
    </row>
    <row r="19" spans="1:37" ht="21" customHeight="1">
      <c r="A19" s="417"/>
      <c r="B19" s="64" t="s">
        <v>129</v>
      </c>
      <c r="C19" s="65" t="s">
        <v>130</v>
      </c>
      <c r="D19" s="196" t="s">
        <v>131</v>
      </c>
      <c r="E19" s="197" t="s">
        <v>132</v>
      </c>
      <c r="F19" s="21">
        <v>0.8</v>
      </c>
      <c r="G19" s="91"/>
      <c r="H19" s="61" t="s">
        <v>26</v>
      </c>
      <c r="I19" s="61" t="s">
        <v>26</v>
      </c>
      <c r="J19" s="61" t="s">
        <v>26</v>
      </c>
      <c r="K19" s="61" t="s">
        <v>26</v>
      </c>
      <c r="L19" s="87"/>
      <c r="M19" s="87"/>
      <c r="N19" s="61" t="s">
        <v>26</v>
      </c>
      <c r="O19" s="61" t="s">
        <v>26</v>
      </c>
      <c r="P19" s="61" t="s">
        <v>26</v>
      </c>
      <c r="Q19" s="61" t="s">
        <v>26</v>
      </c>
      <c r="R19" s="61" t="s">
        <v>26</v>
      </c>
      <c r="S19" s="59"/>
      <c r="T19" s="59"/>
      <c r="U19" s="188" t="s">
        <v>23</v>
      </c>
      <c r="V19" s="188" t="s">
        <v>23</v>
      </c>
      <c r="W19" s="188" t="s">
        <v>23</v>
      </c>
      <c r="X19" s="188" t="s">
        <v>23</v>
      </c>
      <c r="Y19" s="188" t="s">
        <v>23</v>
      </c>
      <c r="Z19" s="59"/>
      <c r="AA19" s="70"/>
      <c r="AB19" s="61" t="s">
        <v>26</v>
      </c>
      <c r="AC19" s="61" t="s">
        <v>26</v>
      </c>
      <c r="AD19" s="61" t="s">
        <v>26</v>
      </c>
      <c r="AE19" s="61" t="s">
        <v>26</v>
      </c>
      <c r="AF19" s="58" t="s">
        <v>25</v>
      </c>
      <c r="AG19" s="59"/>
      <c r="AH19" s="90"/>
      <c r="AI19" s="14"/>
      <c r="AJ19" s="14"/>
      <c r="AK19" s="14"/>
    </row>
    <row r="20" spans="1:37" ht="18.75" customHeight="1">
      <c r="A20" s="417"/>
      <c r="B20" s="64" t="s">
        <v>133</v>
      </c>
      <c r="C20" s="65" t="s">
        <v>134</v>
      </c>
      <c r="D20" s="196" t="s">
        <v>135</v>
      </c>
      <c r="E20" s="197" t="s">
        <v>136</v>
      </c>
      <c r="F20" s="21">
        <v>1</v>
      </c>
      <c r="G20" s="91"/>
      <c r="H20" s="61"/>
      <c r="I20" s="61"/>
      <c r="J20" s="61"/>
      <c r="K20" s="58"/>
      <c r="L20" s="87"/>
      <c r="M20" s="87"/>
      <c r="N20" s="88"/>
      <c r="O20" s="88"/>
      <c r="P20" s="88"/>
      <c r="Q20" s="58"/>
      <c r="R20" s="58"/>
      <c r="S20" s="59"/>
      <c r="T20" s="59"/>
      <c r="U20" s="58"/>
      <c r="V20" s="61"/>
      <c r="W20" s="61"/>
      <c r="X20" s="61"/>
      <c r="Y20" s="61"/>
      <c r="Z20" s="59"/>
      <c r="AA20" s="70"/>
      <c r="AB20" s="61"/>
      <c r="AC20" s="61"/>
      <c r="AD20" s="61"/>
      <c r="AE20" s="61"/>
      <c r="AF20" s="58"/>
      <c r="AG20" s="59"/>
      <c r="AH20" s="90"/>
      <c r="AI20" s="14"/>
      <c r="AJ20" s="14"/>
      <c r="AK20" s="14"/>
    </row>
    <row r="21" spans="1:37" ht="18.75" customHeight="1">
      <c r="A21" s="417"/>
      <c r="B21" s="64" t="s">
        <v>137</v>
      </c>
      <c r="C21" s="65" t="s">
        <v>138</v>
      </c>
      <c r="D21" s="196" t="s">
        <v>139</v>
      </c>
      <c r="E21" s="197" t="s">
        <v>140</v>
      </c>
      <c r="F21" s="21">
        <v>1</v>
      </c>
      <c r="G21" s="91"/>
      <c r="H21" s="61"/>
      <c r="I21" s="61"/>
      <c r="J21" s="61"/>
      <c r="K21" s="58"/>
      <c r="L21" s="87"/>
      <c r="M21" s="87"/>
      <c r="N21" s="88"/>
      <c r="O21" s="88"/>
      <c r="P21" s="88"/>
      <c r="Q21" s="58"/>
      <c r="R21" s="58"/>
      <c r="S21" s="59"/>
      <c r="T21" s="59"/>
      <c r="U21" s="58"/>
      <c r="V21" s="61"/>
      <c r="W21" s="61"/>
      <c r="X21" s="61"/>
      <c r="Y21" s="61"/>
      <c r="Z21" s="59"/>
      <c r="AA21" s="70"/>
      <c r="AB21" s="61"/>
      <c r="AC21" s="61"/>
      <c r="AD21" s="61"/>
      <c r="AE21" s="61"/>
      <c r="AF21" s="58"/>
      <c r="AG21" s="59"/>
      <c r="AH21" s="90"/>
      <c r="AI21" s="14"/>
      <c r="AJ21" s="14" t="s">
        <v>115</v>
      </c>
      <c r="AK21" s="14"/>
    </row>
    <row r="22" spans="1:37" ht="21" customHeight="1">
      <c r="A22" s="417"/>
      <c r="B22" s="64" t="s">
        <v>141</v>
      </c>
      <c r="C22" s="65" t="s">
        <v>142</v>
      </c>
      <c r="D22" s="196" t="s">
        <v>143</v>
      </c>
      <c r="E22" s="197" t="s">
        <v>144</v>
      </c>
      <c r="F22" s="21">
        <v>1</v>
      </c>
      <c r="G22" s="57" t="s">
        <v>25</v>
      </c>
      <c r="H22" s="58" t="s">
        <v>25</v>
      </c>
      <c r="I22" s="58" t="s">
        <v>25</v>
      </c>
      <c r="J22" s="58" t="s">
        <v>25</v>
      </c>
      <c r="K22" s="58" t="s">
        <v>25</v>
      </c>
      <c r="L22" s="70"/>
      <c r="M22" s="70"/>
      <c r="N22" s="61"/>
      <c r="O22" s="61"/>
      <c r="P22" s="61"/>
      <c r="Q22" s="61"/>
      <c r="R22" s="61"/>
      <c r="S22" s="70"/>
      <c r="T22" s="70"/>
      <c r="U22" s="61"/>
      <c r="V22" s="61"/>
      <c r="W22" s="61"/>
      <c r="X22" s="61"/>
      <c r="Y22" s="61"/>
      <c r="Z22" s="70"/>
      <c r="AA22" s="70"/>
      <c r="AB22" s="61"/>
      <c r="AC22" s="61"/>
      <c r="AD22" s="61"/>
      <c r="AE22" s="61"/>
      <c r="AF22" s="61"/>
      <c r="AG22" s="70"/>
      <c r="AH22" s="72"/>
      <c r="AI22" s="14"/>
      <c r="AJ22" s="14"/>
      <c r="AK22" s="14"/>
    </row>
    <row r="23" spans="1:37" ht="21" customHeight="1">
      <c r="A23" s="417"/>
      <c r="B23" s="64" t="s">
        <v>146</v>
      </c>
      <c r="C23" s="65"/>
      <c r="D23" s="95" t="s">
        <v>147</v>
      </c>
      <c r="E23" s="85" t="s">
        <v>148</v>
      </c>
      <c r="F23" s="21">
        <v>1</v>
      </c>
      <c r="G23" s="69" t="s">
        <v>195</v>
      </c>
      <c r="H23" s="61" t="s">
        <v>195</v>
      </c>
      <c r="I23" s="61" t="s">
        <v>195</v>
      </c>
      <c r="J23" s="61" t="s">
        <v>195</v>
      </c>
      <c r="K23" s="61" t="s">
        <v>195</v>
      </c>
      <c r="L23" s="70"/>
      <c r="M23" s="70"/>
      <c r="N23" s="61" t="s">
        <v>167</v>
      </c>
      <c r="O23" s="61" t="s">
        <v>167</v>
      </c>
      <c r="P23" s="61" t="s">
        <v>167</v>
      </c>
      <c r="Q23" s="61" t="s">
        <v>167</v>
      </c>
      <c r="R23" s="61" t="s">
        <v>167</v>
      </c>
      <c r="S23" s="70"/>
      <c r="T23" s="70"/>
      <c r="U23" s="61" t="s">
        <v>196</v>
      </c>
      <c r="V23" s="61" t="s">
        <v>196</v>
      </c>
      <c r="W23" s="61" t="s">
        <v>196</v>
      </c>
      <c r="X23" s="61" t="s">
        <v>196</v>
      </c>
      <c r="Y23" s="61" t="s">
        <v>196</v>
      </c>
      <c r="Z23" s="70"/>
      <c r="AA23" s="70"/>
      <c r="AB23" s="61" t="s">
        <v>149</v>
      </c>
      <c r="AC23" s="61" t="s">
        <v>149</v>
      </c>
      <c r="AD23" s="58" t="s">
        <v>25</v>
      </c>
      <c r="AE23" s="61" t="s">
        <v>149</v>
      </c>
      <c r="AF23" s="61" t="s">
        <v>149</v>
      </c>
      <c r="AG23" s="70"/>
      <c r="AH23" s="72"/>
      <c r="AI23" s="14"/>
      <c r="AJ23" s="14"/>
      <c r="AK23" s="14"/>
    </row>
    <row r="24" spans="1:37" ht="21" customHeight="1">
      <c r="A24" s="417"/>
      <c r="B24" s="101" t="s">
        <v>150</v>
      </c>
      <c r="C24" s="65"/>
      <c r="D24" s="84" t="s">
        <v>151</v>
      </c>
      <c r="E24" s="85" t="s">
        <v>152</v>
      </c>
      <c r="F24" s="198">
        <v>1</v>
      </c>
      <c r="G24" s="91" t="s">
        <v>197</v>
      </c>
      <c r="H24" s="88" t="s">
        <v>197</v>
      </c>
      <c r="I24" s="88" t="s">
        <v>197</v>
      </c>
      <c r="J24" s="88" t="s">
        <v>197</v>
      </c>
      <c r="K24" s="88" t="s">
        <v>197</v>
      </c>
      <c r="L24" s="87"/>
      <c r="M24" s="87"/>
      <c r="N24" s="88" t="s">
        <v>154</v>
      </c>
      <c r="O24" s="88" t="s">
        <v>154</v>
      </c>
      <c r="P24" s="88" t="s">
        <v>154</v>
      </c>
      <c r="Q24" s="88" t="s">
        <v>154</v>
      </c>
      <c r="R24" s="88" t="s">
        <v>154</v>
      </c>
      <c r="S24" s="87"/>
      <c r="T24" s="87"/>
      <c r="U24" s="88" t="s">
        <v>169</v>
      </c>
      <c r="V24" s="88" t="s">
        <v>169</v>
      </c>
      <c r="W24" s="88" t="s">
        <v>169</v>
      </c>
      <c r="X24" s="88" t="s">
        <v>169</v>
      </c>
      <c r="Y24" s="88" t="s">
        <v>169</v>
      </c>
      <c r="Z24" s="87"/>
      <c r="AA24" s="87"/>
      <c r="AB24" s="88" t="s">
        <v>196</v>
      </c>
      <c r="AC24" s="88" t="s">
        <v>169</v>
      </c>
      <c r="AD24" s="88" t="s">
        <v>169</v>
      </c>
      <c r="AE24" s="88" t="s">
        <v>169</v>
      </c>
      <c r="AF24" s="88" t="s">
        <v>169</v>
      </c>
      <c r="AG24" s="87"/>
      <c r="AH24" s="90"/>
      <c r="AI24" s="14"/>
      <c r="AJ24" s="14"/>
      <c r="AK24" s="14"/>
    </row>
    <row r="25" spans="1:37" ht="18.75" customHeight="1">
      <c r="A25" s="418" t="s">
        <v>156</v>
      </c>
      <c r="B25" s="108" t="s">
        <v>157</v>
      </c>
      <c r="C25" s="109" t="s">
        <v>158</v>
      </c>
      <c r="D25" s="110" t="s">
        <v>159</v>
      </c>
      <c r="E25" s="111" t="s">
        <v>160</v>
      </c>
      <c r="F25" s="112">
        <v>1</v>
      </c>
      <c r="G25" s="199" t="s">
        <v>157</v>
      </c>
      <c r="H25" s="200" t="s">
        <v>157</v>
      </c>
      <c r="I25" s="200" t="s">
        <v>157</v>
      </c>
      <c r="J25" s="200" t="s">
        <v>157</v>
      </c>
      <c r="K25" s="200" t="s">
        <v>157</v>
      </c>
      <c r="L25" s="201"/>
      <c r="M25" s="201"/>
      <c r="N25" s="200" t="s">
        <v>157</v>
      </c>
      <c r="O25" s="200" t="s">
        <v>157</v>
      </c>
      <c r="P25" s="200" t="s">
        <v>157</v>
      </c>
      <c r="Q25" s="200" t="s">
        <v>157</v>
      </c>
      <c r="R25" s="200" t="s">
        <v>157</v>
      </c>
      <c r="S25" s="201"/>
      <c r="T25" s="201"/>
      <c r="U25" s="200" t="s">
        <v>161</v>
      </c>
      <c r="V25" s="200" t="s">
        <v>161</v>
      </c>
      <c r="W25" s="200" t="s">
        <v>157</v>
      </c>
      <c r="X25" s="200" t="s">
        <v>157</v>
      </c>
      <c r="Y25" s="200" t="s">
        <v>157</v>
      </c>
      <c r="Z25" s="201"/>
      <c r="AA25" s="201"/>
      <c r="AB25" s="200" t="s">
        <v>157</v>
      </c>
      <c r="AC25" s="200" t="s">
        <v>157</v>
      </c>
      <c r="AD25" s="200" t="s">
        <v>157</v>
      </c>
      <c r="AE25" s="200" t="s">
        <v>157</v>
      </c>
      <c r="AF25" s="200" t="s">
        <v>157</v>
      </c>
      <c r="AG25" s="201"/>
      <c r="AH25" s="202"/>
      <c r="AI25" s="14"/>
      <c r="AJ25" s="14"/>
      <c r="AK25" s="14"/>
    </row>
    <row r="26" spans="1:37" ht="18.75" customHeight="1">
      <c r="A26" s="418"/>
      <c r="B26" s="118" t="s">
        <v>161</v>
      </c>
      <c r="C26" s="119" t="s">
        <v>158</v>
      </c>
      <c r="D26" s="120" t="s">
        <v>162</v>
      </c>
      <c r="E26" s="121" t="s">
        <v>163</v>
      </c>
      <c r="F26" s="203">
        <v>1</v>
      </c>
      <c r="G26" s="204" t="s">
        <v>161</v>
      </c>
      <c r="H26" s="205" t="s">
        <v>161</v>
      </c>
      <c r="I26" s="205" t="s">
        <v>161</v>
      </c>
      <c r="J26" s="205" t="s">
        <v>161</v>
      </c>
      <c r="K26" s="205" t="s">
        <v>161</v>
      </c>
      <c r="L26" s="87"/>
      <c r="M26" s="87"/>
      <c r="N26" s="205" t="s">
        <v>161</v>
      </c>
      <c r="O26" s="205" t="s">
        <v>161</v>
      </c>
      <c r="P26" s="205" t="s">
        <v>161</v>
      </c>
      <c r="Q26" s="205" t="s">
        <v>161</v>
      </c>
      <c r="R26" s="205" t="s">
        <v>161</v>
      </c>
      <c r="S26" s="87"/>
      <c r="T26" s="87"/>
      <c r="U26" s="205" t="s">
        <v>157</v>
      </c>
      <c r="V26" s="205" t="s">
        <v>157</v>
      </c>
      <c r="W26" s="205" t="s">
        <v>161</v>
      </c>
      <c r="X26" s="205" t="s">
        <v>161</v>
      </c>
      <c r="Y26" s="205" t="s">
        <v>161</v>
      </c>
      <c r="Z26" s="87"/>
      <c r="AA26" s="87"/>
      <c r="AB26" s="205" t="s">
        <v>161</v>
      </c>
      <c r="AC26" s="205" t="s">
        <v>161</v>
      </c>
      <c r="AD26" s="205" t="s">
        <v>161</v>
      </c>
      <c r="AE26" s="205" t="s">
        <v>161</v>
      </c>
      <c r="AF26" s="205" t="s">
        <v>161</v>
      </c>
      <c r="AG26" s="87"/>
      <c r="AH26" s="90"/>
      <c r="AI26" s="14"/>
      <c r="AJ26" s="14"/>
      <c r="AK26" s="14"/>
    </row>
    <row r="27" spans="1:37" ht="18.75" customHeight="1">
      <c r="A27" s="418"/>
      <c r="B27" s="118" t="s">
        <v>164</v>
      </c>
      <c r="C27" s="119" t="s">
        <v>158</v>
      </c>
      <c r="D27" s="119" t="s">
        <v>165</v>
      </c>
      <c r="E27" s="125" t="s">
        <v>105</v>
      </c>
      <c r="F27" s="112">
        <v>1</v>
      </c>
      <c r="G27" s="204" t="s">
        <v>149</v>
      </c>
      <c r="H27" s="205" t="s">
        <v>149</v>
      </c>
      <c r="I27" s="205" t="s">
        <v>149</v>
      </c>
      <c r="J27" s="205" t="s">
        <v>149</v>
      </c>
      <c r="K27" s="205" t="s">
        <v>149</v>
      </c>
      <c r="L27" s="87"/>
      <c r="M27" s="87"/>
      <c r="N27" s="206" t="s">
        <v>25</v>
      </c>
      <c r="O27" s="207" t="s">
        <v>25</v>
      </c>
      <c r="P27" s="189" t="s">
        <v>26</v>
      </c>
      <c r="Q27" s="189" t="s">
        <v>26</v>
      </c>
      <c r="R27" s="189" t="s">
        <v>26</v>
      </c>
      <c r="S27" s="87"/>
      <c r="T27" s="87"/>
      <c r="U27" s="189" t="s">
        <v>26</v>
      </c>
      <c r="V27" s="189" t="s">
        <v>26</v>
      </c>
      <c r="W27" s="189" t="s">
        <v>26</v>
      </c>
      <c r="X27" s="189" t="s">
        <v>26</v>
      </c>
      <c r="Y27" s="189" t="s">
        <v>26</v>
      </c>
      <c r="Z27" s="87"/>
      <c r="AA27" s="87"/>
      <c r="AB27" s="189" t="s">
        <v>26</v>
      </c>
      <c r="AC27" s="189" t="s">
        <v>26</v>
      </c>
      <c r="AD27" s="189" t="s">
        <v>26</v>
      </c>
      <c r="AE27" s="189" t="s">
        <v>26</v>
      </c>
      <c r="AF27" s="189" t="s">
        <v>26</v>
      </c>
      <c r="AG27" s="87"/>
      <c r="AH27" s="90"/>
      <c r="AI27" s="14"/>
      <c r="AJ27" s="14"/>
      <c r="AK27" s="14"/>
    </row>
    <row r="28" spans="1:37" ht="18.75" customHeight="1">
      <c r="A28" s="418"/>
      <c r="B28" s="127" t="s">
        <v>170</v>
      </c>
      <c r="C28" s="128" t="s">
        <v>158</v>
      </c>
      <c r="D28" s="128" t="s">
        <v>171</v>
      </c>
      <c r="E28" s="129" t="s">
        <v>172</v>
      </c>
      <c r="F28" s="112">
        <v>1</v>
      </c>
      <c r="G28" s="204" t="s">
        <v>28</v>
      </c>
      <c r="H28" s="205" t="s">
        <v>28</v>
      </c>
      <c r="I28" s="205" t="s">
        <v>28</v>
      </c>
      <c r="J28" s="205" t="s">
        <v>28</v>
      </c>
      <c r="K28" s="205" t="s">
        <v>28</v>
      </c>
      <c r="L28" s="87"/>
      <c r="M28" s="87"/>
      <c r="N28" s="205" t="s">
        <v>28</v>
      </c>
      <c r="O28" s="205" t="s">
        <v>28</v>
      </c>
      <c r="P28" s="205" t="s">
        <v>28</v>
      </c>
      <c r="Q28" s="205" t="s">
        <v>28</v>
      </c>
      <c r="R28" s="205" t="s">
        <v>28</v>
      </c>
      <c r="S28" s="87"/>
      <c r="T28" s="87"/>
      <c r="U28" s="205" t="s">
        <v>28</v>
      </c>
      <c r="V28" s="205" t="s">
        <v>28</v>
      </c>
      <c r="W28" s="205" t="s">
        <v>28</v>
      </c>
      <c r="X28" s="205" t="s">
        <v>28</v>
      </c>
      <c r="Y28" s="205" t="s">
        <v>28</v>
      </c>
      <c r="Z28" s="87"/>
      <c r="AA28" s="87"/>
      <c r="AB28" s="207" t="s">
        <v>28</v>
      </c>
      <c r="AC28" s="207" t="s">
        <v>28</v>
      </c>
      <c r="AD28" s="205" t="s">
        <v>28</v>
      </c>
      <c r="AE28" s="205" t="s">
        <v>28</v>
      </c>
      <c r="AF28" s="205" t="s">
        <v>28</v>
      </c>
      <c r="AG28" s="87"/>
      <c r="AH28" s="90"/>
      <c r="AI28" s="14"/>
      <c r="AJ28" s="14"/>
      <c r="AK28" s="14"/>
    </row>
    <row r="29" spans="1:37" ht="18.75" customHeight="1">
      <c r="A29" s="419" t="s">
        <v>174</v>
      </c>
      <c r="B29" s="419"/>
      <c r="C29" s="419"/>
      <c r="D29" s="419"/>
      <c r="E29" s="419"/>
      <c r="F29" s="143">
        <v>1</v>
      </c>
      <c r="G29" s="208"/>
      <c r="H29" s="114"/>
      <c r="I29" s="114"/>
      <c r="J29" s="114"/>
      <c r="K29" s="114" t="s">
        <v>198</v>
      </c>
      <c r="L29" s="201"/>
      <c r="M29" s="201"/>
      <c r="N29" s="114" t="s">
        <v>199</v>
      </c>
      <c r="O29" s="114" t="s">
        <v>199</v>
      </c>
      <c r="P29" s="114" t="s">
        <v>199</v>
      </c>
      <c r="Q29" s="114" t="s">
        <v>199</v>
      </c>
      <c r="R29" s="114" t="s">
        <v>199</v>
      </c>
      <c r="S29" s="201"/>
      <c r="T29" s="201"/>
      <c r="U29" s="114"/>
      <c r="V29" s="114"/>
      <c r="W29" s="114"/>
      <c r="X29" s="114"/>
      <c r="Y29" s="114"/>
      <c r="Z29" s="201"/>
      <c r="AA29" s="201"/>
      <c r="AB29" s="114"/>
      <c r="AC29" s="114"/>
      <c r="AD29" s="114"/>
      <c r="AE29" s="114"/>
      <c r="AF29" s="114"/>
      <c r="AG29" s="201"/>
      <c r="AH29" s="202"/>
      <c r="AI29" s="14"/>
      <c r="AJ29" s="14"/>
      <c r="AK29" s="14"/>
    </row>
    <row r="30" spans="1:37" ht="18.75" customHeight="1">
      <c r="A30" s="419"/>
      <c r="B30" s="419"/>
      <c r="C30" s="419"/>
      <c r="D30" s="419"/>
      <c r="E30" s="419"/>
      <c r="F30" s="21">
        <v>1</v>
      </c>
      <c r="G30" s="209"/>
      <c r="H30" s="61"/>
      <c r="I30" s="61"/>
      <c r="J30" s="61"/>
      <c r="K30" s="210"/>
      <c r="L30" s="87"/>
      <c r="M30" s="87"/>
      <c r="N30" s="61"/>
      <c r="O30" s="61"/>
      <c r="P30" s="61"/>
      <c r="Q30" s="61"/>
      <c r="R30" s="61"/>
      <c r="S30" s="87"/>
      <c r="T30" s="87"/>
      <c r="U30" s="61"/>
      <c r="V30" s="61"/>
      <c r="W30" s="61"/>
      <c r="X30" s="61"/>
      <c r="Y30" s="61"/>
      <c r="Z30" s="211" t="s">
        <v>200</v>
      </c>
      <c r="AA30" s="87"/>
      <c r="AB30" s="212" t="s">
        <v>201</v>
      </c>
      <c r="AC30" s="212" t="s">
        <v>201</v>
      </c>
      <c r="AD30" s="213" t="s">
        <v>202</v>
      </c>
      <c r="AE30" s="213" t="s">
        <v>202</v>
      </c>
      <c r="AF30" s="213" t="s">
        <v>202</v>
      </c>
      <c r="AG30" s="87" t="s">
        <v>115</v>
      </c>
      <c r="AH30" s="90"/>
      <c r="AI30" s="14"/>
      <c r="AJ30" s="14"/>
      <c r="AK30" s="14"/>
    </row>
    <row r="31" spans="1:37" ht="18.75" customHeight="1">
      <c r="A31" s="419"/>
      <c r="B31" s="419"/>
      <c r="C31" s="419"/>
      <c r="D31" s="419"/>
      <c r="E31" s="419"/>
      <c r="F31" s="21">
        <v>1</v>
      </c>
      <c r="G31" s="214"/>
      <c r="H31" s="140"/>
      <c r="I31" s="140"/>
      <c r="J31" s="140"/>
      <c r="K31" s="140"/>
      <c r="L31" s="141"/>
      <c r="M31" s="141"/>
      <c r="N31" s="140"/>
      <c r="O31" s="140"/>
      <c r="P31" s="140"/>
      <c r="Q31" s="140"/>
      <c r="R31" s="140"/>
      <c r="S31" s="141"/>
      <c r="T31" s="141"/>
      <c r="U31" s="140"/>
      <c r="V31" s="140"/>
      <c r="W31" s="140"/>
      <c r="X31" s="140"/>
      <c r="Y31" s="140"/>
      <c r="Z31" s="141"/>
      <c r="AA31" s="141"/>
      <c r="AB31" s="140"/>
      <c r="AC31" s="140"/>
      <c r="AD31" s="140"/>
      <c r="AE31" s="140"/>
      <c r="AF31" s="140"/>
      <c r="AG31" s="141"/>
      <c r="AH31" s="142"/>
      <c r="AI31" s="14"/>
      <c r="AJ31" s="14"/>
      <c r="AK31" s="14"/>
    </row>
    <row r="32" spans="1:37" ht="24" customHeight="1">
      <c r="F32" s="143"/>
      <c r="G32" s="144">
        <f>COUNTA(G29:G31)</f>
        <v>0</v>
      </c>
      <c r="H32" s="144">
        <f>COUNTA(H29:H31)</f>
        <v>0</v>
      </c>
      <c r="I32" s="144">
        <f>COUNTA(I29:I31)</f>
        <v>0</v>
      </c>
      <c r="J32" s="144">
        <f>COUNTA(J29:J31)</f>
        <v>0</v>
      </c>
      <c r="K32" s="144">
        <f>COUNTA(K29:K31)</f>
        <v>1</v>
      </c>
      <c r="L32" s="145"/>
      <c r="M32" s="145"/>
      <c r="N32" s="144">
        <f>COUNTA(N29:N31)</f>
        <v>1</v>
      </c>
      <c r="O32" s="144">
        <f>COUNTA(O29:O31)</f>
        <v>1</v>
      </c>
      <c r="P32" s="144">
        <f>COUNTA(P29:P31)</f>
        <v>1</v>
      </c>
      <c r="Q32" s="144">
        <f>COUNTA(Q29:Q31)</f>
        <v>1</v>
      </c>
      <c r="R32" s="144">
        <f>COUNTA(R29:R31)</f>
        <v>1</v>
      </c>
      <c r="S32" s="146"/>
      <c r="T32" s="146"/>
      <c r="U32" s="144">
        <f>COUNTA(U29:U31)</f>
        <v>0</v>
      </c>
      <c r="V32" s="144">
        <f>COUNTA(V29:V31)</f>
        <v>0</v>
      </c>
      <c r="W32" s="144">
        <f>COUNTA(W29:W31)</f>
        <v>0</v>
      </c>
      <c r="X32" s="144">
        <f>COUNTA(X29:X31)</f>
        <v>0</v>
      </c>
      <c r="Y32" s="144">
        <f>COUNTA(Y29:Y31)</f>
        <v>0</v>
      </c>
      <c r="Z32" s="146"/>
      <c r="AA32" s="146"/>
      <c r="AB32" s="144">
        <f>COUNTA(AB29:AB31)</f>
        <v>1</v>
      </c>
      <c r="AC32" s="144">
        <f>COUNTA(AC29:AC31)</f>
        <v>1</v>
      </c>
      <c r="AD32" s="144">
        <f>COUNTA(AD29:AD31)</f>
        <v>1</v>
      </c>
      <c r="AE32" s="144">
        <f>COUNTA(AE29:AE31)</f>
        <v>1</v>
      </c>
      <c r="AF32" s="144">
        <f>COUNTA(AF29:AF31)</f>
        <v>1</v>
      </c>
      <c r="AG32" s="146"/>
      <c r="AH32" s="147"/>
      <c r="AI32" s="14"/>
      <c r="AJ32" s="14"/>
      <c r="AK32" s="14"/>
    </row>
    <row r="33" spans="4:37" ht="24" customHeight="1">
      <c r="D33" s="86" t="s">
        <v>176</v>
      </c>
      <c r="E33" s="86">
        <f t="shared" ref="E33:E38" si="0">SUM(L33,S33,Z33,AG33)</f>
        <v>15</v>
      </c>
      <c r="F33" s="86" t="s">
        <v>23</v>
      </c>
      <c r="G33" s="148">
        <f>COUNTIF(G8:G31,"TP")</f>
        <v>1</v>
      </c>
      <c r="H33" s="148">
        <f>COUNTIF(H8:H31,"TP")</f>
        <v>1</v>
      </c>
      <c r="I33" s="148">
        <f>COUNTIF(I8:I31,"TP")</f>
        <v>1</v>
      </c>
      <c r="J33" s="148">
        <f>COUNTIF(J8:J31,"TP")</f>
        <v>1</v>
      </c>
      <c r="K33" s="148">
        <f>COUNTIF(K8:K31,"TP")</f>
        <v>1</v>
      </c>
      <c r="L33" s="149">
        <f t="shared" ref="L33:L38" si="1">SUM(G33:K33)</f>
        <v>5</v>
      </c>
      <c r="M33" s="149"/>
      <c r="N33" s="148">
        <f>COUNTIF(N9:N31,"TP")</f>
        <v>1</v>
      </c>
      <c r="O33" s="148">
        <f>COUNTIF(O9:O31,"TP")</f>
        <v>1</v>
      </c>
      <c r="P33" s="148">
        <f>COUNTIF(P9:P31,"TP")</f>
        <v>1</v>
      </c>
      <c r="Q33" s="148">
        <f>COUNTIF(Q9:Q31,"TP")</f>
        <v>1</v>
      </c>
      <c r="R33" s="148">
        <f>COUNTIF(R9:R31,"TP")</f>
        <v>1</v>
      </c>
      <c r="S33" s="150">
        <f t="shared" ref="S33:S38" si="2">SUM(N33:R33)</f>
        <v>5</v>
      </c>
      <c r="T33" s="150"/>
      <c r="U33" s="148">
        <f>COUNTIF(U9:U31,"TP")</f>
        <v>1</v>
      </c>
      <c r="V33" s="148">
        <f>COUNTIF(V9:V31,"TP")</f>
        <v>1</v>
      </c>
      <c r="W33" s="148">
        <f>COUNTIF(W9:W31,"TP")</f>
        <v>1</v>
      </c>
      <c r="X33" s="148">
        <f>COUNTIF(X9:X31,"TP")</f>
        <v>1</v>
      </c>
      <c r="Y33" s="148">
        <f>COUNTIF(Y9:Y31,"TP")</f>
        <v>1</v>
      </c>
      <c r="Z33" s="150">
        <f t="shared" ref="Z33:Z38" si="3">SUM(U33:Y33)</f>
        <v>5</v>
      </c>
      <c r="AA33" s="150"/>
      <c r="AB33" s="148">
        <f>COUNTIF(AB9:AB31,"TP")</f>
        <v>0</v>
      </c>
      <c r="AC33" s="148">
        <f>COUNTIF(AC9:AC31,"TP")</f>
        <v>0</v>
      </c>
      <c r="AD33" s="148">
        <f>COUNTIF(AD9:AD31,"TP")</f>
        <v>0</v>
      </c>
      <c r="AE33" s="148">
        <f>COUNTIF(AE9:AE31,"TP")</f>
        <v>0</v>
      </c>
      <c r="AF33" s="148">
        <f>COUNTIF(AF9:AF31,"TP")</f>
        <v>0</v>
      </c>
      <c r="AG33" s="150">
        <f t="shared" ref="AG33:AG38" si="4">SUM(AB33:AF33)</f>
        <v>0</v>
      </c>
      <c r="AH33" s="151"/>
      <c r="AI33" s="14"/>
      <c r="AJ33" s="14"/>
      <c r="AK33" s="14"/>
    </row>
    <row r="34" spans="4:37" ht="24" customHeight="1">
      <c r="D34" s="152" t="s">
        <v>176</v>
      </c>
      <c r="E34" s="152">
        <f t="shared" si="0"/>
        <v>5</v>
      </c>
      <c r="F34" s="152" t="s">
        <v>24</v>
      </c>
      <c r="G34" s="148">
        <f>COUNTIF(G8:G31,"CSE") + COUNTIF(G8:G31,"RPX")</f>
        <v>0</v>
      </c>
      <c r="H34" s="148">
        <f>COUNTIF(H8:H31,"CSE") + COUNTIF(H8:H31,"RPX")</f>
        <v>0</v>
      </c>
      <c r="I34" s="148">
        <f>COUNTIF(I8:I31,"CSE") + COUNTIF(I8:I31,"RPX")</f>
        <v>0</v>
      </c>
      <c r="J34" s="148">
        <f>COUNTIF(J8:J31,"CSE") + COUNTIF(J8:J31,"RPX")</f>
        <v>0</v>
      </c>
      <c r="K34" s="148">
        <f>COUNTIF(K8:K31,"CSE") + COUNTIF(K8:K31,"RPX")</f>
        <v>0</v>
      </c>
      <c r="L34" s="149">
        <f t="shared" si="1"/>
        <v>0</v>
      </c>
      <c r="M34" s="149"/>
      <c r="N34" s="148">
        <f>COUNTIF(N8:N31,"CSE") + COUNTIF(N8:N31,"RPX")</f>
        <v>0</v>
      </c>
      <c r="O34" s="148">
        <f>COUNTIF(O8:O31,"CSE") + COUNTIF(O8:O31,"RPX")</f>
        <v>0</v>
      </c>
      <c r="P34" s="148">
        <f>COUNTIF(P8:P31,"CSE") + COUNTIF(P8:P31,"RPX")</f>
        <v>0</v>
      </c>
      <c r="Q34" s="148">
        <f>COUNTIF(Q8:Q31,"CSE") + COUNTIF(Q8:Q31,"RPX")</f>
        <v>0</v>
      </c>
      <c r="R34" s="148">
        <f>COUNTIF(R8:R31,"CSE") + COUNTIF(R8:R31,"RPX")</f>
        <v>0</v>
      </c>
      <c r="S34" s="150">
        <f t="shared" si="2"/>
        <v>0</v>
      </c>
      <c r="T34" s="150"/>
      <c r="U34" s="148">
        <f>COUNTIF(U8:U31,"CSE") + COUNTIF(U8:U31,"RPX")</f>
        <v>0</v>
      </c>
      <c r="V34" s="148">
        <f>COUNTIF(V8:V31,"CSE") + COUNTIF(V8:V31,"RPX")</f>
        <v>0</v>
      </c>
      <c r="W34" s="148">
        <f>COUNTIF(W8:W31,"CSE") + COUNTIF(W8:W31,"RPX")</f>
        <v>0</v>
      </c>
      <c r="X34" s="148">
        <f>COUNTIF(X8:X31,"CSE") + COUNTIF(X8:X31,"RPX")</f>
        <v>0</v>
      </c>
      <c r="Y34" s="148">
        <f>COUNTIF(Y8:Y31,"CSE") + COUNTIF(Y8:Y31,"RPX")</f>
        <v>0</v>
      </c>
      <c r="Z34" s="150">
        <f t="shared" si="3"/>
        <v>0</v>
      </c>
      <c r="AA34" s="150"/>
      <c r="AB34" s="148">
        <f>COUNTIF(AB9:AB31,"CSE") + COUNTIF(AB9:AB31,"RPX")</f>
        <v>1</v>
      </c>
      <c r="AC34" s="148">
        <f>COUNTIF(AC9:AC31,"CSE") + COUNTIF(AC9:AC31,"RPX")</f>
        <v>1</v>
      </c>
      <c r="AD34" s="148">
        <f>COUNTIF(AD9:AD31,"CSE") + COUNTIF(AD9:AD31,"RPX")</f>
        <v>1</v>
      </c>
      <c r="AE34" s="148">
        <f>COUNTIF(AE9:AE31,"CSE") + COUNTIF(AE9:AE31,"RPX")</f>
        <v>1</v>
      </c>
      <c r="AF34" s="148">
        <f>COUNTIF(AF9:AF31,"CSE") + COUNTIF(AF9:AF31,"RPX")</f>
        <v>1</v>
      </c>
      <c r="AG34" s="150">
        <f t="shared" si="4"/>
        <v>5</v>
      </c>
      <c r="AH34" s="151"/>
      <c r="AI34" s="14"/>
      <c r="AJ34" s="14"/>
      <c r="AK34" s="14"/>
    </row>
    <row r="35" spans="4:37" ht="24" customHeight="1">
      <c r="D35" s="153" t="s">
        <v>176</v>
      </c>
      <c r="E35" s="153">
        <f t="shared" si="0"/>
        <v>26</v>
      </c>
      <c r="F35" s="153" t="s">
        <v>25</v>
      </c>
      <c r="G35" s="148">
        <f>COUNTIF(G8:G31,"CA/RC")</f>
        <v>2</v>
      </c>
      <c r="H35" s="148">
        <f>COUNTIF(H8:H31,"CA/RC")</f>
        <v>2</v>
      </c>
      <c r="I35" s="148">
        <f>COUNTIF(I8:I31,"CA/RC")</f>
        <v>2</v>
      </c>
      <c r="J35" s="148">
        <f>COUNTIF(J8:J31,"CA/RC")</f>
        <v>2</v>
      </c>
      <c r="K35" s="148">
        <f>COUNTIF(K8:K31,"CA/RC")</f>
        <v>3</v>
      </c>
      <c r="L35" s="149">
        <f t="shared" si="1"/>
        <v>11</v>
      </c>
      <c r="M35" s="149"/>
      <c r="N35" s="148">
        <f>COUNTIF(N8:N31,"CA/RC")</f>
        <v>2</v>
      </c>
      <c r="O35" s="148">
        <f>COUNTIF(O8:O31,"CA/RC")</f>
        <v>2</v>
      </c>
      <c r="P35" s="148">
        <f>COUNTIF(P8:P31,"CA/RC")</f>
        <v>1</v>
      </c>
      <c r="Q35" s="148">
        <f>COUNTIF(Q8:Q31,"CA/RC")</f>
        <v>1</v>
      </c>
      <c r="R35" s="148">
        <f>COUNTIF(R8:R31,"CA/RC")</f>
        <v>1</v>
      </c>
      <c r="S35" s="150">
        <f t="shared" si="2"/>
        <v>7</v>
      </c>
      <c r="T35" s="150"/>
      <c r="U35" s="148">
        <f>COUNTIF(U8:U31,"CA/RC")</f>
        <v>1</v>
      </c>
      <c r="V35" s="148">
        <f>COUNTIF(V8:V31,"CA/RC")</f>
        <v>1</v>
      </c>
      <c r="W35" s="148">
        <f>COUNTIF(W8:W31,"CA/RC")</f>
        <v>1</v>
      </c>
      <c r="X35" s="148">
        <f>COUNTIF(X8:X31,"CA/RC")</f>
        <v>1</v>
      </c>
      <c r="Y35" s="148">
        <f>COUNTIF(Y8:Y31,"CA/RC")</f>
        <v>1</v>
      </c>
      <c r="Z35" s="150">
        <f t="shared" si="3"/>
        <v>5</v>
      </c>
      <c r="AA35" s="150"/>
      <c r="AB35" s="148">
        <f>COUNTIF(AB8:AB31,"CA/RC")</f>
        <v>1</v>
      </c>
      <c r="AC35" s="148">
        <f>COUNTIF(AC8:AC31,"CA/RC")</f>
        <v>0</v>
      </c>
      <c r="AD35" s="148">
        <f>COUNTIF(AD8:AD31,"CA/RC")</f>
        <v>1</v>
      </c>
      <c r="AE35" s="148">
        <f>COUNTIF(AE8:AE31,"CA/RC")</f>
        <v>0</v>
      </c>
      <c r="AF35" s="148">
        <f>COUNTIF(AF8:AF31,"CA/RC")</f>
        <v>1</v>
      </c>
      <c r="AG35" s="150">
        <f t="shared" si="4"/>
        <v>3</v>
      </c>
      <c r="AH35" s="151"/>
      <c r="AI35" s="14"/>
      <c r="AJ35" s="14"/>
      <c r="AK35" s="14"/>
    </row>
    <row r="36" spans="4:37" ht="24" customHeight="1">
      <c r="D36" s="154" t="s">
        <v>176</v>
      </c>
      <c r="E36" s="154">
        <f t="shared" si="0"/>
        <v>33</v>
      </c>
      <c r="F36" s="154" t="s">
        <v>26</v>
      </c>
      <c r="G36" s="148">
        <f>COUNTIF(G8:G31,"ATM/ATA")</f>
        <v>1</v>
      </c>
      <c r="H36" s="148">
        <f>COUNTIF(H8:H31,"ATM/ATA")</f>
        <v>2</v>
      </c>
      <c r="I36" s="148">
        <f>COUNTIF(I8:I31,"ATM/ATA")</f>
        <v>1</v>
      </c>
      <c r="J36" s="148">
        <f>COUNTIF(J8:J31,"ATM/ATA")</f>
        <v>1</v>
      </c>
      <c r="K36" s="148">
        <f>COUNTIF(K8:K31,"ATM/ATA")</f>
        <v>1</v>
      </c>
      <c r="L36" s="149">
        <f t="shared" si="1"/>
        <v>6</v>
      </c>
      <c r="M36" s="149"/>
      <c r="N36" s="148">
        <f>COUNTIF(N8:N31,"ATM/ATA")</f>
        <v>1</v>
      </c>
      <c r="O36" s="148">
        <f>COUNTIF(O8:O31,"ATM/ATA")</f>
        <v>1</v>
      </c>
      <c r="P36" s="148">
        <f>COUNTIF(P8:P31,"ATM/ATA")</f>
        <v>2</v>
      </c>
      <c r="Q36" s="148">
        <f>COUNTIF(Q8:Q31,"ATM/ATA")</f>
        <v>2</v>
      </c>
      <c r="R36" s="148">
        <f>COUNTIF(R8:R31,"ATM/ATA")</f>
        <v>2</v>
      </c>
      <c r="S36" s="150">
        <f t="shared" si="2"/>
        <v>8</v>
      </c>
      <c r="T36" s="150"/>
      <c r="U36" s="148">
        <f>COUNTIF(U8:U31,"ATM/ATA")</f>
        <v>2</v>
      </c>
      <c r="V36" s="148">
        <f>COUNTIF(V8:V31,"ATM/ATA")</f>
        <v>2</v>
      </c>
      <c r="W36" s="148">
        <f>COUNTIF(W8:W31,"ATM/ATA")</f>
        <v>2</v>
      </c>
      <c r="X36" s="148">
        <f>COUNTIF(X8:X31,"ATM/ATA")</f>
        <v>2</v>
      </c>
      <c r="Y36" s="148">
        <f>COUNTIF(Y8:Y31,"ATM/ATA")</f>
        <v>2</v>
      </c>
      <c r="Z36" s="150">
        <f t="shared" si="3"/>
        <v>10</v>
      </c>
      <c r="AA36" s="150"/>
      <c r="AB36" s="148">
        <f>COUNTIF(AB8:AB31,"ATM/ATA")</f>
        <v>2</v>
      </c>
      <c r="AC36" s="148">
        <f>COUNTIF(AC8:AC31,"ATM/ATA")</f>
        <v>2</v>
      </c>
      <c r="AD36" s="148">
        <f>COUNTIF(AD8:AD31,"ATM/ATA")</f>
        <v>2</v>
      </c>
      <c r="AE36" s="148">
        <f>COUNTIF(AE8:AE31,"ATM/ATA")</f>
        <v>2</v>
      </c>
      <c r="AF36" s="148">
        <f>COUNTIF(AF8:AF31,"ATM/ATA")</f>
        <v>1</v>
      </c>
      <c r="AG36" s="150">
        <f t="shared" si="4"/>
        <v>9</v>
      </c>
      <c r="AH36" s="151"/>
      <c r="AI36" s="14"/>
      <c r="AJ36" s="14"/>
      <c r="AK36" s="14"/>
    </row>
    <row r="37" spans="4:37" ht="24" customHeight="1">
      <c r="D37" s="122" t="s">
        <v>176</v>
      </c>
      <c r="E37" s="122">
        <f t="shared" si="0"/>
        <v>0</v>
      </c>
      <c r="F37" s="122" t="s">
        <v>27</v>
      </c>
      <c r="G37" s="148">
        <f>COUNTIF(G8:G31,"ASA")</f>
        <v>0</v>
      </c>
      <c r="H37" s="148">
        <f>COUNTIF(H8:H31,"ASA")</f>
        <v>0</v>
      </c>
      <c r="I37" s="148">
        <f>COUNTIF(I8:I31,"ASA")</f>
        <v>0</v>
      </c>
      <c r="J37" s="148">
        <f>COUNTIF(J8:J31,"ASA")</f>
        <v>0</v>
      </c>
      <c r="K37" s="148">
        <f>COUNTIF(K8:K31,"ASA")</f>
        <v>0</v>
      </c>
      <c r="L37" s="149">
        <f t="shared" si="1"/>
        <v>0</v>
      </c>
      <c r="M37" s="149"/>
      <c r="N37" s="148">
        <f>COUNTIF(N8:N31,"ASA")</f>
        <v>0</v>
      </c>
      <c r="O37" s="148">
        <f>COUNTIF(O8:O31,"ASA")</f>
        <v>0</v>
      </c>
      <c r="P37" s="148">
        <f>COUNTIF(P8:P31,"ASA")</f>
        <v>0</v>
      </c>
      <c r="Q37" s="148">
        <f>COUNTIF(Q8:Q31,"ASA")</f>
        <v>0</v>
      </c>
      <c r="R37" s="148">
        <f>COUNTIF(R8:R31,"ASA")</f>
        <v>0</v>
      </c>
      <c r="S37" s="150">
        <f t="shared" si="2"/>
        <v>0</v>
      </c>
      <c r="T37" s="150"/>
      <c r="U37" s="148">
        <f>COUNTIF(U8:U31,"ASA")</f>
        <v>0</v>
      </c>
      <c r="V37" s="148">
        <f>COUNTIF(V8:V31,"ASA")</f>
        <v>0</v>
      </c>
      <c r="W37" s="148">
        <f>COUNTIF(W8:W31,"ASA")</f>
        <v>0</v>
      </c>
      <c r="X37" s="148">
        <f>COUNTIF(X8:X31,"ASA")</f>
        <v>0</v>
      </c>
      <c r="Y37" s="148">
        <f>COUNTIF(Y8:Y31,"ASA")</f>
        <v>0</v>
      </c>
      <c r="Z37" s="150">
        <f t="shared" si="3"/>
        <v>0</v>
      </c>
      <c r="AA37" s="150"/>
      <c r="AB37" s="148">
        <f>COUNTIF(AB8:AB31,"ASA")</f>
        <v>0</v>
      </c>
      <c r="AC37" s="148">
        <f>COUNTIF(AC8:AC31,"ASA")</f>
        <v>0</v>
      </c>
      <c r="AD37" s="148">
        <f>COUNTIF(AD8:AD31,"ASA")</f>
        <v>0</v>
      </c>
      <c r="AE37" s="148">
        <f>COUNTIF(AE8:AE31,"ASA")</f>
        <v>0</v>
      </c>
      <c r="AF37" s="148">
        <f>COUNTIF(AF8:AF31,"ASA")</f>
        <v>0</v>
      </c>
      <c r="AG37" s="150">
        <f t="shared" si="4"/>
        <v>0</v>
      </c>
      <c r="AH37" s="151"/>
      <c r="AI37" s="14"/>
      <c r="AJ37" s="14"/>
      <c r="AK37" s="14"/>
    </row>
    <row r="38" spans="4:37" ht="24" customHeight="1">
      <c r="D38" s="155" t="s">
        <v>176</v>
      </c>
      <c r="E38" s="155">
        <f t="shared" si="0"/>
        <v>20</v>
      </c>
      <c r="F38" s="155" t="s">
        <v>28</v>
      </c>
      <c r="G38" s="148">
        <f>COUNTIF(G8:G31,"FORM")</f>
        <v>1</v>
      </c>
      <c r="H38" s="148">
        <f>COUNTIF(H8:H31,"FORM")</f>
        <v>1</v>
      </c>
      <c r="I38" s="148">
        <f>COUNTIF(I8:I31,"FORM")</f>
        <v>1</v>
      </c>
      <c r="J38" s="148">
        <f>COUNTIF(J8:J31,"FORM")</f>
        <v>1</v>
      </c>
      <c r="K38" s="148">
        <f>COUNTIF(K8:K31,"FORM")</f>
        <v>1</v>
      </c>
      <c r="L38" s="149">
        <f t="shared" si="1"/>
        <v>5</v>
      </c>
      <c r="M38" s="149"/>
      <c r="N38" s="148">
        <f>COUNTIF(N8:N31,"FORM")</f>
        <v>1</v>
      </c>
      <c r="O38" s="148">
        <f>COUNTIF(O8:O31,"FORM")</f>
        <v>1</v>
      </c>
      <c r="P38" s="148">
        <f>COUNTIF(P8:P31,"FORM")</f>
        <v>1</v>
      </c>
      <c r="Q38" s="148">
        <f>COUNTIF(Q8:Q31,"FORM")</f>
        <v>1</v>
      </c>
      <c r="R38" s="148">
        <f>COUNTIF(R8:R31,"FORM")</f>
        <v>1</v>
      </c>
      <c r="S38" s="150">
        <f t="shared" si="2"/>
        <v>5</v>
      </c>
      <c r="T38" s="150"/>
      <c r="U38" s="148">
        <f>COUNTIF(U8:U31,"FORM")</f>
        <v>1</v>
      </c>
      <c r="V38" s="148">
        <f>COUNTIF(V8:V31,"FORM")</f>
        <v>1</v>
      </c>
      <c r="W38" s="148">
        <f>COUNTIF(W8:W31,"FORM")</f>
        <v>1</v>
      </c>
      <c r="X38" s="148">
        <f>COUNTIF(X8:X31,"FORM")</f>
        <v>1</v>
      </c>
      <c r="Y38" s="148">
        <f>COUNTIF(Y8:Y31,"FORM")</f>
        <v>1</v>
      </c>
      <c r="Z38" s="150">
        <f t="shared" si="3"/>
        <v>5</v>
      </c>
      <c r="AA38" s="150"/>
      <c r="AB38" s="148">
        <f>COUNTIF(AB8:AB31,"FORM")</f>
        <v>1</v>
      </c>
      <c r="AC38" s="148">
        <f>COUNTIF(AC8:AC31,"FORM")</f>
        <v>1</v>
      </c>
      <c r="AD38" s="148">
        <f>COUNTIF(AD8:AD31,"FORM")</f>
        <v>1</v>
      </c>
      <c r="AE38" s="148">
        <f>COUNTIF(AE8:AE31,"FORM")</f>
        <v>1</v>
      </c>
      <c r="AF38" s="148">
        <f>COUNTIF(AF8:AF31,"FORM")</f>
        <v>1</v>
      </c>
      <c r="AG38" s="150">
        <f t="shared" si="4"/>
        <v>5</v>
      </c>
      <c r="AH38" s="151"/>
      <c r="AI38" s="14"/>
      <c r="AJ38" s="14"/>
      <c r="AK38" s="14"/>
    </row>
    <row r="39" spans="4:37" ht="24" customHeight="1">
      <c r="D39" s="156" t="s">
        <v>177</v>
      </c>
      <c r="E39" s="156">
        <f>AVERAGE(G39:AF39)</f>
        <v>4.95</v>
      </c>
      <c r="F39" s="215" t="s">
        <v>178</v>
      </c>
      <c r="G39" s="158">
        <f>SUM(G33:G38)</f>
        <v>5</v>
      </c>
      <c r="H39" s="158">
        <f>SUM(H33:H38)</f>
        <v>6</v>
      </c>
      <c r="I39" s="158">
        <f>SUM(I33:I38)</f>
        <v>5</v>
      </c>
      <c r="J39" s="158">
        <f>SUM(J33:J38)</f>
        <v>5</v>
      </c>
      <c r="K39" s="158">
        <f>SUM(K33:K38)</f>
        <v>6</v>
      </c>
      <c r="L39" s="158"/>
      <c r="M39" s="158"/>
      <c r="N39" s="158">
        <f>SUM(N33:N38)</f>
        <v>5</v>
      </c>
      <c r="O39" s="158">
        <f>SUM(O33:O38)</f>
        <v>5</v>
      </c>
      <c r="P39" s="158">
        <f>SUM(P33:P38)</f>
        <v>5</v>
      </c>
      <c r="Q39" s="158">
        <f>SUM(Q33:Q38)</f>
        <v>5</v>
      </c>
      <c r="R39" s="158">
        <f>SUM(R33:R38)</f>
        <v>5</v>
      </c>
      <c r="S39" s="158"/>
      <c r="T39" s="158"/>
      <c r="U39" s="158">
        <f>SUM(U33:U38)</f>
        <v>5</v>
      </c>
      <c r="V39" s="158">
        <f>SUM(V33:V38)</f>
        <v>5</v>
      </c>
      <c r="W39" s="158">
        <f>SUM(W33:W38)</f>
        <v>5</v>
      </c>
      <c r="X39" s="158">
        <f>SUM(X33:X38)</f>
        <v>5</v>
      </c>
      <c r="Y39" s="158">
        <f>SUM(Y33:Y38)</f>
        <v>5</v>
      </c>
      <c r="Z39" s="158"/>
      <c r="AA39" s="158"/>
      <c r="AB39" s="158">
        <f>SUM(AB33:AB38)</f>
        <v>5</v>
      </c>
      <c r="AC39" s="158">
        <f>SUM(AC33:AC38)</f>
        <v>4</v>
      </c>
      <c r="AD39" s="158">
        <f>SUM(AD33:AD38)</f>
        <v>5</v>
      </c>
      <c r="AE39" s="158">
        <f>SUM(AE33:AE38)</f>
        <v>4</v>
      </c>
      <c r="AF39" s="158">
        <f>SUM(AF33:AF38)</f>
        <v>4</v>
      </c>
      <c r="AG39" s="158"/>
      <c r="AH39" s="159"/>
      <c r="AI39" s="14"/>
      <c r="AJ39" s="14"/>
      <c r="AK39" s="14"/>
    </row>
    <row r="40" spans="4:37" ht="24" customHeight="1">
      <c r="D40" s="156" t="s">
        <v>177</v>
      </c>
      <c r="E40" s="156">
        <f>AVERAGE(G40:AF40)</f>
        <v>15.6</v>
      </c>
      <c r="F40" s="215" t="s">
        <v>179</v>
      </c>
      <c r="G40" s="158">
        <f>(20+G32)-G39</f>
        <v>15</v>
      </c>
      <c r="H40" s="158">
        <f>(20+H32)-H39</f>
        <v>14</v>
      </c>
      <c r="I40" s="158">
        <f>(20+I32)-I39</f>
        <v>15</v>
      </c>
      <c r="J40" s="158">
        <f>(20+J32)-J39</f>
        <v>15</v>
      </c>
      <c r="K40" s="158">
        <f>(20+K32)-K39</f>
        <v>15</v>
      </c>
      <c r="L40" s="158"/>
      <c r="M40" s="158"/>
      <c r="N40" s="158">
        <f>(20+N32)-N39</f>
        <v>16</v>
      </c>
      <c r="O40" s="158">
        <f>(20+O32)-O39</f>
        <v>16</v>
      </c>
      <c r="P40" s="158">
        <f>(20+P32)-P39</f>
        <v>16</v>
      </c>
      <c r="Q40" s="158">
        <f>(20+Q32)-Q39</f>
        <v>16</v>
      </c>
      <c r="R40" s="158">
        <f>(20+R32)-R39</f>
        <v>16</v>
      </c>
      <c r="S40" s="158"/>
      <c r="T40" s="158"/>
      <c r="U40" s="158">
        <f>(20+U32)-U39</f>
        <v>15</v>
      </c>
      <c r="V40" s="158">
        <f>(20+V32)-V39</f>
        <v>15</v>
      </c>
      <c r="W40" s="158">
        <f>(20+W32)-W39</f>
        <v>15</v>
      </c>
      <c r="X40" s="158">
        <f>(20+X32)-X39</f>
        <v>15</v>
      </c>
      <c r="Y40" s="158">
        <f>(20+Y32)-Y39</f>
        <v>15</v>
      </c>
      <c r="Z40" s="158"/>
      <c r="AA40" s="158"/>
      <c r="AB40" s="158">
        <f>(20+AB32)-AB39</f>
        <v>16</v>
      </c>
      <c r="AC40" s="158">
        <f>(20+AC32)-AC39</f>
        <v>17</v>
      </c>
      <c r="AD40" s="158">
        <f>(20+AD32)-AD39</f>
        <v>16</v>
      </c>
      <c r="AE40" s="158">
        <f>(20+AE32)-AE39</f>
        <v>17</v>
      </c>
      <c r="AF40" s="158">
        <f>(20+AF32)-AF39</f>
        <v>17</v>
      </c>
      <c r="AG40" s="158"/>
      <c r="AH40" s="159"/>
      <c r="AI40" s="14"/>
      <c r="AJ40" s="14"/>
      <c r="AK40" s="14"/>
    </row>
    <row r="41" spans="4:37" ht="24" customHeight="1">
      <c r="D41" s="156" t="s">
        <v>177</v>
      </c>
      <c r="E41" s="156">
        <f>AVERAGE(G41:AF41)</f>
        <v>16</v>
      </c>
      <c r="F41" s="216" t="s">
        <v>180</v>
      </c>
      <c r="G41" s="161">
        <v>16</v>
      </c>
      <c r="H41" s="161">
        <v>16</v>
      </c>
      <c r="I41" s="161">
        <v>16</v>
      </c>
      <c r="J41" s="161">
        <v>16</v>
      </c>
      <c r="K41" s="161">
        <v>16</v>
      </c>
      <c r="L41" s="161"/>
      <c r="M41" s="161"/>
      <c r="N41" s="161">
        <v>16</v>
      </c>
      <c r="O41" s="161">
        <v>16</v>
      </c>
      <c r="P41" s="161">
        <v>16</v>
      </c>
      <c r="Q41" s="161">
        <v>16</v>
      </c>
      <c r="R41" s="161">
        <v>16</v>
      </c>
      <c r="S41" s="162"/>
      <c r="T41" s="162"/>
      <c r="U41" s="161">
        <v>16</v>
      </c>
      <c r="V41" s="161">
        <v>16</v>
      </c>
      <c r="W41" s="161">
        <v>16</v>
      </c>
      <c r="X41" s="161">
        <v>16</v>
      </c>
      <c r="Y41" s="161">
        <v>16</v>
      </c>
      <c r="Z41" s="162"/>
      <c r="AA41" s="162"/>
      <c r="AB41" s="161">
        <v>16</v>
      </c>
      <c r="AC41" s="161">
        <v>16</v>
      </c>
      <c r="AD41" s="161">
        <v>16</v>
      </c>
      <c r="AE41" s="161">
        <v>16</v>
      </c>
      <c r="AF41" s="161">
        <v>16</v>
      </c>
      <c r="AG41" s="162"/>
      <c r="AH41" s="163"/>
      <c r="AI41" s="14"/>
      <c r="AJ41" s="14"/>
      <c r="AK41" s="14"/>
    </row>
    <row r="42" spans="4:37" ht="24" customHeight="1">
      <c r="D42" s="156" t="s">
        <v>177</v>
      </c>
      <c r="E42" s="164">
        <f>AVERAGE(G42:AF42)</f>
        <v>-0.4</v>
      </c>
      <c r="F42" s="217" t="s">
        <v>181</v>
      </c>
      <c r="G42" s="166">
        <f>G40-G41</f>
        <v>-1</v>
      </c>
      <c r="H42" s="166">
        <f>H40-H41</f>
        <v>-2</v>
      </c>
      <c r="I42" s="166">
        <f>I40-I41</f>
        <v>-1</v>
      </c>
      <c r="J42" s="166">
        <f>J40-J41</f>
        <v>-1</v>
      </c>
      <c r="K42" s="166">
        <f>K40-K41</f>
        <v>-1</v>
      </c>
      <c r="L42" s="166"/>
      <c r="M42" s="166"/>
      <c r="N42" s="166">
        <f>N40-N41</f>
        <v>0</v>
      </c>
      <c r="O42" s="166">
        <f>O40-O41</f>
        <v>0</v>
      </c>
      <c r="P42" s="166">
        <f>P40-P41</f>
        <v>0</v>
      </c>
      <c r="Q42" s="166">
        <f>Q40-Q41</f>
        <v>0</v>
      </c>
      <c r="R42" s="166">
        <f>R40-R41</f>
        <v>0</v>
      </c>
      <c r="S42" s="166"/>
      <c r="T42" s="166"/>
      <c r="U42" s="166">
        <f>U40-U41</f>
        <v>-1</v>
      </c>
      <c r="V42" s="166">
        <f>V40-V41</f>
        <v>-1</v>
      </c>
      <c r="W42" s="166">
        <f>W40-W41</f>
        <v>-1</v>
      </c>
      <c r="X42" s="166">
        <f>X40-X41</f>
        <v>-1</v>
      </c>
      <c r="Y42" s="166">
        <f>Y40-Y41</f>
        <v>-1</v>
      </c>
      <c r="Z42" s="166"/>
      <c r="AA42" s="166"/>
      <c r="AB42" s="166">
        <f>AB40-AB41</f>
        <v>0</v>
      </c>
      <c r="AC42" s="166">
        <f>AC40-AC41</f>
        <v>1</v>
      </c>
      <c r="AD42" s="166">
        <f>AD40-AD41</f>
        <v>0</v>
      </c>
      <c r="AE42" s="166">
        <f>AE40-AE41</f>
        <v>1</v>
      </c>
      <c r="AF42" s="166">
        <f>AF40-AF41</f>
        <v>1</v>
      </c>
      <c r="AG42" s="166"/>
      <c r="AH42" s="167"/>
      <c r="AI42" s="14"/>
      <c r="AJ42" s="14"/>
      <c r="AK42" s="14"/>
    </row>
    <row r="43" spans="4:37" ht="18.75" customHeight="1">
      <c r="F43" s="13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218">
        <v>8029</v>
      </c>
      <c r="AC43" s="218"/>
      <c r="AD43" s="14"/>
      <c r="AE43" s="14"/>
      <c r="AF43" s="14">
        <v>8036</v>
      </c>
      <c r="AG43" s="14"/>
      <c r="AH43" s="14"/>
      <c r="AI43" s="14"/>
      <c r="AJ43" s="14"/>
      <c r="AK43" s="14"/>
    </row>
    <row r="44" spans="4:37" ht="18.75" customHeight="1">
      <c r="F44" s="13"/>
      <c r="G44" s="14"/>
      <c r="H44" s="14"/>
      <c r="I44" s="14"/>
      <c r="J44" s="14"/>
      <c r="K44" s="218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 spans="4:37" ht="18.75" customHeight="1">
      <c r="F45" s="13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 spans="4:37" ht="18.75" customHeight="1">
      <c r="F46" s="13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</row>
    <row r="47" spans="4:37" ht="18.75" customHeight="1">
      <c r="F47" s="13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 spans="4:37" ht="18.75" customHeight="1">
      <c r="F48" s="13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 spans="6:37" ht="18.75" customHeight="1">
      <c r="F49" s="13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 spans="6:37" ht="18.75" customHeight="1">
      <c r="F50" s="13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 spans="6:37" ht="18.75" customHeight="1">
      <c r="F51" s="13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 spans="6:37" ht="18.75" customHeight="1">
      <c r="F52" s="13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 spans="6:37" ht="18.75" customHeight="1">
      <c r="F53" s="13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 spans="6:37" ht="18.75" customHeight="1">
      <c r="F54" s="13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 spans="6:37" ht="18.75" customHeight="1">
      <c r="F55" s="13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</row>
    <row r="56" spans="6:37" ht="18.75" customHeight="1">
      <c r="F56" s="13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 spans="6:37" ht="18.75" customHeight="1">
      <c r="F57" s="13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 spans="6:37" ht="18.75" customHeight="1">
      <c r="F58" s="13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</row>
    <row r="59" spans="6:37" ht="18.75" customHeight="1">
      <c r="F59" s="13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</row>
    <row r="60" spans="6:37" ht="18.75" customHeight="1">
      <c r="F60" s="13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 spans="6:37" ht="18.75" customHeight="1">
      <c r="F61" s="13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</row>
    <row r="62" spans="6:37" ht="18.75" customHeight="1">
      <c r="F62" s="13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 spans="6:37" ht="18.75" customHeight="1">
      <c r="F63" s="13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</row>
    <row r="64" spans="6:37" ht="18.75" customHeight="1">
      <c r="F64" s="13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</row>
    <row r="65" spans="6:37" ht="18.75" customHeight="1">
      <c r="F65" s="13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 spans="6:37" ht="18.75" customHeight="1">
      <c r="F66" s="13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</row>
    <row r="67" spans="6:37" ht="18.75" customHeight="1">
      <c r="F67" s="13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</row>
    <row r="68" spans="6:37" ht="18.75" customHeight="1">
      <c r="F68" s="13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</row>
    <row r="69" spans="6:37" ht="18.75" customHeight="1">
      <c r="F69" s="13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</row>
    <row r="70" spans="6:37" ht="18.75" customHeight="1">
      <c r="F70" s="13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</row>
    <row r="71" spans="6:37" ht="18.75" customHeight="1">
      <c r="F71" s="13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</row>
    <row r="72" spans="6:37" ht="18.75" customHeight="1">
      <c r="F72" s="13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 spans="6:37" ht="18.75" customHeight="1">
      <c r="F73" s="13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</row>
    <row r="74" spans="6:37" ht="18.75" customHeight="1">
      <c r="F74" s="13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</row>
    <row r="75" spans="6:37" ht="18.75" customHeight="1">
      <c r="F75" s="13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 spans="6:37" ht="18.75" customHeight="1">
      <c r="F76" s="13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</row>
    <row r="77" spans="6:37" ht="18.75" customHeight="1">
      <c r="F77" s="13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</row>
    <row r="78" spans="6:37" ht="18.75" customHeight="1">
      <c r="F78" s="13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 spans="6:37" ht="18.75" customHeight="1">
      <c r="F79" s="13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 spans="6:37" ht="18.75" customHeight="1">
      <c r="F80" s="13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</row>
    <row r="81" spans="6:37" ht="18.75" customHeight="1">
      <c r="F81" s="13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</row>
    <row r="82" spans="6:37" ht="18.75" customHeight="1">
      <c r="F82" s="13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</row>
    <row r="83" spans="6:37" ht="18.75" customHeight="1">
      <c r="F83" s="13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  <row r="84" spans="6:37" ht="18.75" customHeight="1">
      <c r="F84" s="13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</row>
    <row r="85" spans="6:37" ht="18.75" customHeight="1">
      <c r="F85" s="13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</row>
    <row r="86" spans="6:37" ht="18.75" customHeight="1">
      <c r="F86" s="13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</row>
    <row r="87" spans="6:37" ht="18.75" customHeight="1">
      <c r="F87" s="13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</row>
    <row r="88" spans="6:37" ht="18.75" customHeight="1">
      <c r="F88" s="13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</row>
    <row r="89" spans="6:37" ht="18.75" customHeight="1">
      <c r="F89" s="13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</row>
    <row r="90" spans="6:37" ht="18.75" customHeight="1">
      <c r="F90" s="13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</row>
    <row r="91" spans="6:37" ht="18.75" customHeight="1">
      <c r="F91" s="13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</row>
    <row r="92" spans="6:37" ht="18.75" customHeight="1">
      <c r="F92" s="13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</row>
    <row r="93" spans="6:37" ht="18.75" customHeight="1">
      <c r="F93" s="13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</row>
    <row r="94" spans="6:37" ht="18.75" customHeight="1">
      <c r="F94" s="13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</row>
    <row r="95" spans="6:37" ht="18.75" customHeight="1">
      <c r="F95" s="13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</row>
    <row r="96" spans="6:37" ht="18.75" customHeight="1">
      <c r="F96" s="13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</row>
    <row r="97" spans="6:37" ht="18.75" customHeight="1">
      <c r="F97" s="13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</row>
    <row r="98" spans="6:37" ht="18.75" customHeight="1">
      <c r="F98" s="13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</row>
    <row r="99" spans="6:37" ht="18.75" customHeight="1">
      <c r="F99" s="13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</row>
    <row r="100" spans="6:37" ht="18.75" customHeight="1">
      <c r="F100" s="13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</row>
    <row r="101" spans="6:37" ht="18.75" customHeight="1">
      <c r="F101" s="13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 spans="6:37" ht="18.75" customHeight="1">
      <c r="F102" s="13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</row>
    <row r="103" spans="6:37" ht="18.75" customHeight="1">
      <c r="F103" s="13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</row>
    <row r="104" spans="6:37" ht="18.75" customHeight="1">
      <c r="F104" s="13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</row>
    <row r="105" spans="6:37" ht="18.75" customHeight="1">
      <c r="F105" s="13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</row>
    <row r="106" spans="6:37" ht="18.75" customHeight="1">
      <c r="F106" s="13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</row>
    <row r="107" spans="6:37" ht="18.75" customHeight="1">
      <c r="F107" s="13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</row>
    <row r="108" spans="6:37" ht="18.75" customHeight="1">
      <c r="F108" s="13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</row>
    <row r="109" spans="6:37" ht="18.75" customHeight="1">
      <c r="F109" s="13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</row>
    <row r="110" spans="6:37" ht="18.75" customHeight="1">
      <c r="F110" s="13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</row>
    <row r="111" spans="6:37" ht="18.75" customHeight="1">
      <c r="F111" s="13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</row>
    <row r="112" spans="6:37" ht="18.75" customHeight="1">
      <c r="F112" s="13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</row>
    <row r="113" spans="6:37" ht="18.75" customHeight="1">
      <c r="F113" s="13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</row>
    <row r="114" spans="6:37" ht="18.75" customHeight="1">
      <c r="F114" s="13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</row>
    <row r="115" spans="6:37" ht="18.75" customHeight="1">
      <c r="F115" s="13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</row>
    <row r="116" spans="6:37" ht="18.75" customHeight="1">
      <c r="F116" s="13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</row>
    <row r="117" spans="6:37" ht="18.75" customHeight="1">
      <c r="F117" s="13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</row>
    <row r="118" spans="6:37" ht="18.75" customHeight="1">
      <c r="F118" s="13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</row>
    <row r="119" spans="6:37" ht="18.75" customHeight="1">
      <c r="F119" s="13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</row>
    <row r="120" spans="6:37" ht="18.75" customHeight="1">
      <c r="F120" s="13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 spans="6:37" ht="18.75" customHeight="1">
      <c r="F121" s="13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</row>
    <row r="122" spans="6:37" ht="18.75" customHeight="1">
      <c r="F122" s="13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</row>
    <row r="123" spans="6:37" ht="18.75" customHeight="1">
      <c r="F123" s="13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</row>
    <row r="124" spans="6:37" ht="18.75" customHeight="1">
      <c r="F124" s="13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</row>
    <row r="125" spans="6:37" ht="18.75" customHeight="1">
      <c r="F125" s="13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</row>
    <row r="126" spans="6:37" ht="18.75" customHeight="1">
      <c r="F126" s="13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</row>
    <row r="127" spans="6:37" ht="18.75" customHeight="1">
      <c r="F127" s="13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</row>
    <row r="128" spans="6:37" ht="18.75" customHeight="1">
      <c r="F128" s="13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</row>
    <row r="129" spans="6:37" ht="18.75" customHeight="1">
      <c r="F129" s="13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</row>
    <row r="130" spans="6:37" ht="18.75" customHeight="1">
      <c r="F130" s="13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</row>
    <row r="131" spans="6:37" ht="18.75" customHeight="1">
      <c r="F131" s="13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</row>
    <row r="132" spans="6:37" ht="18.75" customHeight="1">
      <c r="F132" s="13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</row>
    <row r="133" spans="6:37" ht="18.75" customHeight="1">
      <c r="F133" s="13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</row>
    <row r="134" spans="6:37" ht="18.75" customHeight="1">
      <c r="F134" s="13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</row>
    <row r="135" spans="6:37" ht="18.75" customHeight="1">
      <c r="F135" s="13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</row>
    <row r="136" spans="6:37" ht="18.75" customHeight="1">
      <c r="F136" s="13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</row>
    <row r="137" spans="6:37" ht="18.75" customHeight="1">
      <c r="F137" s="13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</row>
    <row r="138" spans="6:37" ht="18.75" customHeight="1">
      <c r="F138" s="13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</row>
    <row r="139" spans="6:37" ht="18.75" customHeight="1">
      <c r="F139" s="13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</row>
    <row r="140" spans="6:37" ht="18.75" customHeight="1">
      <c r="F140" s="13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</row>
    <row r="141" spans="6:37" ht="18.75" customHeight="1">
      <c r="F141" s="13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</row>
    <row r="142" spans="6:37" ht="18.75" customHeight="1">
      <c r="F142" s="13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</row>
    <row r="143" spans="6:37" ht="18.75" customHeight="1">
      <c r="F143" s="13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</row>
    <row r="144" spans="6:37" ht="18.75" customHeight="1">
      <c r="F144" s="13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</row>
    <row r="145" spans="6:37" ht="18.75" customHeight="1">
      <c r="F145" s="13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</row>
    <row r="146" spans="6:37" ht="18.75" customHeight="1">
      <c r="F146" s="13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</row>
    <row r="147" spans="6:37" ht="18.75" customHeight="1">
      <c r="F147" s="13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</row>
    <row r="148" spans="6:37" ht="18.75" customHeight="1">
      <c r="F148" s="13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</row>
    <row r="149" spans="6:37" ht="18.75" customHeight="1">
      <c r="F149" s="13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</row>
    <row r="150" spans="6:37" ht="18.75" customHeight="1">
      <c r="F150" s="13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</row>
    <row r="151" spans="6:37" ht="18.75" customHeight="1">
      <c r="F151" s="13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</row>
    <row r="152" spans="6:37" ht="18.75" customHeight="1">
      <c r="F152" s="13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</row>
    <row r="153" spans="6:37" ht="18.75" customHeight="1">
      <c r="F153" s="13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</row>
    <row r="154" spans="6:37" ht="18.75" customHeight="1">
      <c r="F154" s="13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</row>
    <row r="155" spans="6:37" ht="18.75" customHeight="1">
      <c r="F155" s="13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</row>
    <row r="156" spans="6:37" ht="18.75" customHeight="1">
      <c r="F156" s="13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</row>
    <row r="157" spans="6:37" ht="18.75" customHeight="1">
      <c r="F157" s="13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</row>
    <row r="158" spans="6:37" ht="18.75" customHeight="1">
      <c r="F158" s="13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</row>
    <row r="159" spans="6:37" ht="18.75" customHeight="1">
      <c r="F159" s="13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</row>
    <row r="160" spans="6:37" ht="18.75" customHeight="1">
      <c r="F160" s="13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</row>
    <row r="161" spans="6:37" ht="18.75" customHeight="1">
      <c r="F161" s="13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</row>
    <row r="162" spans="6:37" ht="18.75" customHeight="1">
      <c r="F162" s="13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</row>
    <row r="163" spans="6:37" ht="18.75" customHeight="1">
      <c r="F163" s="13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</row>
    <row r="164" spans="6:37" ht="18.75" customHeight="1">
      <c r="F164" s="13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</row>
    <row r="165" spans="6:37" ht="18.75" customHeight="1">
      <c r="F165" s="13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</row>
    <row r="166" spans="6:37" ht="18.75" customHeight="1">
      <c r="F166" s="13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</row>
    <row r="167" spans="6:37" ht="18.75" customHeight="1">
      <c r="F167" s="13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</row>
    <row r="168" spans="6:37" ht="18.75" customHeight="1">
      <c r="F168" s="13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</row>
    <row r="169" spans="6:37" ht="18.75" customHeight="1">
      <c r="F169" s="13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</row>
    <row r="170" spans="6:37" ht="18.75" customHeight="1">
      <c r="F170" s="13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</row>
    <row r="171" spans="6:37" ht="18.75" customHeight="1">
      <c r="F171" s="13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</row>
    <row r="172" spans="6:37" ht="18.75" customHeight="1">
      <c r="F172" s="13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</row>
    <row r="173" spans="6:37" ht="18.75" customHeight="1">
      <c r="F173" s="13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</row>
    <row r="174" spans="6:37" ht="18.75" customHeight="1">
      <c r="F174" s="13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</row>
    <row r="175" spans="6:37" ht="18.75" customHeight="1">
      <c r="F175" s="13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</row>
    <row r="176" spans="6:37" ht="18.75" customHeight="1">
      <c r="F176" s="13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</row>
    <row r="177" spans="6:37" ht="18.75" customHeight="1">
      <c r="F177" s="13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</row>
    <row r="178" spans="6:37" ht="18.75" customHeight="1">
      <c r="F178" s="13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</row>
    <row r="179" spans="6:37" ht="18.75" customHeight="1">
      <c r="F179" s="13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</row>
    <row r="180" spans="6:37" ht="18.75" customHeight="1">
      <c r="F180" s="13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</row>
    <row r="181" spans="6:37" ht="18.75" customHeight="1">
      <c r="F181" s="13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</row>
    <row r="182" spans="6:37" ht="18.75" customHeight="1">
      <c r="F182" s="13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</row>
    <row r="183" spans="6:37" ht="18.75" customHeight="1">
      <c r="F183" s="13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</row>
    <row r="184" spans="6:37" ht="18.75" customHeight="1">
      <c r="F184" s="13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</row>
    <row r="185" spans="6:37" ht="18.75" customHeight="1">
      <c r="F185" s="13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</row>
    <row r="186" spans="6:37" ht="18.75" customHeight="1">
      <c r="F186" s="13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</row>
    <row r="187" spans="6:37" ht="18.75" customHeight="1">
      <c r="F187" s="13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</row>
    <row r="188" spans="6:37" ht="18.75" customHeight="1">
      <c r="F188" s="13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</row>
    <row r="189" spans="6:37" ht="18.75" customHeight="1">
      <c r="F189" s="13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</row>
    <row r="190" spans="6:37" ht="18.75" customHeight="1">
      <c r="F190" s="13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</row>
    <row r="191" spans="6:37" ht="18.75" customHeight="1">
      <c r="F191" s="13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</row>
    <row r="192" spans="6:37" ht="18.75" customHeight="1">
      <c r="F192" s="13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</row>
    <row r="193" spans="6:37" ht="18.75" customHeight="1">
      <c r="F193" s="13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</row>
    <row r="194" spans="6:37" ht="18.75" customHeight="1">
      <c r="F194" s="13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</row>
    <row r="195" spans="6:37" ht="18.75" customHeight="1">
      <c r="F195" s="13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</row>
    <row r="196" spans="6:37" ht="18.75" customHeight="1">
      <c r="F196" s="13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</row>
    <row r="197" spans="6:37" ht="18.75" customHeight="1">
      <c r="F197" s="13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</row>
    <row r="198" spans="6:37" ht="18.75" customHeight="1">
      <c r="F198" s="13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</row>
    <row r="199" spans="6:37" ht="18.75" customHeight="1">
      <c r="F199" s="13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</row>
    <row r="200" spans="6:37" ht="18.75" customHeight="1">
      <c r="F200" s="13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</row>
    <row r="201" spans="6:37" ht="18.75" customHeight="1">
      <c r="F201" s="13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</row>
    <row r="202" spans="6:37" ht="18.75" customHeight="1">
      <c r="F202" s="13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</row>
    <row r="203" spans="6:37" ht="18.75" customHeight="1">
      <c r="F203" s="13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</row>
    <row r="204" spans="6:37" ht="18.75" customHeight="1">
      <c r="F204" s="13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</row>
    <row r="205" spans="6:37" ht="18.75" customHeight="1">
      <c r="F205" s="13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</row>
    <row r="206" spans="6:37" ht="18.75" customHeight="1">
      <c r="F206" s="13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</row>
    <row r="207" spans="6:37" ht="18.75" customHeight="1">
      <c r="F207" s="13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</row>
    <row r="208" spans="6:37" ht="18.75" customHeight="1">
      <c r="F208" s="13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</row>
    <row r="209" spans="6:37" ht="18.75" customHeight="1">
      <c r="F209" s="13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</row>
    <row r="210" spans="6:37" ht="18.75" customHeight="1">
      <c r="F210" s="13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</row>
    <row r="211" spans="6:37" ht="18.75" customHeight="1">
      <c r="F211" s="13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</row>
    <row r="212" spans="6:37" ht="18.75" customHeight="1">
      <c r="F212" s="13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</row>
    <row r="213" spans="6:37" ht="18.75" customHeight="1">
      <c r="F213" s="13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</row>
    <row r="214" spans="6:37" ht="18.75" customHeight="1">
      <c r="F214" s="13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</row>
    <row r="215" spans="6:37" ht="18.75" customHeight="1">
      <c r="F215" s="13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</row>
    <row r="216" spans="6:37" ht="18.75" customHeight="1">
      <c r="F216" s="13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</row>
    <row r="217" spans="6:37" ht="18.75" customHeight="1">
      <c r="F217" s="13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</row>
    <row r="218" spans="6:37" ht="18.75" customHeight="1">
      <c r="F218" s="13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</row>
    <row r="219" spans="6:37" ht="18.75" customHeight="1">
      <c r="F219" s="13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</row>
    <row r="220" spans="6:37" ht="18.75" customHeight="1">
      <c r="F220" s="13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</row>
    <row r="221" spans="6:37" ht="18.75" customHeight="1">
      <c r="F221" s="13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</row>
    <row r="222" spans="6:37" ht="18.75" customHeight="1">
      <c r="F222" s="13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</row>
    <row r="223" spans="6:37" ht="18.75" customHeight="1">
      <c r="F223" s="13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</row>
    <row r="224" spans="6:37" ht="18.75" customHeight="1">
      <c r="F224" s="13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</row>
    <row r="225" spans="6:37" ht="18.75" customHeight="1">
      <c r="F225" s="13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</row>
    <row r="226" spans="6:37" ht="18.75" customHeight="1">
      <c r="F226" s="13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</row>
    <row r="227" spans="6:37" ht="18.75" customHeight="1">
      <c r="F227" s="13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</row>
    <row r="228" spans="6:37" ht="18.75" customHeight="1">
      <c r="F228" s="13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</row>
    <row r="229" spans="6:37" ht="18.75" customHeight="1">
      <c r="F229" s="13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</row>
    <row r="230" spans="6:37" ht="18.75" customHeight="1">
      <c r="F230" s="13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</row>
    <row r="231" spans="6:37" ht="18.75" customHeight="1">
      <c r="F231" s="13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</row>
    <row r="232" spans="6:37" ht="18.75" customHeight="1">
      <c r="F232" s="13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</row>
    <row r="233" spans="6:37" ht="18.75" customHeight="1">
      <c r="F233" s="13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</row>
    <row r="234" spans="6:37" ht="18.75" customHeight="1">
      <c r="F234" s="13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</row>
    <row r="235" spans="6:37" ht="18.75" customHeight="1">
      <c r="F235" s="13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</row>
    <row r="236" spans="6:37" ht="18.75" customHeight="1">
      <c r="F236" s="13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</row>
    <row r="237" spans="6:37" ht="18.75" customHeight="1">
      <c r="F237" s="13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</row>
    <row r="238" spans="6:37" ht="18.75" customHeight="1">
      <c r="F238" s="13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</row>
    <row r="239" spans="6:37" ht="18.75" customHeight="1">
      <c r="F239" s="13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</row>
    <row r="240" spans="6:37" ht="18.75" customHeight="1">
      <c r="F240" s="13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</row>
    <row r="241" spans="6:37" ht="18.75" customHeight="1">
      <c r="F241" s="13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</row>
    <row r="242" spans="6:37" ht="18.75" customHeight="1">
      <c r="F242" s="13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</row>
    <row r="243" spans="6:37" ht="18.75" customHeight="1">
      <c r="F243" s="13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</row>
    <row r="244" spans="6:37" ht="18.75" customHeight="1">
      <c r="F244" s="13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</row>
    <row r="245" spans="6:37" ht="18.75" customHeight="1">
      <c r="F245" s="13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</row>
    <row r="246" spans="6:37" ht="18.75" customHeight="1">
      <c r="F246" s="13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</row>
    <row r="247" spans="6:37" ht="18.75" customHeight="1">
      <c r="F247" s="13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</row>
    <row r="248" spans="6:37" ht="18.75" customHeight="1">
      <c r="F248" s="13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</row>
    <row r="249" spans="6:37" ht="18.75" customHeight="1">
      <c r="F249" s="13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</row>
    <row r="250" spans="6:37" ht="18.75" customHeight="1">
      <c r="F250" s="13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</row>
    <row r="251" spans="6:37" ht="18.75" customHeight="1">
      <c r="F251" s="13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</row>
    <row r="252" spans="6:37" ht="18.75" customHeight="1">
      <c r="F252" s="13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</row>
    <row r="253" spans="6:37" ht="18.75" customHeight="1">
      <c r="F253" s="13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</row>
    <row r="254" spans="6:37" ht="18.75" customHeight="1">
      <c r="F254" s="13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</row>
    <row r="255" spans="6:37" ht="18.75" customHeight="1">
      <c r="F255" s="13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</row>
    <row r="256" spans="6:37" ht="18.75" customHeight="1">
      <c r="F256" s="13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</row>
    <row r="257" spans="6:37" ht="18.75" customHeight="1">
      <c r="F257" s="13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</row>
    <row r="258" spans="6:37" ht="18.75" customHeight="1">
      <c r="F258" s="13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</row>
    <row r="259" spans="6:37" ht="18.75" customHeight="1">
      <c r="F259" s="13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</row>
    <row r="260" spans="6:37" ht="18.75" customHeight="1">
      <c r="F260" s="13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</row>
    <row r="261" spans="6:37" ht="18.75" customHeight="1">
      <c r="F261" s="13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</row>
    <row r="262" spans="6:37" ht="18.75" customHeight="1">
      <c r="F262" s="13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</row>
    <row r="263" spans="6:37" ht="18.75" customHeight="1">
      <c r="F263" s="13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</row>
    <row r="264" spans="6:37" ht="18.75" customHeight="1">
      <c r="F264" s="13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</row>
    <row r="265" spans="6:37" ht="18.75" customHeight="1">
      <c r="F265" s="13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</row>
    <row r="266" spans="6:37" ht="18.75" customHeight="1">
      <c r="F266" s="13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</row>
    <row r="267" spans="6:37" ht="18.75" customHeight="1">
      <c r="F267" s="13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</row>
    <row r="268" spans="6:37" ht="18.75" customHeight="1">
      <c r="F268" s="13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</row>
    <row r="269" spans="6:37" ht="18.75" customHeight="1">
      <c r="F269" s="13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</row>
    <row r="270" spans="6:37" ht="18.75" customHeight="1">
      <c r="F270" s="13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</row>
    <row r="271" spans="6:37" ht="18.75" customHeight="1">
      <c r="F271" s="13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</row>
    <row r="272" spans="6:37" ht="18.75" customHeight="1">
      <c r="F272" s="13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</row>
    <row r="273" spans="6:37" ht="18.75" customHeight="1">
      <c r="F273" s="13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</row>
    <row r="274" spans="6:37" ht="18.75" customHeight="1">
      <c r="F274" s="13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</row>
    <row r="275" spans="6:37" ht="18.75" customHeight="1">
      <c r="F275" s="13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</row>
    <row r="276" spans="6:37" ht="18.75" customHeight="1">
      <c r="F276" s="13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</row>
    <row r="277" spans="6:37" ht="18.75" customHeight="1">
      <c r="F277" s="13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</row>
    <row r="278" spans="6:37" ht="18.75" customHeight="1">
      <c r="F278" s="13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</row>
    <row r="279" spans="6:37" ht="18.75" customHeight="1">
      <c r="F279" s="13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</row>
    <row r="280" spans="6:37" ht="18.75" customHeight="1">
      <c r="F280" s="13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</row>
    <row r="281" spans="6:37" ht="18.75" customHeight="1">
      <c r="F281" s="13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</row>
    <row r="282" spans="6:37" ht="18.75" customHeight="1">
      <c r="F282" s="13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</row>
    <row r="283" spans="6:37" ht="18.75" customHeight="1">
      <c r="F283" s="13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</row>
    <row r="284" spans="6:37" ht="18.75" customHeight="1">
      <c r="F284" s="13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</row>
    <row r="285" spans="6:37" ht="18.75" customHeight="1">
      <c r="F285" s="13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</row>
    <row r="286" spans="6:37" ht="18.75" customHeight="1">
      <c r="F286" s="13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</row>
    <row r="287" spans="6:37" ht="18.75" customHeight="1">
      <c r="F287" s="13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</row>
    <row r="288" spans="6:37" ht="18.75" customHeight="1">
      <c r="F288" s="13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</row>
    <row r="289" spans="6:37" ht="18.75" customHeight="1">
      <c r="F289" s="13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</row>
    <row r="290" spans="6:37" ht="18.75" customHeight="1">
      <c r="F290" s="13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</row>
    <row r="291" spans="6:37" ht="18.75" customHeight="1">
      <c r="F291" s="13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</row>
    <row r="292" spans="6:37" ht="18.75" customHeight="1">
      <c r="F292" s="13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</row>
    <row r="293" spans="6:37" ht="18.75" customHeight="1">
      <c r="F293" s="13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</row>
    <row r="294" spans="6:37" ht="18.75" customHeight="1">
      <c r="F294" s="13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</row>
    <row r="295" spans="6:37" ht="18.75" customHeight="1">
      <c r="F295" s="13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</row>
    <row r="296" spans="6:37" ht="18.75" customHeight="1">
      <c r="F296" s="13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</row>
    <row r="297" spans="6:37" ht="18.75" customHeight="1">
      <c r="F297" s="13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</row>
    <row r="298" spans="6:37" ht="18.75" customHeight="1">
      <c r="F298" s="13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</row>
    <row r="299" spans="6:37" ht="18.75" customHeight="1">
      <c r="F299" s="13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</row>
    <row r="300" spans="6:37" ht="18.75" customHeight="1">
      <c r="F300" s="13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</row>
    <row r="301" spans="6:37" ht="18.75" customHeight="1">
      <c r="F301" s="13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</row>
    <row r="302" spans="6:37" ht="18.75" customHeight="1">
      <c r="F302" s="13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</row>
    <row r="303" spans="6:37" ht="18.75" customHeight="1">
      <c r="F303" s="13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</row>
    <row r="304" spans="6:37" ht="18.75" customHeight="1">
      <c r="F304" s="13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</row>
    <row r="305" spans="6:37" ht="18.75" customHeight="1">
      <c r="F305" s="13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</row>
    <row r="306" spans="6:37" ht="18.75" customHeight="1">
      <c r="F306" s="13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</row>
    <row r="307" spans="6:37" ht="18.75" customHeight="1">
      <c r="F307" s="13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</row>
    <row r="308" spans="6:37" ht="18.75" customHeight="1">
      <c r="F308" s="13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</row>
    <row r="309" spans="6:37" ht="18.75" customHeight="1">
      <c r="F309" s="13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</row>
    <row r="310" spans="6:37" ht="18.75" customHeight="1">
      <c r="F310" s="13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</row>
    <row r="311" spans="6:37" ht="18.75" customHeight="1">
      <c r="F311" s="13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</row>
    <row r="312" spans="6:37" ht="18.75" customHeight="1">
      <c r="F312" s="13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</row>
    <row r="313" spans="6:37" ht="18.75" customHeight="1">
      <c r="F313" s="13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</row>
    <row r="314" spans="6:37" ht="18.75" customHeight="1">
      <c r="F314" s="13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</row>
    <row r="315" spans="6:37" ht="18.75" customHeight="1">
      <c r="F315" s="13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</row>
    <row r="316" spans="6:37" ht="18.75" customHeight="1">
      <c r="F316" s="13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</row>
    <row r="317" spans="6:37" ht="18.75" customHeight="1">
      <c r="F317" s="13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</row>
    <row r="318" spans="6:37" ht="18.75" customHeight="1">
      <c r="F318" s="13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</row>
    <row r="319" spans="6:37" ht="18.75" customHeight="1">
      <c r="F319" s="13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</row>
    <row r="320" spans="6:37" ht="18.75" customHeight="1">
      <c r="F320" s="13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</row>
    <row r="321" spans="6:37" ht="18.75" customHeight="1">
      <c r="F321" s="13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</row>
    <row r="322" spans="6:37" ht="18.75" customHeight="1">
      <c r="F322" s="13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</row>
    <row r="323" spans="6:37" ht="18.75" customHeight="1">
      <c r="F323" s="13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</row>
    <row r="324" spans="6:37" ht="18.75" customHeight="1">
      <c r="F324" s="13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</row>
    <row r="325" spans="6:37" ht="18.75" customHeight="1">
      <c r="F325" s="13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</row>
    <row r="326" spans="6:37" ht="18.75" customHeight="1">
      <c r="F326" s="13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</row>
    <row r="327" spans="6:37" ht="18.75" customHeight="1">
      <c r="F327" s="13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</row>
    <row r="328" spans="6:37" ht="18.75" customHeight="1">
      <c r="F328" s="13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</row>
    <row r="329" spans="6:37" ht="18.75" customHeight="1">
      <c r="F329" s="13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</row>
    <row r="330" spans="6:37" ht="18.75" customHeight="1">
      <c r="F330" s="13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</row>
    <row r="331" spans="6:37" ht="18.75" customHeight="1">
      <c r="F331" s="13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</row>
    <row r="332" spans="6:37" ht="18.75" customHeight="1">
      <c r="F332" s="13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</row>
    <row r="333" spans="6:37" ht="18.75" customHeight="1">
      <c r="F333" s="13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</row>
    <row r="334" spans="6:37" ht="18.75" customHeight="1">
      <c r="F334" s="13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</row>
    <row r="335" spans="6:37" ht="18.75" customHeight="1">
      <c r="F335" s="13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</row>
    <row r="336" spans="6:37" ht="18.75" customHeight="1">
      <c r="F336" s="13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</row>
    <row r="337" spans="6:37" ht="18.75" customHeight="1">
      <c r="F337" s="13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</row>
    <row r="338" spans="6:37" ht="18.75" customHeight="1">
      <c r="F338" s="13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</row>
    <row r="339" spans="6:37" ht="18.75" customHeight="1">
      <c r="F339" s="13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</row>
    <row r="340" spans="6:37" ht="18.75" customHeight="1">
      <c r="F340" s="13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</row>
    <row r="341" spans="6:37" ht="18.75" customHeight="1">
      <c r="F341" s="13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</row>
    <row r="342" spans="6:37" ht="18.75" customHeight="1">
      <c r="F342" s="13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</row>
    <row r="343" spans="6:37" ht="18.75" customHeight="1">
      <c r="F343" s="13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</row>
    <row r="344" spans="6:37" ht="18.75" customHeight="1">
      <c r="F344" s="13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</row>
    <row r="345" spans="6:37" ht="18.75" customHeight="1">
      <c r="F345" s="13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</row>
    <row r="346" spans="6:37" ht="18.75" customHeight="1">
      <c r="F346" s="13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</row>
    <row r="347" spans="6:37" ht="18.75" customHeight="1">
      <c r="F347" s="13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</row>
    <row r="348" spans="6:37" ht="18.75" customHeight="1">
      <c r="F348" s="13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</row>
    <row r="349" spans="6:37" ht="18.75" customHeight="1">
      <c r="F349" s="13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</row>
    <row r="350" spans="6:37" ht="18.75" customHeight="1">
      <c r="F350" s="13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</row>
    <row r="351" spans="6:37" ht="18.75" customHeight="1">
      <c r="F351" s="13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</row>
    <row r="352" spans="6:37" ht="18.75" customHeight="1">
      <c r="F352" s="13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</row>
    <row r="353" spans="6:37" ht="18.75" customHeight="1">
      <c r="F353" s="13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</row>
    <row r="354" spans="6:37" ht="18.75" customHeight="1">
      <c r="F354" s="13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</row>
    <row r="355" spans="6:37" ht="18.75" customHeight="1">
      <c r="F355" s="13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</row>
    <row r="356" spans="6:37" ht="18.75" customHeight="1">
      <c r="F356" s="13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</row>
    <row r="357" spans="6:37" ht="18.75" customHeight="1">
      <c r="F357" s="13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</row>
    <row r="358" spans="6:37" ht="18.75" customHeight="1">
      <c r="F358" s="13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</row>
    <row r="359" spans="6:37" ht="18.75" customHeight="1">
      <c r="F359" s="13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</row>
    <row r="360" spans="6:37" ht="18.75" customHeight="1">
      <c r="F360" s="13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</row>
    <row r="361" spans="6:37" ht="18.75" customHeight="1">
      <c r="F361" s="13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</row>
    <row r="362" spans="6:37" ht="18.75" customHeight="1">
      <c r="F362" s="13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</row>
    <row r="363" spans="6:37" ht="18.75" customHeight="1">
      <c r="F363" s="13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</row>
    <row r="364" spans="6:37" ht="18.75" customHeight="1">
      <c r="F364" s="13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</row>
    <row r="365" spans="6:37" ht="18.75" customHeight="1">
      <c r="F365" s="13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</row>
    <row r="366" spans="6:37" ht="18.75" customHeight="1">
      <c r="F366" s="13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</row>
    <row r="367" spans="6:37" ht="18.75" customHeight="1">
      <c r="F367" s="13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</row>
    <row r="368" spans="6:37" ht="18.75" customHeight="1">
      <c r="F368" s="13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</row>
    <row r="369" spans="6:37" ht="18.75" customHeight="1">
      <c r="F369" s="13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</row>
    <row r="370" spans="6:37" ht="18.75" customHeight="1">
      <c r="F370" s="13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</row>
    <row r="371" spans="6:37" ht="18.75" customHeight="1">
      <c r="F371" s="13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</row>
    <row r="372" spans="6:37" ht="18.75" customHeight="1">
      <c r="F372" s="13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</row>
    <row r="373" spans="6:37" ht="18.75" customHeight="1">
      <c r="F373" s="13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</row>
    <row r="374" spans="6:37" ht="18.75" customHeight="1">
      <c r="F374" s="13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</row>
    <row r="375" spans="6:37" ht="18.75" customHeight="1">
      <c r="F375" s="13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</row>
    <row r="376" spans="6:37" ht="18.75" customHeight="1">
      <c r="F376" s="13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</row>
    <row r="377" spans="6:37" ht="18.75" customHeight="1">
      <c r="F377" s="13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</row>
    <row r="378" spans="6:37" ht="18.75" customHeight="1">
      <c r="F378" s="13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</row>
    <row r="379" spans="6:37" ht="18.75" customHeight="1">
      <c r="F379" s="13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</row>
    <row r="380" spans="6:37" ht="18.75" customHeight="1">
      <c r="F380" s="13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</row>
    <row r="381" spans="6:37" ht="18.75" customHeight="1">
      <c r="F381" s="13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</row>
    <row r="382" spans="6:37" ht="18.75" customHeight="1">
      <c r="F382" s="13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</row>
    <row r="383" spans="6:37" ht="18.75" customHeight="1">
      <c r="F383" s="13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</row>
    <row r="384" spans="6:37" ht="18.75" customHeight="1">
      <c r="F384" s="13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</row>
    <row r="385" spans="6:37" ht="18.75" customHeight="1">
      <c r="F385" s="13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</row>
    <row r="386" spans="6:37" ht="18.75" customHeight="1">
      <c r="F386" s="13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</row>
    <row r="387" spans="6:37" ht="18.75" customHeight="1">
      <c r="F387" s="13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</row>
    <row r="388" spans="6:37" ht="18.75" customHeight="1">
      <c r="F388" s="13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</row>
    <row r="389" spans="6:37" ht="18.75" customHeight="1">
      <c r="F389" s="13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</row>
    <row r="390" spans="6:37" ht="18.75" customHeight="1">
      <c r="F390" s="13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</row>
    <row r="391" spans="6:37" ht="18.75" customHeight="1">
      <c r="F391" s="13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</row>
    <row r="392" spans="6:37" ht="18.75" customHeight="1">
      <c r="F392" s="13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</row>
    <row r="393" spans="6:37" ht="18.75" customHeight="1">
      <c r="F393" s="13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</row>
    <row r="394" spans="6:37" ht="18.75" customHeight="1">
      <c r="F394" s="13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</row>
    <row r="395" spans="6:37" ht="18.75" customHeight="1">
      <c r="F395" s="13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</row>
    <row r="396" spans="6:37" ht="18.75" customHeight="1">
      <c r="F396" s="13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</row>
    <row r="397" spans="6:37" ht="18.75" customHeight="1">
      <c r="F397" s="13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</row>
    <row r="398" spans="6:37" ht="18.75" customHeight="1">
      <c r="F398" s="13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</row>
    <row r="399" spans="6:37" ht="18.75" customHeight="1">
      <c r="F399" s="13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</row>
    <row r="400" spans="6:37" ht="18.75" customHeight="1">
      <c r="F400" s="13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</row>
    <row r="401" spans="6:37" ht="18.75" customHeight="1">
      <c r="F401" s="13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</row>
    <row r="402" spans="6:37" ht="18.75" customHeight="1">
      <c r="F402" s="13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</row>
    <row r="403" spans="6:37" ht="18.75" customHeight="1">
      <c r="F403" s="13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</row>
    <row r="404" spans="6:37" ht="18.75" customHeight="1">
      <c r="F404" s="13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</row>
    <row r="405" spans="6:37" ht="18.75" customHeight="1">
      <c r="F405" s="13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</row>
    <row r="406" spans="6:37" ht="18.75" customHeight="1">
      <c r="F406" s="13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</row>
    <row r="407" spans="6:37" ht="18.75" customHeight="1">
      <c r="F407" s="13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</row>
    <row r="408" spans="6:37" ht="18.75" customHeight="1">
      <c r="F408" s="13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</row>
    <row r="409" spans="6:37" ht="18.75" customHeight="1">
      <c r="F409" s="13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</row>
    <row r="410" spans="6:37" ht="18.75" customHeight="1">
      <c r="F410" s="13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</row>
    <row r="411" spans="6:37" ht="18.75" customHeight="1">
      <c r="F411" s="13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</row>
    <row r="412" spans="6:37" ht="18.75" customHeight="1">
      <c r="F412" s="13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</row>
    <row r="413" spans="6:37" ht="18.75" customHeight="1">
      <c r="F413" s="13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</row>
    <row r="414" spans="6:37" ht="18.75" customHeight="1">
      <c r="F414" s="13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</row>
    <row r="415" spans="6:37" ht="18.75" customHeight="1">
      <c r="F415" s="13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</row>
    <row r="416" spans="6:37" ht="18.75" customHeight="1">
      <c r="F416" s="13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</row>
    <row r="417" spans="6:37" ht="18.75" customHeight="1">
      <c r="F417" s="13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</row>
    <row r="418" spans="6:37" ht="18.75" customHeight="1">
      <c r="F418" s="13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</row>
    <row r="419" spans="6:37" ht="18.75" customHeight="1">
      <c r="F419" s="13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</row>
    <row r="420" spans="6:37" ht="18.75" customHeight="1">
      <c r="F420" s="13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</row>
    <row r="421" spans="6:37" ht="18.75" customHeight="1">
      <c r="F421" s="13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</row>
    <row r="422" spans="6:37" ht="18.75" customHeight="1">
      <c r="F422" s="13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</row>
    <row r="423" spans="6:37" ht="18.75" customHeight="1">
      <c r="F423" s="13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</row>
    <row r="424" spans="6:37" ht="18.75" customHeight="1">
      <c r="F424" s="13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</row>
    <row r="425" spans="6:37" ht="18.75" customHeight="1">
      <c r="F425" s="13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</row>
    <row r="426" spans="6:37" ht="18.75" customHeight="1">
      <c r="F426" s="13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</row>
    <row r="427" spans="6:37" ht="18.75" customHeight="1">
      <c r="F427" s="13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</row>
    <row r="428" spans="6:37" ht="18.75" customHeight="1">
      <c r="F428" s="13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</row>
    <row r="429" spans="6:37" ht="18.75" customHeight="1">
      <c r="F429" s="13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</row>
    <row r="430" spans="6:37" ht="18.75" customHeight="1">
      <c r="F430" s="13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</row>
    <row r="431" spans="6:37" ht="18.75" customHeight="1">
      <c r="F431" s="13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</row>
    <row r="432" spans="6:37" ht="18.75" customHeight="1">
      <c r="F432" s="13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</row>
    <row r="433" spans="6:37" ht="18.75" customHeight="1">
      <c r="F433" s="13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</row>
    <row r="434" spans="6:37" ht="18.75" customHeight="1">
      <c r="F434" s="13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</row>
    <row r="435" spans="6:37" ht="18.75" customHeight="1">
      <c r="F435" s="13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</row>
    <row r="436" spans="6:37" ht="18.75" customHeight="1">
      <c r="F436" s="13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</row>
    <row r="437" spans="6:37" ht="18.75" customHeight="1">
      <c r="F437" s="13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</row>
    <row r="438" spans="6:37" ht="18.75" customHeight="1">
      <c r="F438" s="13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</row>
    <row r="439" spans="6:37" ht="18.75" customHeight="1">
      <c r="F439" s="13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</row>
    <row r="440" spans="6:37" ht="18.75" customHeight="1">
      <c r="F440" s="13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</row>
    <row r="441" spans="6:37" ht="18.75" customHeight="1">
      <c r="F441" s="13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</row>
    <row r="442" spans="6:37" ht="18.75" customHeight="1">
      <c r="F442" s="13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</row>
    <row r="443" spans="6:37" ht="18.75" customHeight="1">
      <c r="F443" s="13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</row>
    <row r="444" spans="6:37" ht="18.75" customHeight="1">
      <c r="F444" s="13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</row>
    <row r="445" spans="6:37" ht="18.75" customHeight="1">
      <c r="F445" s="13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</row>
    <row r="446" spans="6:37" ht="18.75" customHeight="1">
      <c r="F446" s="13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</row>
    <row r="447" spans="6:37" ht="18.75" customHeight="1">
      <c r="F447" s="13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</row>
    <row r="448" spans="6:37" ht="18.75" customHeight="1">
      <c r="F448" s="13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</row>
    <row r="449" spans="6:37" ht="18.75" customHeight="1">
      <c r="F449" s="13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</row>
    <row r="450" spans="6:37" ht="18.75" customHeight="1">
      <c r="F450" s="13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</row>
    <row r="451" spans="6:37" ht="18.75" customHeight="1">
      <c r="F451" s="13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</row>
    <row r="452" spans="6:37" ht="18.75" customHeight="1">
      <c r="F452" s="13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</row>
    <row r="453" spans="6:37" ht="18.75" customHeight="1">
      <c r="F453" s="13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</row>
    <row r="454" spans="6:37" ht="18.75" customHeight="1">
      <c r="F454" s="13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</row>
    <row r="455" spans="6:37" ht="18.75" customHeight="1">
      <c r="F455" s="13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</row>
    <row r="456" spans="6:37" ht="18.75" customHeight="1">
      <c r="F456" s="13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</row>
    <row r="457" spans="6:37" ht="18.75" customHeight="1">
      <c r="F457" s="13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</row>
    <row r="458" spans="6:37" ht="18.75" customHeight="1">
      <c r="F458" s="13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</row>
    <row r="459" spans="6:37" ht="18.75" customHeight="1">
      <c r="F459" s="13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</row>
    <row r="460" spans="6:37" ht="18.75" customHeight="1">
      <c r="F460" s="13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</row>
    <row r="461" spans="6:37" ht="18.75" customHeight="1">
      <c r="F461" s="13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</row>
    <row r="462" spans="6:37" ht="18.75" customHeight="1">
      <c r="F462" s="13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</row>
    <row r="463" spans="6:37" ht="18.75" customHeight="1">
      <c r="F463" s="13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</row>
    <row r="464" spans="6:37" ht="18.75" customHeight="1">
      <c r="F464" s="13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</row>
    <row r="465" spans="6:37" ht="18.75" customHeight="1">
      <c r="F465" s="13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</row>
    <row r="466" spans="6:37" ht="18.75" customHeight="1">
      <c r="F466" s="13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</row>
    <row r="467" spans="6:37" ht="18.75" customHeight="1">
      <c r="F467" s="13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</row>
    <row r="468" spans="6:37" ht="18.75" customHeight="1">
      <c r="F468" s="13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</row>
    <row r="469" spans="6:37" ht="18.75" customHeight="1">
      <c r="F469" s="13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</row>
    <row r="470" spans="6:37" ht="18.75" customHeight="1">
      <c r="F470" s="13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</row>
    <row r="471" spans="6:37" ht="18.75" customHeight="1">
      <c r="F471" s="13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</row>
    <row r="472" spans="6:37" ht="18.75" customHeight="1">
      <c r="F472" s="13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</row>
    <row r="473" spans="6:37" ht="18.75" customHeight="1">
      <c r="F473" s="13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</row>
    <row r="474" spans="6:37" ht="18.75" customHeight="1">
      <c r="F474" s="13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</row>
    <row r="475" spans="6:37" ht="18.75" customHeight="1">
      <c r="F475" s="13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</row>
    <row r="476" spans="6:37" ht="18.75" customHeight="1">
      <c r="F476" s="13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</row>
    <row r="477" spans="6:37" ht="18.75" customHeight="1">
      <c r="F477" s="13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</row>
    <row r="478" spans="6:37" ht="18.75" customHeight="1">
      <c r="F478" s="13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</row>
    <row r="479" spans="6:37" ht="18.75" customHeight="1">
      <c r="F479" s="13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</row>
    <row r="480" spans="6:37" ht="18.75" customHeight="1">
      <c r="F480" s="13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</row>
    <row r="481" spans="6:37" ht="18.75" customHeight="1">
      <c r="F481" s="13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</row>
    <row r="482" spans="6:37" ht="18.75" customHeight="1">
      <c r="F482" s="13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</row>
    <row r="483" spans="6:37" ht="18.75" customHeight="1">
      <c r="F483" s="13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</row>
    <row r="484" spans="6:37" ht="18.75" customHeight="1">
      <c r="F484" s="13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</row>
    <row r="485" spans="6:37" ht="18.75" customHeight="1">
      <c r="F485" s="13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</row>
    <row r="486" spans="6:37" ht="18.75" customHeight="1">
      <c r="F486" s="13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</row>
    <row r="487" spans="6:37" ht="18.75" customHeight="1">
      <c r="F487" s="13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</row>
    <row r="488" spans="6:37" ht="18.75" customHeight="1">
      <c r="F488" s="13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</row>
    <row r="489" spans="6:37" ht="18.75" customHeight="1">
      <c r="F489" s="13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</row>
    <row r="490" spans="6:37" ht="18.75" customHeight="1">
      <c r="F490" s="13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</row>
    <row r="491" spans="6:37" ht="18.75" customHeight="1">
      <c r="F491" s="13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</row>
    <row r="492" spans="6:37" ht="18.75" customHeight="1">
      <c r="F492" s="13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</row>
    <row r="493" spans="6:37" ht="18.75" customHeight="1">
      <c r="F493" s="13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</row>
    <row r="494" spans="6:37" ht="18.75" customHeight="1">
      <c r="F494" s="13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</row>
    <row r="495" spans="6:37" ht="18.75" customHeight="1">
      <c r="F495" s="13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</row>
    <row r="496" spans="6:37" ht="18.75" customHeight="1">
      <c r="F496" s="13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</row>
    <row r="497" spans="6:37" ht="18.75" customHeight="1">
      <c r="F497" s="13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</row>
    <row r="498" spans="6:37" ht="18.75" customHeight="1">
      <c r="F498" s="13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</row>
    <row r="499" spans="6:37" ht="18.75" customHeight="1">
      <c r="F499" s="13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</row>
    <row r="500" spans="6:37" ht="18.75" customHeight="1">
      <c r="F500" s="13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</row>
    <row r="501" spans="6:37" ht="18.75" customHeight="1">
      <c r="F501" s="13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</row>
    <row r="502" spans="6:37" ht="18.75" customHeight="1">
      <c r="F502" s="13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</row>
    <row r="503" spans="6:37" ht="18.75" customHeight="1">
      <c r="F503" s="13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</row>
    <row r="504" spans="6:37" ht="18.75" customHeight="1">
      <c r="F504" s="13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</row>
    <row r="505" spans="6:37" ht="18.75" customHeight="1">
      <c r="F505" s="13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</row>
    <row r="506" spans="6:37" ht="18.75" customHeight="1">
      <c r="F506" s="13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</row>
    <row r="507" spans="6:37" ht="18.75" customHeight="1">
      <c r="F507" s="13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</row>
    <row r="508" spans="6:37" ht="18.75" customHeight="1">
      <c r="F508" s="13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</row>
    <row r="509" spans="6:37" ht="18.75" customHeight="1">
      <c r="F509" s="13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</row>
    <row r="510" spans="6:37" ht="18.75" customHeight="1">
      <c r="F510" s="13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</row>
    <row r="511" spans="6:37" ht="18.75" customHeight="1">
      <c r="F511" s="13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</row>
    <row r="512" spans="6:37" ht="18.75" customHeight="1">
      <c r="F512" s="13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</row>
    <row r="513" spans="6:37" ht="18.75" customHeight="1">
      <c r="F513" s="13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</row>
    <row r="514" spans="6:37" ht="18.75" customHeight="1">
      <c r="F514" s="13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</row>
    <row r="515" spans="6:37" ht="18.75" customHeight="1">
      <c r="F515" s="13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</row>
    <row r="516" spans="6:37" ht="18.75" customHeight="1">
      <c r="F516" s="13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</row>
    <row r="517" spans="6:37" ht="18.75" customHeight="1">
      <c r="F517" s="13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</row>
    <row r="518" spans="6:37" ht="18.75" customHeight="1">
      <c r="F518" s="13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</row>
    <row r="519" spans="6:37" ht="18.75" customHeight="1">
      <c r="F519" s="13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</row>
    <row r="520" spans="6:37" ht="18.75" customHeight="1">
      <c r="F520" s="13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</row>
    <row r="521" spans="6:37" ht="18.75" customHeight="1">
      <c r="F521" s="13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</row>
    <row r="522" spans="6:37" ht="18.75" customHeight="1">
      <c r="F522" s="13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</row>
    <row r="523" spans="6:37" ht="18.75" customHeight="1">
      <c r="F523" s="13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</row>
    <row r="524" spans="6:37" ht="18.75" customHeight="1">
      <c r="F524" s="13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</row>
    <row r="525" spans="6:37" ht="18.75" customHeight="1">
      <c r="F525" s="13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</row>
    <row r="526" spans="6:37" ht="18.75" customHeight="1">
      <c r="F526" s="13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</row>
    <row r="527" spans="6:37" ht="18.75" customHeight="1">
      <c r="F527" s="13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</row>
    <row r="528" spans="6:37" ht="18.75" customHeight="1">
      <c r="F528" s="13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</row>
    <row r="529" spans="6:37" ht="18.75" customHeight="1">
      <c r="F529" s="13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</row>
    <row r="530" spans="6:37" ht="18.75" customHeight="1">
      <c r="F530" s="13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</row>
    <row r="531" spans="6:37" ht="18.75" customHeight="1">
      <c r="F531" s="13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</row>
    <row r="532" spans="6:37" ht="18.75" customHeight="1">
      <c r="F532" s="13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</row>
    <row r="533" spans="6:37" ht="18.75" customHeight="1">
      <c r="F533" s="13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</row>
    <row r="534" spans="6:37" ht="18.75" customHeight="1">
      <c r="F534" s="13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</row>
    <row r="535" spans="6:37" ht="18.75" customHeight="1">
      <c r="F535" s="13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</row>
    <row r="536" spans="6:37" ht="18.75" customHeight="1">
      <c r="F536" s="13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</row>
    <row r="537" spans="6:37" ht="18.75" customHeight="1">
      <c r="F537" s="13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</row>
    <row r="538" spans="6:37" ht="18.75" customHeight="1">
      <c r="F538" s="13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</row>
    <row r="539" spans="6:37" ht="18.75" customHeight="1">
      <c r="F539" s="13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</row>
    <row r="540" spans="6:37" ht="18.75" customHeight="1">
      <c r="F540" s="13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</row>
    <row r="541" spans="6:37" ht="18.75" customHeight="1">
      <c r="F541" s="13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</row>
    <row r="542" spans="6:37" ht="18.75" customHeight="1">
      <c r="F542" s="13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</row>
    <row r="543" spans="6:37" ht="18.75" customHeight="1">
      <c r="F543" s="13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</row>
    <row r="544" spans="6:37" ht="18.75" customHeight="1">
      <c r="F544" s="13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</row>
    <row r="545" spans="6:37" ht="18.75" customHeight="1">
      <c r="F545" s="13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</row>
    <row r="546" spans="6:37" ht="18.75" customHeight="1">
      <c r="F546" s="13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</row>
    <row r="547" spans="6:37" ht="18.75" customHeight="1">
      <c r="F547" s="13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</row>
    <row r="548" spans="6:37" ht="18.75" customHeight="1">
      <c r="F548" s="13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</row>
    <row r="549" spans="6:37" ht="18.75" customHeight="1">
      <c r="F549" s="13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</row>
    <row r="550" spans="6:37" ht="18.75" customHeight="1">
      <c r="F550" s="13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</row>
    <row r="551" spans="6:37" ht="18.75" customHeight="1">
      <c r="F551" s="13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</row>
    <row r="552" spans="6:37" ht="18.75" customHeight="1">
      <c r="F552" s="13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</row>
    <row r="553" spans="6:37" ht="18.75" customHeight="1">
      <c r="F553" s="13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</row>
    <row r="554" spans="6:37" ht="18.75" customHeight="1">
      <c r="F554" s="13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</row>
    <row r="555" spans="6:37" ht="18.75" customHeight="1">
      <c r="F555" s="13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</row>
    <row r="556" spans="6:37" ht="18.75" customHeight="1">
      <c r="F556" s="13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</row>
    <row r="557" spans="6:37" ht="18.75" customHeight="1">
      <c r="F557" s="13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</row>
    <row r="558" spans="6:37" ht="18.75" customHeight="1">
      <c r="F558" s="13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</row>
    <row r="559" spans="6:37" ht="18.75" customHeight="1">
      <c r="F559" s="13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</row>
    <row r="560" spans="6:37" ht="18.75" customHeight="1">
      <c r="F560" s="13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</row>
    <row r="561" spans="6:37" ht="18.75" customHeight="1">
      <c r="F561" s="13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</row>
    <row r="562" spans="6:37" ht="18.75" customHeight="1">
      <c r="F562" s="13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</row>
    <row r="563" spans="6:37" ht="18.75" customHeight="1">
      <c r="F563" s="13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</row>
    <row r="564" spans="6:37" ht="18.75" customHeight="1">
      <c r="F564" s="13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</row>
    <row r="565" spans="6:37" ht="18.75" customHeight="1">
      <c r="F565" s="13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</row>
    <row r="566" spans="6:37" ht="18.75" customHeight="1">
      <c r="F566" s="13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</row>
    <row r="567" spans="6:37" ht="18.75" customHeight="1">
      <c r="F567" s="13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</row>
    <row r="568" spans="6:37" ht="18.75" customHeight="1">
      <c r="F568" s="13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</row>
    <row r="569" spans="6:37" ht="18.75" customHeight="1">
      <c r="F569" s="13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</row>
    <row r="570" spans="6:37" ht="18.75" customHeight="1">
      <c r="F570" s="13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</row>
    <row r="571" spans="6:37" ht="18.75" customHeight="1">
      <c r="F571" s="13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</row>
    <row r="572" spans="6:37" ht="18.75" customHeight="1">
      <c r="F572" s="13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</row>
    <row r="573" spans="6:37" ht="18.75" customHeight="1">
      <c r="F573" s="13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</row>
    <row r="574" spans="6:37" ht="18.75" customHeight="1">
      <c r="F574" s="13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</row>
    <row r="575" spans="6:37" ht="18.75" customHeight="1">
      <c r="F575" s="13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</row>
    <row r="576" spans="6:37" ht="18.75" customHeight="1">
      <c r="F576" s="13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</row>
    <row r="577" spans="6:37" ht="18.75" customHeight="1">
      <c r="F577" s="13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</row>
    <row r="578" spans="6:37" ht="18.75" customHeight="1">
      <c r="F578" s="13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</row>
    <row r="579" spans="6:37" ht="18.75" customHeight="1">
      <c r="F579" s="13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</row>
    <row r="580" spans="6:37" ht="18.75" customHeight="1">
      <c r="F580" s="13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</row>
    <row r="581" spans="6:37" ht="18.75" customHeight="1">
      <c r="F581" s="13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</row>
    <row r="582" spans="6:37" ht="18.75" customHeight="1">
      <c r="F582" s="13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</row>
    <row r="583" spans="6:37" ht="18.75" customHeight="1">
      <c r="F583" s="13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</row>
    <row r="584" spans="6:37" ht="18.75" customHeight="1">
      <c r="F584" s="13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</row>
    <row r="585" spans="6:37" ht="18.75" customHeight="1">
      <c r="F585" s="13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</row>
    <row r="586" spans="6:37" ht="18.75" customHeight="1">
      <c r="F586" s="13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</row>
    <row r="587" spans="6:37" ht="18.75" customHeight="1">
      <c r="F587" s="13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</row>
    <row r="588" spans="6:37" ht="18.75" customHeight="1">
      <c r="F588" s="13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</row>
    <row r="589" spans="6:37" ht="18.75" customHeight="1">
      <c r="F589" s="13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</row>
    <row r="590" spans="6:37" ht="18.75" customHeight="1">
      <c r="F590" s="13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</row>
    <row r="591" spans="6:37" ht="18.75" customHeight="1">
      <c r="F591" s="13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</row>
    <row r="592" spans="6:37" ht="18.75" customHeight="1">
      <c r="F592" s="13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</row>
    <row r="593" spans="6:37" ht="18.75" customHeight="1">
      <c r="F593" s="13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</row>
    <row r="594" spans="6:37" ht="18.75" customHeight="1">
      <c r="F594" s="13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</row>
    <row r="595" spans="6:37" ht="18.75" customHeight="1">
      <c r="F595" s="13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</row>
  </sheetData>
  <mergeCells count="11">
    <mergeCell ref="A29:E31"/>
    <mergeCell ref="AB4:AH4"/>
    <mergeCell ref="B6:E6"/>
    <mergeCell ref="B8:C8"/>
    <mergeCell ref="A10:A24"/>
    <mergeCell ref="A25:A28"/>
    <mergeCell ref="B4:E5"/>
    <mergeCell ref="F4:F7"/>
    <mergeCell ref="G4:M4"/>
    <mergeCell ref="N4:T4"/>
    <mergeCell ref="U4:AA4"/>
  </mergeCells>
  <conditionalFormatting sqref="B8 D8:E8">
    <cfRule type="expression" dxfId="2837" priority="339">
      <formula>ISNUMBER(SEARCH("MRP",$B8))</formula>
    </cfRule>
  </conditionalFormatting>
  <conditionalFormatting sqref="B9:E28">
    <cfRule type="expression" dxfId="2836" priority="101">
      <formula>ISNUMBER(SEARCH("MRP",$B9))</formula>
    </cfRule>
  </conditionalFormatting>
  <conditionalFormatting sqref="F13:M14">
    <cfRule type="expression" dxfId="2835" priority="118">
      <formula>ISNUMBER(SEARCH("JOK",F13))</formula>
    </cfRule>
    <cfRule type="expression" dxfId="2834" priority="119">
      <formula>OR(ISNUMBER(SEARCH("PPP 1",F13)),ISNUMBER(SEARCH("PPP 2",F13)))</formula>
    </cfRule>
    <cfRule type="expression" dxfId="2833" priority="120">
      <formula>ISNUMBER(SEARCH("FORM",F13))</formula>
    </cfRule>
    <cfRule type="expression" dxfId="2832" priority="121">
      <formula>ISNUMBER(SEARCH("ASA",F13))</formula>
    </cfRule>
    <cfRule type="expression" dxfId="2831" priority="122">
      <formula>OR(ISNUMBER(SEARCH("ATM",F13)),ISNUMBER(SEARCH("ATA",F13)))</formula>
    </cfRule>
    <cfRule type="expression" dxfId="2830" priority="123">
      <formula>ISNUMBER(SEARCH("TP",F13))</formula>
    </cfRule>
    <cfRule type="expression" dxfId="2829" priority="124">
      <formula>ISNUMBER(SEARCH("CSE",F13))</formula>
    </cfRule>
    <cfRule type="expression" dxfId="2828" priority="125">
      <formula>OR(ISNUMBER(SEARCH("CA",F13)),ISNUMBER(SEARCH("RC",F13)))</formula>
    </cfRule>
  </conditionalFormatting>
  <conditionalFormatting sqref="F18:Y18">
    <cfRule type="expression" dxfId="2827" priority="186">
      <formula>ISNUMBER(SEARCH("JOK",F18))</formula>
    </cfRule>
    <cfRule type="expression" dxfId="2826" priority="187">
      <formula>OR(ISNUMBER(SEARCH("PPP 1",F18)),ISNUMBER(SEARCH("PPP 2",F18)))</formula>
    </cfRule>
    <cfRule type="expression" dxfId="2825" priority="188">
      <formula>ISNUMBER(SEARCH("FORM",F18))</formula>
    </cfRule>
    <cfRule type="expression" dxfId="2824" priority="189">
      <formula>ISNUMBER(SEARCH("ASA",F18))</formula>
    </cfRule>
    <cfRule type="expression" dxfId="2823" priority="190">
      <formula>OR(ISNUMBER(SEARCH("ATM",F18)),ISNUMBER(SEARCH("ATA",F18)))</formula>
    </cfRule>
    <cfRule type="expression" dxfId="2822" priority="191">
      <formula>ISNUMBER(SEARCH("TP",F18))</formula>
    </cfRule>
    <cfRule type="expression" dxfId="2821" priority="192">
      <formula>ISNUMBER(SEARCH("CSE",F18))</formula>
    </cfRule>
    <cfRule type="expression" dxfId="2820" priority="193">
      <formula>OR(ISNUMBER(SEARCH("CA",F18)),ISNUMBER(SEARCH("RC",F18)))</formula>
    </cfRule>
  </conditionalFormatting>
  <conditionalFormatting sqref="F8:AH10 F9:F12 G12:M12 F15:AH17 F24:AH31">
    <cfRule type="expression" dxfId="2819" priority="390">
      <formula>OR(ISNUMBER(SEARCH("PPP 1",F8)),ISNUMBER(SEARCH("PPP 2",F8)))</formula>
    </cfRule>
    <cfRule type="expression" dxfId="2818" priority="391">
      <formula>ISNUMBER(SEARCH("FORM",F8))</formula>
    </cfRule>
    <cfRule type="expression" dxfId="2817" priority="392">
      <formula>ISNUMBER(SEARCH("ASA",F8))</formula>
    </cfRule>
    <cfRule type="expression" dxfId="2816" priority="393">
      <formula>OR(ISNUMBER(SEARCH("ATM",F8)),ISNUMBER(SEARCH("ATA",F8)))</formula>
    </cfRule>
    <cfRule type="expression" dxfId="2815" priority="394">
      <formula>ISNUMBER(SEARCH("TP",F8))</formula>
    </cfRule>
    <cfRule type="expression" dxfId="2814" priority="395">
      <formula>ISNUMBER(SEARCH("CSE",F8))</formula>
    </cfRule>
    <cfRule type="expression" dxfId="2813" priority="396">
      <formula>OR(ISNUMBER(SEARCH("CA",F8)),ISNUMBER(SEARCH("RC",F8)))</formula>
    </cfRule>
  </conditionalFormatting>
  <conditionalFormatting sqref="F8:AH10 F9:F12 L11:M11 S11:AH14 G12:M12 N12:R14 F13:M13 F14:J14 L14:M14 F15:AH17 F18:T18 Z18:AA18 AC18:AH18 F19:AH22 F23:AC23 AE23:AH23 F24:AH27 L26:M28 AH27:AH28">
    <cfRule type="expression" dxfId="2812" priority="418">
      <formula>ISNUMBER(SEARCH("FORM",F8))</formula>
    </cfRule>
    <cfRule type="expression" dxfId="2811" priority="419">
      <formula>ISNUMBER(SEARCH("ASA",F8))</formula>
    </cfRule>
    <cfRule type="expression" dxfId="2810" priority="420">
      <formula>OR(ISNUMBER(SEARCH("ATM",F8)),ISNUMBER(SEARCH("ATA",F8)))</formula>
    </cfRule>
    <cfRule type="expression" dxfId="2809" priority="421">
      <formula>ISNUMBER(SEARCH("TP",F8))</formula>
    </cfRule>
    <cfRule type="expression" dxfId="2808" priority="422">
      <formula>ISNUMBER(SEARCH("CSE",F8))</formula>
    </cfRule>
    <cfRule type="expression" dxfId="2807" priority="423">
      <formula>OR(ISNUMBER(SEARCH("CA",F8)),ISNUMBER(SEARCH("RC",F8)))</formula>
    </cfRule>
  </conditionalFormatting>
  <conditionalFormatting sqref="F19:AH23">
    <cfRule type="expression" dxfId="2806" priority="232">
      <formula>ISNUMBER(SEARCH("JOK",F19))</formula>
    </cfRule>
    <cfRule type="expression" dxfId="2805" priority="233">
      <formula>OR(ISNUMBER(SEARCH("PPP 1",F19)),ISNUMBER(SEARCH("PPP 2",F19)))</formula>
    </cfRule>
    <cfRule type="expression" dxfId="2804" priority="234">
      <formula>ISNUMBER(SEARCH("FORM",F19))</formula>
    </cfRule>
    <cfRule type="expression" dxfId="2803" priority="235">
      <formula>ISNUMBER(SEARCH("ASA",F19))</formula>
    </cfRule>
    <cfRule type="expression" dxfId="2802" priority="236">
      <formula>OR(ISNUMBER(SEARCH("ATM",F19)),ISNUMBER(SEARCH("ATA",F19)))</formula>
    </cfRule>
    <cfRule type="expression" dxfId="2801" priority="237">
      <formula>ISNUMBER(SEARCH("TP",F19))</formula>
    </cfRule>
    <cfRule type="expression" dxfId="2800" priority="238">
      <formula>ISNUMBER(SEARCH("CSE",F19))</formula>
    </cfRule>
    <cfRule type="expression" dxfId="2799" priority="239">
      <formula>OR(ISNUMBER(SEARCH("CA",F19)),ISNUMBER(SEARCH("RC",F19)))</formula>
    </cfRule>
  </conditionalFormatting>
  <conditionalFormatting sqref="F24:AH27 F8:AH10 F9:F12 G12:M12 F15:AH17 L26:M28 AH27:AH28 F19:AH22 F23:AC23 AE23:AH23 Z18:AA18 AC18:AH18 F18:T18 L11:M11 S11:AH14 N12:R14 F13:M13 F14:J14 L14:M14">
    <cfRule type="expression" dxfId="2798" priority="417">
      <formula>OR(ISNUMBER(SEARCH("PPP 1",F8)),ISNUMBER(SEARCH("PPP 2",F8)))</formula>
    </cfRule>
  </conditionalFormatting>
  <conditionalFormatting sqref="F24:AH31 F8:AH10 G12:M12 F15:AH17 F9:F12">
    <cfRule type="expression" dxfId="2797" priority="389">
      <formula>ISNUMBER(SEARCH("JOK",F8))</formula>
    </cfRule>
  </conditionalFormatting>
  <conditionalFormatting sqref="G22">
    <cfRule type="expression" dxfId="2796" priority="9">
      <formula>ISNUMBER(SEARCH("JOK",G22))</formula>
    </cfRule>
    <cfRule type="expression" dxfId="2795" priority="10">
      <formula>OR(ISNUMBER(SEARCH("PPP 1",G22)),ISNUMBER(SEARCH("PPP 2",G22)))</formula>
    </cfRule>
    <cfRule type="expression" dxfId="2794" priority="11">
      <formula>ISNUMBER(SEARCH("FORM",G22))</formula>
    </cfRule>
    <cfRule type="expression" dxfId="2793" priority="12">
      <formula>ISNUMBER(SEARCH("ASA",G22))</formula>
    </cfRule>
    <cfRule type="expression" dxfId="2792" priority="13">
      <formula>OR(ISNUMBER(SEARCH("ATM",G22)),ISNUMBER(SEARCH("ATA",G22)))</formula>
    </cfRule>
    <cfRule type="expression" dxfId="2791" priority="14">
      <formula>ISNUMBER(SEARCH("TP",G22))</formula>
    </cfRule>
    <cfRule type="expression" dxfId="2790" priority="15">
      <formula>ISNUMBER(SEARCH("CSE",G22))</formula>
    </cfRule>
    <cfRule type="expression" dxfId="2789" priority="16">
      <formula>OR(ISNUMBER(SEARCH("CA",G22)),ISNUMBER(SEARCH("RC",G22)))</formula>
    </cfRule>
    <cfRule type="expression" dxfId="2788" priority="17">
      <formula>ISNUMBER(SEARCH("JOK",G22))</formula>
    </cfRule>
    <cfRule type="expression" dxfId="2787" priority="18">
      <formula>OR(ISNUMBER(SEARCH("PPP 1",G22)),ISNUMBER(SEARCH("PPP 2",G22)))</formula>
    </cfRule>
    <cfRule type="expression" dxfId="2786" priority="19">
      <formula>ISNUMBER(SEARCH("FORM",G22))</formula>
    </cfRule>
    <cfRule type="expression" dxfId="2785" priority="20">
      <formula>ISNUMBER(SEARCH("ASA",G22))</formula>
    </cfRule>
    <cfRule type="expression" dxfId="2784" priority="21">
      <formula>OR(ISNUMBER(SEARCH("ATM",G22)),ISNUMBER(SEARCH("ATA",G22)))</formula>
    </cfRule>
    <cfRule type="expression" dxfId="2783" priority="22">
      <formula>ISNUMBER(SEARCH("TP",G22))</formula>
    </cfRule>
    <cfRule type="expression" dxfId="2782" priority="23">
      <formula>ISNUMBER(SEARCH("CSE",G22))</formula>
    </cfRule>
    <cfRule type="expression" dxfId="2781" priority="24">
      <formula>OR(ISNUMBER(SEARCH("CA",G22)),ISNUMBER(SEARCH("RC",G22)))</formula>
    </cfRule>
    <cfRule type="expression" dxfId="2780" priority="25">
      <formula>OR(ISNUMBER(SEARCH("PPP 1",G22)),ISNUMBER(SEARCH("PPP 2",G22)))</formula>
    </cfRule>
    <cfRule type="expression" dxfId="2779" priority="26">
      <formula>ISNUMBER(SEARCH("FORM",G22))</formula>
    </cfRule>
    <cfRule type="expression" dxfId="2778" priority="27">
      <formula>ISNUMBER(SEARCH("ASA",G22))</formula>
    </cfRule>
    <cfRule type="expression" dxfId="2777" priority="28">
      <formula>OR(ISNUMBER(SEARCH("ATM",G22)),ISNUMBER(SEARCH("ATA",G22)))</formula>
    </cfRule>
    <cfRule type="expression" dxfId="2776" priority="29">
      <formula>ISNUMBER(SEARCH("TP",G22))</formula>
    </cfRule>
    <cfRule type="expression" dxfId="2775" priority="30">
      <formula>ISNUMBER(SEARCH("CSE",G22))</formula>
    </cfRule>
    <cfRule type="expression" dxfId="2774" priority="31">
      <formula>OR(ISNUMBER(SEARCH("CA",G22)),ISNUMBER(SEARCH("RC",G22)))</formula>
    </cfRule>
  </conditionalFormatting>
  <conditionalFormatting sqref="G11:K11">
    <cfRule type="expression" dxfId="2773" priority="126">
      <formula>ISNUMBER(SEARCH("JOK",G11))</formula>
    </cfRule>
    <cfRule type="expression" dxfId="2772" priority="127">
      <formula>OR(ISNUMBER(SEARCH("PPP 1",G11)),ISNUMBER(SEARCH("PPP 2",G11)))</formula>
    </cfRule>
    <cfRule type="expression" dxfId="2771" priority="128">
      <formula>ISNUMBER(SEARCH("FORM",G11))</formula>
    </cfRule>
    <cfRule type="expression" dxfId="2770" priority="129">
      <formula>ISNUMBER(SEARCH("ASA",G11))</formula>
    </cfRule>
    <cfRule type="expression" dxfId="2769" priority="130">
      <formula>OR(ISNUMBER(SEARCH("ATM",G11)),ISNUMBER(SEARCH("ATA",G11)))</formula>
    </cfRule>
    <cfRule type="expression" dxfId="2768" priority="131">
      <formula>ISNUMBER(SEARCH("TP",G11))</formula>
    </cfRule>
    <cfRule type="expression" dxfId="2767" priority="132">
      <formula>ISNUMBER(SEARCH("CSE",G11))</formula>
    </cfRule>
    <cfRule type="expression" dxfId="2766" priority="133">
      <formula>OR(ISNUMBER(SEARCH("CA",G11)),ISNUMBER(SEARCH("RC",G11)))</formula>
    </cfRule>
    <cfRule type="expression" dxfId="2765" priority="134">
      <formula>OR(ISNUMBER(SEARCH("PPP 1",G11)),ISNUMBER(SEARCH("PPP 2",G11)))</formula>
    </cfRule>
    <cfRule type="expression" dxfId="2764" priority="135">
      <formula>ISNUMBER(SEARCH("FORM",G11))</formula>
    </cfRule>
    <cfRule type="expression" dxfId="2763" priority="136">
      <formula>ISNUMBER(SEARCH("ASA",G11))</formula>
    </cfRule>
    <cfRule type="expression" dxfId="2762" priority="137">
      <formula>OR(ISNUMBER(SEARCH("ATM",G11)),ISNUMBER(SEARCH("ATA",G11)))</formula>
    </cfRule>
    <cfRule type="expression" dxfId="2761" priority="138">
      <formula>ISNUMBER(SEARCH("TP",G11))</formula>
    </cfRule>
    <cfRule type="expression" dxfId="2760" priority="139">
      <formula>ISNUMBER(SEARCH("CSE",G11))</formula>
    </cfRule>
    <cfRule type="expression" dxfId="2759" priority="140">
      <formula>OR(ISNUMBER(SEARCH("CA",G11)),ISNUMBER(SEARCH("RC",G11)))</formula>
    </cfRule>
    <cfRule type="expression" dxfId="2758" priority="141">
      <formula>OR(ISNUMBER(SEARCH("PPP 1",G11)),ISNUMBER(SEARCH("PPP 2",G11)))</formula>
    </cfRule>
    <cfRule type="expression" dxfId="2757" priority="142">
      <formula>ISNUMBER(SEARCH("FORM",G11))</formula>
    </cfRule>
    <cfRule type="expression" dxfId="2756" priority="143">
      <formula>ISNUMBER(SEARCH("ASA",G11))</formula>
    </cfRule>
    <cfRule type="expression" dxfId="2755" priority="144">
      <formula>OR(ISNUMBER(SEARCH("ATM",G11)),ISNUMBER(SEARCH("ATA",G11)))</formula>
    </cfRule>
    <cfRule type="expression" dxfId="2754" priority="145">
      <formula>ISNUMBER(SEARCH("TP",G11))</formula>
    </cfRule>
    <cfRule type="expression" dxfId="2753" priority="146">
      <formula>ISNUMBER(SEARCH("CSE",G11))</formula>
    </cfRule>
    <cfRule type="expression" dxfId="2752" priority="147">
      <formula>OR(ISNUMBER(SEARCH("CA",G11)),ISNUMBER(SEARCH("RC",G11)))</formula>
    </cfRule>
  </conditionalFormatting>
  <conditionalFormatting sqref="G22:K22">
    <cfRule type="expression" dxfId="2751" priority="55">
      <formula>ISNUMBER(SEARCH("JOK",G22))</formula>
    </cfRule>
    <cfRule type="expression" dxfId="2750" priority="56">
      <formula>OR(ISNUMBER(SEARCH("PPP 1",G22)),ISNUMBER(SEARCH("PPP 2",G22)))</formula>
    </cfRule>
    <cfRule type="expression" dxfId="2749" priority="57">
      <formula>ISNUMBER(SEARCH("FORM",G22))</formula>
    </cfRule>
    <cfRule type="expression" dxfId="2748" priority="58">
      <formula>ISNUMBER(SEARCH("ASA",G22))</formula>
    </cfRule>
    <cfRule type="expression" dxfId="2747" priority="59">
      <formula>OR(ISNUMBER(SEARCH("ATM",G22)),ISNUMBER(SEARCH("ATA",G22)))</formula>
    </cfRule>
    <cfRule type="expression" dxfId="2746" priority="60">
      <formula>ISNUMBER(SEARCH("TP",G22))</formula>
    </cfRule>
    <cfRule type="expression" dxfId="2745" priority="61">
      <formula>ISNUMBER(SEARCH("CSE",G22))</formula>
    </cfRule>
    <cfRule type="expression" dxfId="2744" priority="62">
      <formula>OR(ISNUMBER(SEARCH("CA",G22)),ISNUMBER(SEARCH("RC",G22)))</formula>
    </cfRule>
    <cfRule type="expression" dxfId="2743" priority="63">
      <formula>ISNUMBER(SEARCH("JOK",G22))</formula>
    </cfRule>
    <cfRule type="expression" dxfId="2742" priority="64">
      <formula>OR(ISNUMBER(SEARCH("PPP 1",G22)),ISNUMBER(SEARCH("PPP 2",G22)))</formula>
    </cfRule>
    <cfRule type="expression" dxfId="2741" priority="65">
      <formula>ISNUMBER(SEARCH("FORM",G22))</formula>
    </cfRule>
    <cfRule type="expression" dxfId="2740" priority="66">
      <formula>ISNUMBER(SEARCH("ASA",G22))</formula>
    </cfRule>
    <cfRule type="expression" dxfId="2739" priority="67">
      <formula>OR(ISNUMBER(SEARCH("ATM",G22)),ISNUMBER(SEARCH("ATA",G22)))</formula>
    </cfRule>
    <cfRule type="expression" dxfId="2738" priority="68">
      <formula>ISNUMBER(SEARCH("TP",G22))</formula>
    </cfRule>
    <cfRule type="expression" dxfId="2737" priority="69">
      <formula>ISNUMBER(SEARCH("CSE",G22))</formula>
    </cfRule>
    <cfRule type="expression" dxfId="2736" priority="70">
      <formula>OR(ISNUMBER(SEARCH("CA",G22)),ISNUMBER(SEARCH("RC",G22)))</formula>
    </cfRule>
    <cfRule type="expression" dxfId="2735" priority="71">
      <formula>OR(ISNUMBER(SEARCH("PPP 1",G22)),ISNUMBER(SEARCH("PPP 2",G22)))</formula>
    </cfRule>
    <cfRule type="expression" dxfId="2734" priority="72">
      <formula>ISNUMBER(SEARCH("FORM",G22))</formula>
    </cfRule>
    <cfRule type="expression" dxfId="2733" priority="73">
      <formula>ISNUMBER(SEARCH("ASA",G22))</formula>
    </cfRule>
    <cfRule type="expression" dxfId="2732" priority="74">
      <formula>OR(ISNUMBER(SEARCH("ATM",G22)),ISNUMBER(SEARCH("ATA",G22)))</formula>
    </cfRule>
    <cfRule type="expression" dxfId="2731" priority="75">
      <formula>ISNUMBER(SEARCH("TP",G22))</formula>
    </cfRule>
    <cfRule type="expression" dxfId="2730" priority="76">
      <formula>ISNUMBER(SEARCH("CSE",G22))</formula>
    </cfRule>
    <cfRule type="expression" dxfId="2729" priority="77">
      <formula>OR(ISNUMBER(SEARCH("CA",G22)),ISNUMBER(SEARCH("RC",G22)))</formula>
    </cfRule>
  </conditionalFormatting>
  <conditionalFormatting sqref="G25:K27">
    <cfRule type="expression" dxfId="2728" priority="404">
      <formula>OR(ISNUMBER(SEARCH("PPP 1",G25)),ISNUMBER(SEARCH("PPP 2",G25)))</formula>
    </cfRule>
    <cfRule type="expression" dxfId="2727" priority="405">
      <formula>ISNUMBER(SEARCH("FORM",G25))</formula>
    </cfRule>
    <cfRule type="expression" dxfId="2726" priority="406">
      <formula>ISNUMBER(SEARCH("ASA",G25))</formula>
    </cfRule>
    <cfRule type="expression" dxfId="2725" priority="407">
      <formula>OR(ISNUMBER(SEARCH("ATM",G25)),ISNUMBER(SEARCH("ATA",G25)))</formula>
    </cfRule>
    <cfRule type="expression" dxfId="2724" priority="408">
      <formula>ISNUMBER(SEARCH("TP",G25))</formula>
    </cfRule>
    <cfRule type="expression" dxfId="2723" priority="409">
      <formula>ISNUMBER(SEARCH("CSE",G25))</formula>
    </cfRule>
    <cfRule type="expression" dxfId="2722" priority="410">
      <formula>OR(ISNUMBER(SEARCH("CA",G25)),ISNUMBER(SEARCH("RC",G25)))</formula>
    </cfRule>
  </conditionalFormatting>
  <conditionalFormatting sqref="G11:R11">
    <cfRule type="expression" dxfId="2721" priority="148">
      <formula>ISNUMBER(SEARCH("JOK",G11))</formula>
    </cfRule>
  </conditionalFormatting>
  <conditionalFormatting sqref="G4:AH31">
    <cfRule type="expression" dxfId="2720" priority="102">
      <formula>ISNUMBER(SEARCH("CA/RC ?",G4))</formula>
    </cfRule>
  </conditionalFormatting>
  <conditionalFormatting sqref="G29:AH31 S25:T31 Z25:AA31 AG25:AH31">
    <cfRule type="expression" dxfId="2719" priority="340">
      <formula>OR(ISNUMBER(SEARCH("PPP 1",G25)),ISNUMBER(SEARCH("PPP 2",G25)))</formula>
    </cfRule>
  </conditionalFormatting>
  <conditionalFormatting sqref="G40:AH40">
    <cfRule type="iconSet" priority="240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K14">
    <cfRule type="expression" dxfId="2718" priority="103">
      <formula>ISNUMBER(SEARCH("JOK",K14))</formula>
    </cfRule>
    <cfRule type="expression" dxfId="2717" priority="104">
      <formula>OR(ISNUMBER(SEARCH("PPP 1",K14)),ISNUMBER(SEARCH("PPP 2",K14)))</formula>
    </cfRule>
    <cfRule type="expression" dxfId="2716" priority="105">
      <formula>ISNUMBER(SEARCH("FORM",K14))</formula>
    </cfRule>
    <cfRule type="expression" dxfId="2715" priority="106">
      <formula>ISNUMBER(SEARCH("ASA",K14))</formula>
    </cfRule>
    <cfRule type="expression" dxfId="2714" priority="107">
      <formula>OR(ISNUMBER(SEARCH("ATM",K14)),ISNUMBER(SEARCH("ATA",K14)))</formula>
    </cfRule>
    <cfRule type="expression" dxfId="2713" priority="108">
      <formula>ISNUMBER(SEARCH("TP",K14))</formula>
    </cfRule>
    <cfRule type="expression" dxfId="2712" priority="109">
      <formula>ISNUMBER(SEARCH("CSE",K14))</formula>
    </cfRule>
    <cfRule type="expression" dxfId="2711" priority="110">
      <formula>OR(ISNUMBER(SEARCH("CA",K14)),ISNUMBER(SEARCH("RC",K14)))</formula>
    </cfRule>
    <cfRule type="expression" dxfId="2710" priority="111">
      <formula>OR(ISNUMBER(SEARCH("PPP 1",K14)),ISNUMBER(SEARCH("PPP 2",K14)))</formula>
    </cfRule>
    <cfRule type="expression" dxfId="2709" priority="112">
      <formula>ISNUMBER(SEARCH("FORM",K14))</formula>
    </cfRule>
    <cfRule type="expression" dxfId="2708" priority="113">
      <formula>ISNUMBER(SEARCH("ASA",K14))</formula>
    </cfRule>
    <cfRule type="expression" dxfId="2707" priority="114">
      <formula>OR(ISNUMBER(SEARCH("ATM",K14)),ISNUMBER(SEARCH("ATA",K14)))</formula>
    </cfRule>
    <cfRule type="expression" dxfId="2706" priority="115">
      <formula>ISNUMBER(SEARCH("TP",K14))</formula>
    </cfRule>
    <cfRule type="expression" dxfId="2705" priority="116">
      <formula>ISNUMBER(SEARCH("CSE",K14))</formula>
    </cfRule>
    <cfRule type="expression" dxfId="2704" priority="117">
      <formula>OR(ISNUMBER(SEARCH("CA",K14)),ISNUMBER(SEARCH("RC",K14)))</formula>
    </cfRule>
  </conditionalFormatting>
  <conditionalFormatting sqref="L25 M25:M27">
    <cfRule type="expression" dxfId="2703" priority="376">
      <formula>ISNUMBER(SEARCH("FORM",L25))</formula>
    </cfRule>
    <cfRule type="expression" dxfId="2702" priority="377">
      <formula>ISNUMBER(SEARCH("ASA",L25))</formula>
    </cfRule>
    <cfRule type="expression" dxfId="2701" priority="378">
      <formula>OR(ISNUMBER(SEARCH("ATM",L25)),ISNUMBER(SEARCH("ATA",L25)))</formula>
    </cfRule>
    <cfRule type="expression" dxfId="2700" priority="379">
      <formula>ISNUMBER(SEARCH("TP",L25))</formula>
    </cfRule>
    <cfRule type="expression" dxfId="2699" priority="380">
      <formula>ISNUMBER(SEARCH("CSE",L25))</formula>
    </cfRule>
    <cfRule type="expression" dxfId="2698" priority="381">
      <formula>OR(ISNUMBER(SEARCH("CA",L25)),ISNUMBER(SEARCH("RC",L25)))</formula>
    </cfRule>
  </conditionalFormatting>
  <conditionalFormatting sqref="L29:M31">
    <cfRule type="expression" dxfId="2697" priority="332">
      <formula>OR(ISNUMBER(SEARCH("PPP 1",L29)),ISNUMBER(SEARCH("PPP 2",L29)))</formula>
    </cfRule>
    <cfRule type="expression" dxfId="2696" priority="333">
      <formula>ISNUMBER(SEARCH("FORM",L29))</formula>
    </cfRule>
    <cfRule type="expression" dxfId="2695" priority="334">
      <formula>ISNUMBER(SEARCH("ASA",L29))</formula>
    </cfRule>
    <cfRule type="expression" dxfId="2694" priority="335">
      <formula>OR(ISNUMBER(SEARCH("ATM",L29)),ISNUMBER(SEARCH("ATA",L29)))</formula>
    </cfRule>
    <cfRule type="expression" dxfId="2693" priority="336">
      <formula>ISNUMBER(SEARCH("TP",L29))</formula>
    </cfRule>
    <cfRule type="expression" dxfId="2692" priority="337">
      <formula>ISNUMBER(SEARCH("CSE",L29))</formula>
    </cfRule>
    <cfRule type="expression" dxfId="2691" priority="338">
      <formula>OR(ISNUMBER(SEARCH("CA",L29)),ISNUMBER(SEARCH("RC",L29)))</formula>
    </cfRule>
  </conditionalFormatting>
  <conditionalFormatting sqref="L11:R11">
    <cfRule type="expression" dxfId="2690" priority="164">
      <formula>OR(ISNUMBER(SEARCH("PPP 1",L11)),ISNUMBER(SEARCH("PPP 2",L11)))</formula>
    </cfRule>
    <cfRule type="expression" dxfId="2689" priority="165">
      <formula>ISNUMBER(SEARCH("FORM",L11))</formula>
    </cfRule>
    <cfRule type="expression" dxfId="2688" priority="166">
      <formula>ISNUMBER(SEARCH("ASA",L11))</formula>
    </cfRule>
    <cfRule type="expression" dxfId="2687" priority="167">
      <formula>OR(ISNUMBER(SEARCH("ATM",L11)),ISNUMBER(SEARCH("ATA",L11)))</formula>
    </cfRule>
    <cfRule type="expression" dxfId="2686" priority="168">
      <formula>ISNUMBER(SEARCH("TP",L11))</formula>
    </cfRule>
    <cfRule type="expression" dxfId="2685" priority="169">
      <formula>ISNUMBER(SEARCH("CSE",L11))</formula>
    </cfRule>
    <cfRule type="expression" dxfId="2684" priority="170">
      <formula>OR(ISNUMBER(SEARCH("CA",L11)),ISNUMBER(SEARCH("RC",L11)))</formula>
    </cfRule>
  </conditionalFormatting>
  <conditionalFormatting sqref="L28:R28">
    <cfRule type="expression" dxfId="2683" priority="382">
      <formula>OR(ISNUMBER(SEARCH("PPP 1",L28)),ISNUMBER(SEARCH("PPP 2",L28)))</formula>
    </cfRule>
    <cfRule type="expression" dxfId="2682" priority="383">
      <formula>ISNUMBER(SEARCH("FORM",L28))</formula>
    </cfRule>
    <cfRule type="expression" dxfId="2681" priority="384">
      <formula>ISNUMBER(SEARCH("ASA",L28))</formula>
    </cfRule>
    <cfRule type="expression" dxfId="2680" priority="385">
      <formula>OR(ISNUMBER(SEARCH("ATM",L28)),ISNUMBER(SEARCH("ATA",L28)))</formula>
    </cfRule>
    <cfRule type="expression" dxfId="2679" priority="386">
      <formula>ISNUMBER(SEARCH("TP",L28))</formula>
    </cfRule>
    <cfRule type="expression" dxfId="2678" priority="387">
      <formula>ISNUMBER(SEARCH("CSE",L28))</formula>
    </cfRule>
    <cfRule type="expression" dxfId="2677" priority="388">
      <formula>OR(ISNUMBER(SEARCH("CA",L28)),ISNUMBER(SEARCH("RC",L28)))</formula>
    </cfRule>
  </conditionalFormatting>
  <conditionalFormatting sqref="M25:M27 L25">
    <cfRule type="expression" dxfId="2676" priority="375">
      <formula>OR(ISNUMBER(SEARCH("PPP 1",L25)),ISNUMBER(SEARCH("PPP 2",L25)))</formula>
    </cfRule>
  </conditionalFormatting>
  <conditionalFormatting sqref="M27:M31">
    <cfRule type="expression" dxfId="2675" priority="325">
      <formula>OR(ISNUMBER(SEARCH("PPP 1",M27)),ISNUMBER(SEARCH("PPP 2",M27)))</formula>
    </cfRule>
    <cfRule type="expression" dxfId="2674" priority="326">
      <formula>ISNUMBER(SEARCH("FORM",M27))</formula>
    </cfRule>
    <cfRule type="expression" dxfId="2673" priority="327">
      <formula>ISNUMBER(SEARCH("ASA",M27))</formula>
    </cfRule>
    <cfRule type="expression" dxfId="2672" priority="328">
      <formula>OR(ISNUMBER(SEARCH("ATM",M27)),ISNUMBER(SEARCH("ATA",M27)))</formula>
    </cfRule>
    <cfRule type="expression" dxfId="2671" priority="329">
      <formula>ISNUMBER(SEARCH("TP",M27))</formula>
    </cfRule>
    <cfRule type="expression" dxfId="2670" priority="330">
      <formula>ISNUMBER(SEARCH("CSE",M27))</formula>
    </cfRule>
    <cfRule type="expression" dxfId="2669" priority="331">
      <formula>OR(ISNUMBER(SEARCH("CA",M27)),ISNUMBER(SEARCH("RC",M27)))</formula>
    </cfRule>
  </conditionalFormatting>
  <conditionalFormatting sqref="M31">
    <cfRule type="expression" dxfId="2668" priority="318">
      <formula>OR(ISNUMBER(SEARCH("PPP 1",M31)),ISNUMBER(SEARCH("PPP 2",M31)))</formula>
    </cfRule>
    <cfRule type="expression" dxfId="2667" priority="319">
      <formula>ISNUMBER(SEARCH("FORM",M31))</formula>
    </cfRule>
    <cfRule type="expression" dxfId="2666" priority="320">
      <formula>ISNUMBER(SEARCH("ASA",M31))</formula>
    </cfRule>
    <cfRule type="expression" dxfId="2665" priority="321">
      <formula>OR(ISNUMBER(SEARCH("ATM",M31)),ISNUMBER(SEARCH("ATA",M31)))</formula>
    </cfRule>
    <cfRule type="expression" dxfId="2664" priority="322">
      <formula>ISNUMBER(SEARCH("TP",M31))</formula>
    </cfRule>
    <cfRule type="expression" dxfId="2663" priority="323">
      <formula>ISNUMBER(SEARCH("CSE",M31))</formula>
    </cfRule>
    <cfRule type="expression" dxfId="2662" priority="324">
      <formula>OR(ISNUMBER(SEARCH("CA",M31)),ISNUMBER(SEARCH("RC",M31)))</formula>
    </cfRule>
  </conditionalFormatting>
  <conditionalFormatting sqref="N11:R11">
    <cfRule type="expression" dxfId="2661" priority="149">
      <formula>OR(ISNUMBER(SEARCH("PPP 1",N11)),ISNUMBER(SEARCH("PPP 2",N11)))</formula>
    </cfRule>
    <cfRule type="expression" dxfId="2660" priority="150">
      <formula>ISNUMBER(SEARCH("FORM",N11))</formula>
    </cfRule>
    <cfRule type="expression" dxfId="2659" priority="151">
      <formula>ISNUMBER(SEARCH("ASA",N11))</formula>
    </cfRule>
    <cfRule type="expression" dxfId="2658" priority="152">
      <formula>OR(ISNUMBER(SEARCH("ATM",N11)),ISNUMBER(SEARCH("ATA",N11)))</formula>
    </cfRule>
    <cfRule type="expression" dxfId="2657" priority="153">
      <formula>ISNUMBER(SEARCH("TP",N11))</formula>
    </cfRule>
    <cfRule type="expression" dxfId="2656" priority="154">
      <formula>ISNUMBER(SEARCH("CSE",N11))</formula>
    </cfRule>
    <cfRule type="expression" dxfId="2655" priority="155">
      <formula>OR(ISNUMBER(SEARCH("CA",N11)),ISNUMBER(SEARCH("RC",N11)))</formula>
    </cfRule>
  </conditionalFormatting>
  <conditionalFormatting sqref="N11:AH14">
    <cfRule type="expression" dxfId="2654" priority="156">
      <formula>ISNUMBER(SEARCH("JOK",N11))</formula>
    </cfRule>
    <cfRule type="expression" dxfId="2653" priority="157">
      <formula>OR(ISNUMBER(SEARCH("PPP 1",N11)),ISNUMBER(SEARCH("PPP 2",N11)))</formula>
    </cfRule>
    <cfRule type="expression" dxfId="2652" priority="158">
      <formula>ISNUMBER(SEARCH("FORM",N11))</formula>
    </cfRule>
    <cfRule type="expression" dxfId="2651" priority="159">
      <formula>ISNUMBER(SEARCH("ASA",N11))</formula>
    </cfRule>
    <cfRule type="expression" dxfId="2650" priority="160">
      <formula>OR(ISNUMBER(SEARCH("ATM",N11)),ISNUMBER(SEARCH("ATA",N11)))</formula>
    </cfRule>
    <cfRule type="expression" dxfId="2649" priority="161">
      <formula>ISNUMBER(SEARCH("TP",N11))</formula>
    </cfRule>
    <cfRule type="expression" dxfId="2648" priority="162">
      <formula>ISNUMBER(SEARCH("CSE",N11))</formula>
    </cfRule>
    <cfRule type="expression" dxfId="2647" priority="163">
      <formula>OR(ISNUMBER(SEARCH("CA",N11)),ISNUMBER(SEARCH("RC",N11)))</formula>
    </cfRule>
  </conditionalFormatting>
  <conditionalFormatting sqref="O27">
    <cfRule type="expression" dxfId="2646" priority="354">
      <formula>OR(ISNUMBER(SEARCH("PPP 1",O27)),ISNUMBER(SEARCH("PPP 2",O27)))</formula>
    </cfRule>
    <cfRule type="expression" dxfId="2645" priority="355">
      <formula>ISNUMBER(SEARCH("FORM",O27))</formula>
    </cfRule>
    <cfRule type="expression" dxfId="2644" priority="356">
      <formula>ISNUMBER(SEARCH("ASA",O27))</formula>
    </cfRule>
    <cfRule type="expression" dxfId="2643" priority="357">
      <formula>OR(ISNUMBER(SEARCH("ATM",O27)),ISNUMBER(SEARCH("ATA",O27)))</formula>
    </cfRule>
    <cfRule type="expression" dxfId="2642" priority="358">
      <formula>ISNUMBER(SEARCH("TP",O27))</formula>
    </cfRule>
    <cfRule type="expression" dxfId="2641" priority="359">
      <formula>ISNUMBER(SEARCH("CSE",O27))</formula>
    </cfRule>
    <cfRule type="expression" dxfId="2640" priority="360">
      <formula>OR(ISNUMBER(SEARCH("CA",O27)),ISNUMBER(SEARCH("RC",O27)))</formula>
    </cfRule>
  </conditionalFormatting>
  <conditionalFormatting sqref="S25:T31 Z25:AA31 AG25:AH31 G29:AH31">
    <cfRule type="expression" dxfId="2639" priority="341">
      <formula>ISNUMBER(SEARCH("FORM",G25))</formula>
    </cfRule>
    <cfRule type="expression" dxfId="2638" priority="342">
      <formula>ISNUMBER(SEARCH("ASA",G25))</formula>
    </cfRule>
    <cfRule type="expression" dxfId="2637" priority="343">
      <formula>OR(ISNUMBER(SEARCH("ATM",G25)),ISNUMBER(SEARCH("ATA",G25)))</formula>
    </cfRule>
    <cfRule type="expression" dxfId="2636" priority="344">
      <formula>ISNUMBER(SEARCH("TP",G25))</formula>
    </cfRule>
    <cfRule type="expression" dxfId="2635" priority="345">
      <formula>ISNUMBER(SEARCH("CSE",G25))</formula>
    </cfRule>
    <cfRule type="expression" dxfId="2634" priority="346">
      <formula>OR(ISNUMBER(SEARCH("CA",G25)),ISNUMBER(SEARCH("RC",G25)))</formula>
    </cfRule>
  </conditionalFormatting>
  <conditionalFormatting sqref="S25:T31">
    <cfRule type="expression" dxfId="2633" priority="311">
      <formula>OR(ISNUMBER(SEARCH("PPP 1",S25)),ISNUMBER(SEARCH("PPP 2",S25)))</formula>
    </cfRule>
    <cfRule type="expression" dxfId="2632" priority="312">
      <formula>ISNUMBER(SEARCH("FORM",S25))</formula>
    </cfRule>
    <cfRule type="expression" dxfId="2631" priority="313">
      <formula>ISNUMBER(SEARCH("ASA",S25))</formula>
    </cfRule>
    <cfRule type="expression" dxfId="2630" priority="314">
      <formula>OR(ISNUMBER(SEARCH("ATM",S25)),ISNUMBER(SEARCH("ATA",S25)))</formula>
    </cfRule>
    <cfRule type="expression" dxfId="2629" priority="315">
      <formula>ISNUMBER(SEARCH("TP",S25))</formula>
    </cfRule>
    <cfRule type="expression" dxfId="2628" priority="316">
      <formula>ISNUMBER(SEARCH("CSE",S25))</formula>
    </cfRule>
    <cfRule type="expression" dxfId="2627" priority="317">
      <formula>OR(ISNUMBER(SEARCH("CA",S25)),ISNUMBER(SEARCH("RC",S25)))</formula>
    </cfRule>
  </conditionalFormatting>
  <conditionalFormatting sqref="T25:T31">
    <cfRule type="expression" dxfId="2626" priority="304">
      <formula>OR(ISNUMBER(SEARCH("PPP 1",T25)),ISNUMBER(SEARCH("PPP 2",T25)))</formula>
    </cfRule>
    <cfRule type="expression" dxfId="2625" priority="305">
      <formula>ISNUMBER(SEARCH("FORM",T25))</formula>
    </cfRule>
    <cfRule type="expression" dxfId="2624" priority="306">
      <formula>ISNUMBER(SEARCH("ASA",T25))</formula>
    </cfRule>
    <cfRule type="expression" dxfId="2623" priority="307">
      <formula>OR(ISNUMBER(SEARCH("ATM",T25)),ISNUMBER(SEARCH("ATA",T25)))</formula>
    </cfRule>
    <cfRule type="expression" dxfId="2622" priority="308">
      <formula>ISNUMBER(SEARCH("TP",T25))</formula>
    </cfRule>
    <cfRule type="expression" dxfId="2621" priority="309">
      <formula>ISNUMBER(SEARCH("CSE",T25))</formula>
    </cfRule>
    <cfRule type="expression" dxfId="2620" priority="310">
      <formula>OR(ISNUMBER(SEARCH("CA",T25)),ISNUMBER(SEARCH("RC",T25)))</formula>
    </cfRule>
  </conditionalFormatting>
  <conditionalFormatting sqref="T27 T30">
    <cfRule type="expression" dxfId="2619" priority="297">
      <formula>OR(ISNUMBER(SEARCH("PPP 1",T27)),ISNUMBER(SEARCH("PPP 2",T27)))</formula>
    </cfRule>
    <cfRule type="expression" dxfId="2618" priority="298">
      <formula>ISNUMBER(SEARCH("FORM",T27))</formula>
    </cfRule>
    <cfRule type="expression" dxfId="2617" priority="299">
      <formula>ISNUMBER(SEARCH("ASA",T27))</formula>
    </cfRule>
    <cfRule type="expression" dxfId="2616" priority="300">
      <formula>OR(ISNUMBER(SEARCH("ATM",T27)),ISNUMBER(SEARCH("ATA",T27)))</formula>
    </cfRule>
    <cfRule type="expression" dxfId="2615" priority="301">
      <formula>ISNUMBER(SEARCH("TP",T27))</formula>
    </cfRule>
    <cfRule type="expression" dxfId="2614" priority="302">
      <formula>ISNUMBER(SEARCH("CSE",T27))</formula>
    </cfRule>
    <cfRule type="expression" dxfId="2613" priority="303">
      <formula>OR(ISNUMBER(SEARCH("CA",T27)),ISNUMBER(SEARCH("RC",T27)))</formula>
    </cfRule>
  </conditionalFormatting>
  <conditionalFormatting sqref="U18:Y18">
    <cfRule type="expression" dxfId="2612" priority="171">
      <formula>ISNUMBER(SEARCH("JOK",U18))</formula>
    </cfRule>
    <cfRule type="expression" dxfId="2611" priority="172">
      <formula>OR(ISNUMBER(SEARCH("PPP 1",U18)),ISNUMBER(SEARCH("PPP 2",U18)))</formula>
    </cfRule>
    <cfRule type="expression" dxfId="2610" priority="173">
      <formula>ISNUMBER(SEARCH("FORM",U18))</formula>
    </cfRule>
    <cfRule type="expression" dxfId="2609" priority="174">
      <formula>ISNUMBER(SEARCH("ASA",U18))</formula>
    </cfRule>
    <cfRule type="expression" dxfId="2608" priority="175">
      <formula>OR(ISNUMBER(SEARCH("ATM",U18)),ISNUMBER(SEARCH("ATA",U18)))</formula>
    </cfRule>
    <cfRule type="expression" dxfId="2607" priority="176">
      <formula>ISNUMBER(SEARCH("TP",U18))</formula>
    </cfRule>
    <cfRule type="expression" dxfId="2606" priority="177">
      <formula>ISNUMBER(SEARCH("CSE",U18))</formula>
    </cfRule>
    <cfRule type="expression" dxfId="2605" priority="178">
      <formula>OR(ISNUMBER(SEARCH("CA",U18)),ISNUMBER(SEARCH("RC",U18)))</formula>
    </cfRule>
    <cfRule type="expression" dxfId="2604" priority="179">
      <formula>OR(ISNUMBER(SEARCH("PPP 1",U18)),ISNUMBER(SEARCH("PPP 2",U18)))</formula>
    </cfRule>
    <cfRule type="expression" dxfId="2603" priority="180">
      <formula>ISNUMBER(SEARCH("FORM",U18))</formula>
    </cfRule>
    <cfRule type="expression" dxfId="2602" priority="181">
      <formula>ISNUMBER(SEARCH("ASA",U18))</formula>
    </cfRule>
    <cfRule type="expression" dxfId="2601" priority="182">
      <formula>OR(ISNUMBER(SEARCH("ATM",U18)),ISNUMBER(SEARCH("ATA",U18)))</formula>
    </cfRule>
    <cfRule type="expression" dxfId="2600" priority="183">
      <formula>ISNUMBER(SEARCH("TP",U18))</formula>
    </cfRule>
    <cfRule type="expression" dxfId="2599" priority="184">
      <formula>ISNUMBER(SEARCH("CSE",U18))</formula>
    </cfRule>
    <cfRule type="expression" dxfId="2598" priority="185">
      <formula>OR(ISNUMBER(SEARCH("CA",U18)),ISNUMBER(SEARCH("RC",U18)))</formula>
    </cfRule>
  </conditionalFormatting>
  <conditionalFormatting sqref="Z25:AA31">
    <cfRule type="expression" dxfId="2597" priority="290">
      <formula>OR(ISNUMBER(SEARCH("PPP 1",Z25)),ISNUMBER(SEARCH("PPP 2",Z25)))</formula>
    </cfRule>
    <cfRule type="expression" dxfId="2596" priority="291">
      <formula>ISNUMBER(SEARCH("FORM",Z25))</formula>
    </cfRule>
    <cfRule type="expression" dxfId="2595" priority="292">
      <formula>ISNUMBER(SEARCH("ASA",Z25))</formula>
    </cfRule>
    <cfRule type="expression" dxfId="2594" priority="293">
      <formula>OR(ISNUMBER(SEARCH("ATM",Z25)),ISNUMBER(SEARCH("ATA",Z25)))</formula>
    </cfRule>
    <cfRule type="expression" dxfId="2593" priority="294">
      <formula>ISNUMBER(SEARCH("TP",Z25))</formula>
    </cfRule>
    <cfRule type="expression" dxfId="2592" priority="295">
      <formula>ISNUMBER(SEARCH("CSE",Z25))</formula>
    </cfRule>
    <cfRule type="expression" dxfId="2591" priority="296">
      <formula>OR(ISNUMBER(SEARCH("CA",Z25)),ISNUMBER(SEARCH("RC",Z25)))</formula>
    </cfRule>
  </conditionalFormatting>
  <conditionalFormatting sqref="Z28:AA28">
    <cfRule type="expression" dxfId="2590" priority="368">
      <formula>OR(ISNUMBER(SEARCH("PPP 1",Z28)),ISNUMBER(SEARCH("PPP 2",Z28)))</formula>
    </cfRule>
    <cfRule type="expression" dxfId="2589" priority="369">
      <formula>ISNUMBER(SEARCH("FORM",Z28))</formula>
    </cfRule>
    <cfRule type="expression" dxfId="2588" priority="370">
      <formula>ISNUMBER(SEARCH("ASA",Z28))</formula>
    </cfRule>
    <cfRule type="expression" dxfId="2587" priority="371">
      <formula>OR(ISNUMBER(SEARCH("ATM",Z28)),ISNUMBER(SEARCH("ATA",Z28)))</formula>
    </cfRule>
    <cfRule type="expression" dxfId="2586" priority="372">
      <formula>ISNUMBER(SEARCH("TP",Z28))</formula>
    </cfRule>
    <cfRule type="expression" dxfId="2585" priority="373">
      <formula>ISNUMBER(SEARCH("CSE",Z28))</formula>
    </cfRule>
    <cfRule type="expression" dxfId="2584" priority="374">
      <formula>OR(ISNUMBER(SEARCH("CA",Z28)),ISNUMBER(SEARCH("RC",Z28)))</formula>
    </cfRule>
  </conditionalFormatting>
  <conditionalFormatting sqref="Z18:AH18">
    <cfRule type="expression" dxfId="2583" priority="209">
      <formula>ISNUMBER(SEARCH("JOK",Z18))</formula>
    </cfRule>
    <cfRule type="expression" dxfId="2582" priority="210">
      <formula>OR(ISNUMBER(SEARCH("PPP 1",Z18)),ISNUMBER(SEARCH("PPP 2",Z18)))</formula>
    </cfRule>
    <cfRule type="expression" dxfId="2581" priority="211">
      <formula>ISNUMBER(SEARCH("FORM",Z18))</formula>
    </cfRule>
    <cfRule type="expression" dxfId="2580" priority="212">
      <formula>ISNUMBER(SEARCH("ASA",Z18))</formula>
    </cfRule>
    <cfRule type="expression" dxfId="2579" priority="213">
      <formula>OR(ISNUMBER(SEARCH("ATM",Z18)),ISNUMBER(SEARCH("ATA",Z18)))</formula>
    </cfRule>
    <cfRule type="expression" dxfId="2578" priority="214">
      <formula>ISNUMBER(SEARCH("TP",Z18))</formula>
    </cfRule>
    <cfRule type="expression" dxfId="2577" priority="215">
      <formula>ISNUMBER(SEARCH("CSE",Z18))</formula>
    </cfRule>
    <cfRule type="expression" dxfId="2576" priority="216">
      <formula>OR(ISNUMBER(SEARCH("CA",Z18)),ISNUMBER(SEARCH("RC",Z18)))</formula>
    </cfRule>
  </conditionalFormatting>
  <conditionalFormatting sqref="AA25:AA31">
    <cfRule type="expression" dxfId="2575" priority="283">
      <formula>OR(ISNUMBER(SEARCH("PPP 1",AA25)),ISNUMBER(SEARCH("PPP 2",AA25)))</formula>
    </cfRule>
    <cfRule type="expression" dxfId="2574" priority="284">
      <formula>ISNUMBER(SEARCH("FORM",AA25))</formula>
    </cfRule>
    <cfRule type="expression" dxfId="2573" priority="285">
      <formula>ISNUMBER(SEARCH("ASA",AA25))</formula>
    </cfRule>
    <cfRule type="expression" dxfId="2572" priority="286">
      <formula>OR(ISNUMBER(SEARCH("ATM",AA25)),ISNUMBER(SEARCH("ATA",AA25)))</formula>
    </cfRule>
    <cfRule type="expression" dxfId="2571" priority="287">
      <formula>ISNUMBER(SEARCH("TP",AA25))</formula>
    </cfRule>
    <cfRule type="expression" dxfId="2570" priority="288">
      <formula>ISNUMBER(SEARCH("CSE",AA25))</formula>
    </cfRule>
    <cfRule type="expression" dxfId="2569" priority="289">
      <formula>OR(ISNUMBER(SEARCH("CA",AA25)),ISNUMBER(SEARCH("RC",AA25)))</formula>
    </cfRule>
  </conditionalFormatting>
  <conditionalFormatting sqref="AA27 AA30">
    <cfRule type="expression" dxfId="2568" priority="276">
      <formula>OR(ISNUMBER(SEARCH("PPP 1",AA27)),ISNUMBER(SEARCH("PPP 2",AA27)))</formula>
    </cfRule>
    <cfRule type="expression" dxfId="2567" priority="277">
      <formula>ISNUMBER(SEARCH("FORM",AA27))</formula>
    </cfRule>
    <cfRule type="expression" dxfId="2566" priority="278">
      <formula>ISNUMBER(SEARCH("ASA",AA27))</formula>
    </cfRule>
    <cfRule type="expression" dxfId="2565" priority="279">
      <formula>OR(ISNUMBER(SEARCH("ATM",AA27)),ISNUMBER(SEARCH("ATA",AA27)))</formula>
    </cfRule>
    <cfRule type="expression" dxfId="2564" priority="280">
      <formula>ISNUMBER(SEARCH("TP",AA27))</formula>
    </cfRule>
    <cfRule type="expression" dxfId="2563" priority="281">
      <formula>ISNUMBER(SEARCH("CSE",AA27))</formula>
    </cfRule>
    <cfRule type="expression" dxfId="2562" priority="282">
      <formula>OR(ISNUMBER(SEARCH("CA",AA27)),ISNUMBER(SEARCH("RC",AA27)))</formula>
    </cfRule>
  </conditionalFormatting>
  <conditionalFormatting sqref="AA27:AA28">
    <cfRule type="expression" dxfId="2561" priority="361">
      <formula>OR(ISNUMBER(SEARCH("PPP 1",AA27)),ISNUMBER(SEARCH("PPP 2",AA27)))</formula>
    </cfRule>
    <cfRule type="expression" dxfId="2560" priority="362">
      <formula>ISNUMBER(SEARCH("FORM",AA27))</formula>
    </cfRule>
    <cfRule type="expression" dxfId="2559" priority="363">
      <formula>ISNUMBER(SEARCH("ASA",AA27))</formula>
    </cfRule>
    <cfRule type="expression" dxfId="2558" priority="364">
      <formula>OR(ISNUMBER(SEARCH("ATM",AA27)),ISNUMBER(SEARCH("ATA",AA27)))</formula>
    </cfRule>
    <cfRule type="expression" dxfId="2557" priority="365">
      <formula>ISNUMBER(SEARCH("TP",AA27))</formula>
    </cfRule>
    <cfRule type="expression" dxfId="2556" priority="366">
      <formula>ISNUMBER(SEARCH("CSE",AA27))</formula>
    </cfRule>
    <cfRule type="expression" dxfId="2555" priority="367">
      <formula>OR(ISNUMBER(SEARCH("CA",AA27)),ISNUMBER(SEARCH("RC",AA27)))</formula>
    </cfRule>
  </conditionalFormatting>
  <conditionalFormatting sqref="AB18">
    <cfRule type="expression" dxfId="2554" priority="194">
      <formula>ISNUMBER(SEARCH("JOK",AB18))</formula>
    </cfRule>
    <cfRule type="expression" dxfId="2553" priority="195">
      <formula>OR(ISNUMBER(SEARCH("PPP 1",AB18)),ISNUMBER(SEARCH("PPP 2",AB18)))</formula>
    </cfRule>
    <cfRule type="expression" dxfId="2552" priority="196">
      <formula>ISNUMBER(SEARCH("FORM",AB18))</formula>
    </cfRule>
    <cfRule type="expression" dxfId="2551" priority="197">
      <formula>ISNUMBER(SEARCH("ASA",AB18))</formula>
    </cfRule>
    <cfRule type="expression" dxfId="2550" priority="198">
      <formula>OR(ISNUMBER(SEARCH("ATM",AB18)),ISNUMBER(SEARCH("ATA",AB18)))</formula>
    </cfRule>
    <cfRule type="expression" dxfId="2549" priority="199">
      <formula>ISNUMBER(SEARCH("TP",AB18))</formula>
    </cfRule>
    <cfRule type="expression" dxfId="2548" priority="200">
      <formula>ISNUMBER(SEARCH("CSE",AB18))</formula>
    </cfRule>
    <cfRule type="expression" dxfId="2547" priority="201">
      <formula>OR(ISNUMBER(SEARCH("CA",AB18)),ISNUMBER(SEARCH("RC",AB18)))</formula>
    </cfRule>
    <cfRule type="expression" dxfId="2546" priority="202">
      <formula>OR(ISNUMBER(SEARCH("PPP 1",AB18)),ISNUMBER(SEARCH("PPP 2",AB18)))</formula>
    </cfRule>
    <cfRule type="expression" dxfId="2545" priority="203">
      <formula>ISNUMBER(SEARCH("FORM",AB18))</formula>
    </cfRule>
    <cfRule type="expression" dxfId="2544" priority="204">
      <formula>ISNUMBER(SEARCH("ASA",AB18))</formula>
    </cfRule>
    <cfRule type="expression" dxfId="2543" priority="205">
      <formula>OR(ISNUMBER(SEARCH("ATM",AB18)),ISNUMBER(SEARCH("ATA",AB18)))</formula>
    </cfRule>
    <cfRule type="expression" dxfId="2542" priority="206">
      <formula>ISNUMBER(SEARCH("TP",AB18))</formula>
    </cfRule>
    <cfRule type="expression" dxfId="2541" priority="207">
      <formula>ISNUMBER(SEARCH("CSE",AB18))</formula>
    </cfRule>
    <cfRule type="expression" dxfId="2540" priority="208">
      <formula>OR(ISNUMBER(SEARCH("CA",AB18)),ISNUMBER(SEARCH("RC",AB18)))</formula>
    </cfRule>
  </conditionalFormatting>
  <conditionalFormatting sqref="AB25:AC25 AD25:AF27">
    <cfRule type="expression" dxfId="2539" priority="397">
      <formula>OR(ISNUMBER(SEARCH("PPP 1",AB25)),ISNUMBER(SEARCH("PPP 2",AB25)))</formula>
    </cfRule>
    <cfRule type="expression" dxfId="2538" priority="398">
      <formula>ISNUMBER(SEARCH("FORM",AB25))</formula>
    </cfRule>
    <cfRule type="expression" dxfId="2537" priority="399">
      <formula>ISNUMBER(SEARCH("ASA",AB25))</formula>
    </cfRule>
    <cfRule type="expression" dxfId="2536" priority="400">
      <formula>OR(ISNUMBER(SEARCH("ATM",AB25)),ISNUMBER(SEARCH("ATA",AB25)))</formula>
    </cfRule>
    <cfRule type="expression" dxfId="2535" priority="401">
      <formula>ISNUMBER(SEARCH("TP",AB25))</formula>
    </cfRule>
    <cfRule type="expression" dxfId="2534" priority="402">
      <formula>ISNUMBER(SEARCH("CSE",AB25))</formula>
    </cfRule>
    <cfRule type="expression" dxfId="2533" priority="403">
      <formula>OR(ISNUMBER(SEARCH("CA",AB25)),ISNUMBER(SEARCH("RC",AB25)))</formula>
    </cfRule>
  </conditionalFormatting>
  <conditionalFormatting sqref="AB25:AC27">
    <cfRule type="expression" dxfId="2532" priority="347">
      <formula>OR(ISNUMBER(SEARCH("PPP 1",AB25)),ISNUMBER(SEARCH("PPP 2",AB25)))</formula>
    </cfRule>
    <cfRule type="expression" dxfId="2531" priority="348">
      <formula>ISNUMBER(SEARCH("FORM",AB25))</formula>
    </cfRule>
    <cfRule type="expression" dxfId="2530" priority="349">
      <formula>ISNUMBER(SEARCH("ASA",AB25))</formula>
    </cfRule>
    <cfRule type="expression" dxfId="2529" priority="350">
      <formula>OR(ISNUMBER(SEARCH("ATM",AB25)),ISNUMBER(SEARCH("ATA",AB25)))</formula>
    </cfRule>
    <cfRule type="expression" dxfId="2528" priority="351">
      <formula>ISNUMBER(SEARCH("TP",AB25))</formula>
    </cfRule>
    <cfRule type="expression" dxfId="2527" priority="352">
      <formula>ISNUMBER(SEARCH("CSE",AB25))</formula>
    </cfRule>
    <cfRule type="expression" dxfId="2526" priority="353">
      <formula>OR(ISNUMBER(SEARCH("CA",AB25)),ISNUMBER(SEARCH("RC",AB25)))</formula>
    </cfRule>
  </conditionalFormatting>
  <conditionalFormatting sqref="AB28:AC28">
    <cfRule type="expression" dxfId="2525" priority="411">
      <formula>OR(ISNUMBER(SEARCH("PPP 1",AB28)),ISNUMBER(SEARCH("PPP 2",AB28)))</formula>
    </cfRule>
    <cfRule type="expression" dxfId="2524" priority="412">
      <formula>ISNUMBER(SEARCH("ASA",AB28))</formula>
    </cfRule>
    <cfRule type="expression" dxfId="2523" priority="413">
      <formula>OR(ISNUMBER(SEARCH("ATM",AB28)),ISNUMBER(SEARCH("ATA",AB28)))</formula>
    </cfRule>
    <cfRule type="expression" dxfId="2522" priority="414">
      <formula>ISNUMBER(SEARCH("TP",AB28))</formula>
    </cfRule>
    <cfRule type="expression" dxfId="2521" priority="415">
      <formula>ISNUMBER(SEARCH("CSE",AB28))</formula>
    </cfRule>
    <cfRule type="expression" dxfId="2520" priority="416">
      <formula>OR(ISNUMBER(SEARCH("CA",AB28)),ISNUMBER(SEARCH("RC",AB28)))</formula>
    </cfRule>
  </conditionalFormatting>
  <conditionalFormatting sqref="AB12:AF12">
    <cfRule type="expression" dxfId="2519" priority="32">
      <formula>ISNUMBER(SEARCH("JOK",AB12))</formula>
    </cfRule>
    <cfRule type="expression" dxfId="2518" priority="33">
      <formula>OR(ISNUMBER(SEARCH("PPP 1",AB12)),ISNUMBER(SEARCH("PPP 2",AB12)))</formula>
    </cfRule>
    <cfRule type="expression" dxfId="2517" priority="34">
      <formula>ISNUMBER(SEARCH("FORM",AB12))</formula>
    </cfRule>
    <cfRule type="expression" dxfId="2516" priority="35">
      <formula>ISNUMBER(SEARCH("ASA",AB12))</formula>
    </cfRule>
    <cfRule type="expression" dxfId="2515" priority="36">
      <formula>OR(ISNUMBER(SEARCH("ATM",AB12)),ISNUMBER(SEARCH("ATA",AB12)))</formula>
    </cfRule>
    <cfRule type="expression" dxfId="2514" priority="37">
      <formula>ISNUMBER(SEARCH("TP",AB12))</formula>
    </cfRule>
    <cfRule type="expression" dxfId="2513" priority="38">
      <formula>OR(ISNUMBER(SEARCH("CSE",F8)),ISNUMBER(SEARCH("RPX",F8)))</formula>
    </cfRule>
    <cfRule type="expression" dxfId="2512" priority="39">
      <formula>OR(ISNUMBER(SEARCH("CA",AB12)),ISNUMBER(SEARCH("RC",AB12)))</formula>
    </cfRule>
    <cfRule type="expression" dxfId="2511" priority="40">
      <formula>ISNUMBER(SEARCH("JOK",AB12))</formula>
    </cfRule>
    <cfRule type="expression" dxfId="2510" priority="41">
      <formula>OR(ISNUMBER(SEARCH("PPP 1",AB12)),ISNUMBER(SEARCH("PPP 2",AB12)))</formula>
    </cfRule>
    <cfRule type="expression" dxfId="2509" priority="42">
      <formula>ISNUMBER(SEARCH("FORM",AB12))</formula>
    </cfRule>
    <cfRule type="expression" dxfId="2508" priority="43">
      <formula>ISNUMBER(SEARCH("ASA",AB12))</formula>
    </cfRule>
    <cfRule type="expression" dxfId="2507" priority="44">
      <formula>OR(ISNUMBER(SEARCH("ATM",AB12)),ISNUMBER(SEARCH("ATA",AB12)))</formula>
    </cfRule>
    <cfRule type="expression" dxfId="2506" priority="45">
      <formula>ISNUMBER(SEARCH("TP",AB12))</formula>
    </cfRule>
    <cfRule type="expression" dxfId="2505" priority="46">
      <formula>ISNUMBER(SEARCH("CSE",AB12))</formula>
    </cfRule>
    <cfRule type="expression" dxfId="2504" priority="47">
      <formula>OR(ISNUMBER(SEARCH("CA",AB12)),ISNUMBER(SEARCH("RC",AB12)))</formula>
    </cfRule>
    <cfRule type="expression" dxfId="2503" priority="48">
      <formula>OR(ISNUMBER(SEARCH("PPP 1",AB12)),ISNUMBER(SEARCH("PPP 2",AB12)))</formula>
    </cfRule>
    <cfRule type="expression" dxfId="2502" priority="49">
      <formula>ISNUMBER(SEARCH("FORM",AB12))</formula>
    </cfRule>
    <cfRule type="expression" dxfId="2501" priority="50">
      <formula>ISNUMBER(SEARCH("ASA",AB12))</formula>
    </cfRule>
    <cfRule type="expression" dxfId="2500" priority="51">
      <formula>OR(ISNUMBER(SEARCH("ATM",AB12)),ISNUMBER(SEARCH("ATA",AB12)))</formula>
    </cfRule>
    <cfRule type="expression" dxfId="2499" priority="52">
      <formula>ISNUMBER(SEARCH("TP",AB12))</formula>
    </cfRule>
    <cfRule type="expression" dxfId="2498" priority="53">
      <formula>ISNUMBER(SEARCH("CSE",AB12))</formula>
    </cfRule>
    <cfRule type="expression" dxfId="2497" priority="54">
      <formula>OR(ISNUMBER(SEARCH("CA",AB12)),ISNUMBER(SEARCH("RC",AB12)))</formula>
    </cfRule>
  </conditionalFormatting>
  <conditionalFormatting sqref="AC25">
    <cfRule type="expression" dxfId="2496" priority="2">
      <formula>OR(ISNUMBER(SEARCH("PPP 1",AC25)),ISNUMBER(SEARCH("PPP 2",AC25)))</formula>
    </cfRule>
    <cfRule type="expression" dxfId="2495" priority="3">
      <formula>ISNUMBER(SEARCH("FORM",AC25))</formula>
    </cfRule>
    <cfRule type="expression" dxfId="2494" priority="4">
      <formula>ISNUMBER(SEARCH("ASA",AC25))</formula>
    </cfRule>
    <cfRule type="expression" dxfId="2493" priority="5">
      <formula>OR(ISNUMBER(SEARCH("ATM",AC25)),ISNUMBER(SEARCH("ATA",AC25)))</formula>
    </cfRule>
    <cfRule type="expression" dxfId="2492" priority="6">
      <formula>ISNUMBER(SEARCH("TP",AC25))</formula>
    </cfRule>
    <cfRule type="expression" dxfId="2491" priority="7">
      <formula>ISNUMBER(SEARCH("CSE",AC25))</formula>
    </cfRule>
    <cfRule type="expression" dxfId="2490" priority="8">
      <formula>OR(ISNUMBER(SEARCH("CA",AC25)),ISNUMBER(SEARCH("RC",AC25)))</formula>
    </cfRule>
  </conditionalFormatting>
  <conditionalFormatting sqref="AD23">
    <cfRule type="expression" dxfId="2489" priority="217">
      <formula>ISNUMBER(SEARCH("JOK",AD23))</formula>
    </cfRule>
    <cfRule type="expression" dxfId="2488" priority="218">
      <formula>OR(ISNUMBER(SEARCH("PPP 1",AD23)),ISNUMBER(SEARCH("PPP 2",AD23)))</formula>
    </cfRule>
    <cfRule type="expression" dxfId="2487" priority="219">
      <formula>ISNUMBER(SEARCH("FORM",AD23))</formula>
    </cfRule>
    <cfRule type="expression" dxfId="2486" priority="220">
      <formula>ISNUMBER(SEARCH("ASA",AD23))</formula>
    </cfRule>
    <cfRule type="expression" dxfId="2485" priority="221">
      <formula>OR(ISNUMBER(SEARCH("ATM",AD23)),ISNUMBER(SEARCH("ATA",AD23)))</formula>
    </cfRule>
    <cfRule type="expression" dxfId="2484" priority="222">
      <formula>ISNUMBER(SEARCH("TP",AD23))</formula>
    </cfRule>
    <cfRule type="expression" dxfId="2483" priority="223">
      <formula>ISNUMBER(SEARCH("CSE",AD23))</formula>
    </cfRule>
    <cfRule type="expression" dxfId="2482" priority="224">
      <formula>OR(ISNUMBER(SEARCH("CA",AD23)),ISNUMBER(SEARCH("RC",AD23)))</formula>
    </cfRule>
    <cfRule type="expression" dxfId="2481" priority="225">
      <formula>OR(ISNUMBER(SEARCH("PPP 1",AD23)),ISNUMBER(SEARCH("PPP 2",AD23)))</formula>
    </cfRule>
    <cfRule type="expression" dxfId="2480" priority="226">
      <formula>ISNUMBER(SEARCH("FORM",AD23))</formula>
    </cfRule>
    <cfRule type="expression" dxfId="2479" priority="227">
      <formula>ISNUMBER(SEARCH("ASA",AD23))</formula>
    </cfRule>
    <cfRule type="expression" dxfId="2478" priority="228">
      <formula>OR(ISNUMBER(SEARCH("ATM",AD23)),ISNUMBER(SEARCH("ATA",AD23)))</formula>
    </cfRule>
    <cfRule type="expression" dxfId="2477" priority="229">
      <formula>ISNUMBER(SEARCH("TP",AD23))</formula>
    </cfRule>
    <cfRule type="expression" dxfId="2476" priority="230">
      <formula>ISNUMBER(SEARCH("CSE",AD23))</formula>
    </cfRule>
    <cfRule type="expression" dxfId="2475" priority="231">
      <formula>OR(ISNUMBER(SEARCH("CA",AD23)),ISNUMBER(SEARCH("RC",AD23)))</formula>
    </cfRule>
  </conditionalFormatting>
  <conditionalFormatting sqref="AF19">
    <cfRule type="expression" dxfId="2474" priority="78">
      <formula>ISNUMBER(SEARCH("JOK",AF19))</formula>
    </cfRule>
    <cfRule type="expression" dxfId="2473" priority="79">
      <formula>OR(ISNUMBER(SEARCH("PPP 1",AF19)),ISNUMBER(SEARCH("PPP 2",AF19)))</formula>
    </cfRule>
    <cfRule type="expression" dxfId="2472" priority="80">
      <formula>ISNUMBER(SEARCH("FORM",AF19))</formula>
    </cfRule>
    <cfRule type="expression" dxfId="2471" priority="81">
      <formula>ISNUMBER(SEARCH("ASA",AF19))</formula>
    </cfRule>
    <cfRule type="expression" dxfId="2470" priority="82">
      <formula>OR(ISNUMBER(SEARCH("ATM",AF19)),ISNUMBER(SEARCH("ATA",AF19)))</formula>
    </cfRule>
    <cfRule type="expression" dxfId="2469" priority="83">
      <formula>ISNUMBER(SEARCH("TP",AF19))</formula>
    </cfRule>
    <cfRule type="expression" dxfId="2468" priority="84">
      <formula>ISNUMBER(SEARCH("CSE",AF19))</formula>
    </cfRule>
    <cfRule type="expression" dxfId="2467" priority="85">
      <formula>OR(ISNUMBER(SEARCH("CA",AF19)),ISNUMBER(SEARCH("RC",AF19)))</formula>
    </cfRule>
    <cfRule type="expression" dxfId="2466" priority="86">
      <formula>ISNUMBER(SEARCH("JOK",AF19))</formula>
    </cfRule>
    <cfRule type="expression" dxfId="2465" priority="87">
      <formula>OR(ISNUMBER(SEARCH("PPP 1",AF19)),ISNUMBER(SEARCH("PPP 2",AF19)))</formula>
    </cfRule>
    <cfRule type="expression" dxfId="2464" priority="88">
      <formula>ISNUMBER(SEARCH("FORM",AF19))</formula>
    </cfRule>
    <cfRule type="expression" dxfId="2463" priority="89">
      <formula>ISNUMBER(SEARCH("ASA",AF19))</formula>
    </cfRule>
    <cfRule type="expression" dxfId="2462" priority="90">
      <formula>OR(ISNUMBER(SEARCH("ATM",AF19)),ISNUMBER(SEARCH("ATA",AF19)))</formula>
    </cfRule>
    <cfRule type="expression" dxfId="2461" priority="91">
      <formula>ISNUMBER(SEARCH("TP",AF19))</formula>
    </cfRule>
    <cfRule type="expression" dxfId="2460" priority="92">
      <formula>ISNUMBER(SEARCH("CSE",AF19))</formula>
    </cfRule>
    <cfRule type="expression" dxfId="2459" priority="93">
      <formula>OR(ISNUMBER(SEARCH("CA",AF19)),ISNUMBER(SEARCH("RC",AF19)))</formula>
    </cfRule>
    <cfRule type="expression" dxfId="2458" priority="94">
      <formula>OR(ISNUMBER(SEARCH("PPP 1",AF19)),ISNUMBER(SEARCH("PPP 2",AF19)))</formula>
    </cfRule>
    <cfRule type="expression" dxfId="2457" priority="95">
      <formula>ISNUMBER(SEARCH("FORM",AF19))</formula>
    </cfRule>
    <cfRule type="expression" dxfId="2456" priority="96">
      <formula>ISNUMBER(SEARCH("ASA",AF19))</formula>
    </cfRule>
    <cfRule type="expression" dxfId="2455" priority="97">
      <formula>OR(ISNUMBER(SEARCH("ATM",AF19)),ISNUMBER(SEARCH("ATA",AF19)))</formula>
    </cfRule>
    <cfRule type="expression" dxfId="2454" priority="98">
      <formula>ISNUMBER(SEARCH("TP",AF19))</formula>
    </cfRule>
    <cfRule type="expression" dxfId="2453" priority="99">
      <formula>ISNUMBER(SEARCH("CSE",AF19))</formula>
    </cfRule>
    <cfRule type="expression" dxfId="2452" priority="100">
      <formula>OR(ISNUMBER(SEARCH("CA",AF19)),ISNUMBER(SEARCH("RC",AF19)))</formula>
    </cfRule>
  </conditionalFormatting>
  <conditionalFormatting sqref="AG25:AH31">
    <cfRule type="expression" dxfId="2451" priority="255">
      <formula>OR(ISNUMBER(SEARCH("PPP 1",AG25)),ISNUMBER(SEARCH("PPP 2",AG25)))</formula>
    </cfRule>
    <cfRule type="expression" dxfId="2450" priority="256">
      <formula>ISNUMBER(SEARCH("FORM",AG25))</formula>
    </cfRule>
    <cfRule type="expression" dxfId="2449" priority="257">
      <formula>ISNUMBER(SEARCH("ASA",AG25))</formula>
    </cfRule>
    <cfRule type="expression" dxfId="2448" priority="258">
      <formula>OR(ISNUMBER(SEARCH("ATM",AG25)),ISNUMBER(SEARCH("ATA",AG25)))</formula>
    </cfRule>
    <cfRule type="expression" dxfId="2447" priority="259">
      <formula>ISNUMBER(SEARCH("TP",AG25))</formula>
    </cfRule>
    <cfRule type="expression" dxfId="2446" priority="260">
      <formula>ISNUMBER(SEARCH("CSE",AG25))</formula>
    </cfRule>
    <cfRule type="expression" dxfId="2445" priority="261">
      <formula>OR(ISNUMBER(SEARCH("CA",AG25)),ISNUMBER(SEARCH("RC",AG25)))</formula>
    </cfRule>
  </conditionalFormatting>
  <conditionalFormatting sqref="AG28:AH28">
    <cfRule type="expression" dxfId="2444" priority="269">
      <formula>OR(ISNUMBER(SEARCH("PPP 1",AG28)),ISNUMBER(SEARCH("PPP 2",AG28)))</formula>
    </cfRule>
    <cfRule type="expression" dxfId="2443" priority="270">
      <formula>ISNUMBER(SEARCH("FORM",AG28))</formula>
    </cfRule>
    <cfRule type="expression" dxfId="2442" priority="271">
      <formula>ISNUMBER(SEARCH("ASA",AG28))</formula>
    </cfRule>
    <cfRule type="expression" dxfId="2441" priority="272">
      <formula>OR(ISNUMBER(SEARCH("ATM",AG28)),ISNUMBER(SEARCH("ATA",AG28)))</formula>
    </cfRule>
    <cfRule type="expression" dxfId="2440" priority="273">
      <formula>ISNUMBER(SEARCH("TP",AG28))</formula>
    </cfRule>
    <cfRule type="expression" dxfId="2439" priority="274">
      <formula>ISNUMBER(SEARCH("CSE",AG28))</formula>
    </cfRule>
    <cfRule type="expression" dxfId="2438" priority="275">
      <formula>OR(ISNUMBER(SEARCH("CA",AG28)),ISNUMBER(SEARCH("RC",AG28)))</formula>
    </cfRule>
  </conditionalFormatting>
  <conditionalFormatting sqref="AH25:AH31">
    <cfRule type="expression" dxfId="2437" priority="248">
      <formula>OR(ISNUMBER(SEARCH("PPP 1",AH25)),ISNUMBER(SEARCH("PPP 2",AH25)))</formula>
    </cfRule>
    <cfRule type="expression" dxfId="2436" priority="249">
      <formula>ISNUMBER(SEARCH("FORM",AH25))</formula>
    </cfRule>
    <cfRule type="expression" dxfId="2435" priority="250">
      <formula>ISNUMBER(SEARCH("ASA",AH25))</formula>
    </cfRule>
    <cfRule type="expression" dxfId="2434" priority="251">
      <formula>OR(ISNUMBER(SEARCH("ATM",AH25)),ISNUMBER(SEARCH("ATA",AH25)))</formula>
    </cfRule>
    <cfRule type="expression" dxfId="2433" priority="252">
      <formula>ISNUMBER(SEARCH("TP",AH25))</formula>
    </cfRule>
    <cfRule type="expression" dxfId="2432" priority="253">
      <formula>ISNUMBER(SEARCH("CSE",AH25))</formula>
    </cfRule>
    <cfRule type="expression" dxfId="2431" priority="254">
      <formula>OR(ISNUMBER(SEARCH("CA",AH25)),ISNUMBER(SEARCH("RC",AH25)))</formula>
    </cfRule>
  </conditionalFormatting>
  <conditionalFormatting sqref="AH27 AH30">
    <cfRule type="expression" dxfId="2430" priority="241">
      <formula>OR(ISNUMBER(SEARCH("PPP 1",AH27)),ISNUMBER(SEARCH("PPP 2",AH27)))</formula>
    </cfRule>
    <cfRule type="expression" dxfId="2429" priority="242">
      <formula>ISNUMBER(SEARCH("FORM",AH27))</formula>
    </cfRule>
    <cfRule type="expression" dxfId="2428" priority="243">
      <formula>ISNUMBER(SEARCH("ASA",AH27))</formula>
    </cfRule>
    <cfRule type="expression" dxfId="2427" priority="244">
      <formula>OR(ISNUMBER(SEARCH("ATM",AH27)),ISNUMBER(SEARCH("ATA",AH27)))</formula>
    </cfRule>
    <cfRule type="expression" dxfId="2426" priority="245">
      <formula>ISNUMBER(SEARCH("TP",AH27))</formula>
    </cfRule>
    <cfRule type="expression" dxfId="2425" priority="246">
      <formula>ISNUMBER(SEARCH("CSE",AH27))</formula>
    </cfRule>
    <cfRule type="expression" dxfId="2424" priority="247">
      <formula>OR(ISNUMBER(SEARCH("CA",AH27)),ISNUMBER(SEARCH("RC",AH27)))</formula>
    </cfRule>
  </conditionalFormatting>
  <conditionalFormatting sqref="AH27:AH28">
    <cfRule type="expression" dxfId="2423" priority="262">
      <formula>OR(ISNUMBER(SEARCH("PPP 1",AH27)),ISNUMBER(SEARCH("PPP 2",AH27)))</formula>
    </cfRule>
    <cfRule type="expression" dxfId="2422" priority="263">
      <formula>ISNUMBER(SEARCH("FORM",AH27))</formula>
    </cfRule>
    <cfRule type="expression" dxfId="2421" priority="264">
      <formula>ISNUMBER(SEARCH("ASA",AH27))</formula>
    </cfRule>
    <cfRule type="expression" dxfId="2420" priority="265">
      <formula>OR(ISNUMBER(SEARCH("ATM",AH27)),ISNUMBER(SEARCH("ATA",AH27)))</formula>
    </cfRule>
    <cfRule type="expression" dxfId="2419" priority="266">
      <formula>ISNUMBER(SEARCH("TP",AH27))</formula>
    </cfRule>
    <cfRule type="expression" dxfId="2418" priority="267">
      <formula>ISNUMBER(SEARCH("CSE",AH27))</formula>
    </cfRule>
    <cfRule type="expression" dxfId="2417" priority="268">
      <formula>OR(ISNUMBER(SEARCH("CA",AH27)),ISNUMBER(SEARCH("RC",AH27)))</formula>
    </cfRule>
  </conditionalFormatting>
  <dataValidations count="1">
    <dataValidation allowBlank="1" showInputMessage="1" showErrorMessage="1" sqref="G9" xr:uid="{00000000-0002-0000-0200-000000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AK595"/>
  <sheetViews>
    <sheetView zoomScale="75" zoomScaleNormal="75" workbookViewId="0">
      <pane xSplit="6" topLeftCell="G17" activePane="topRight" state="frozen"/>
      <selection pane="topRight" activeCell="B4" sqref="B4"/>
      <selection activeCell="B4" sqref="B4"/>
    </sheetView>
  </sheetViews>
  <sheetFormatPr defaultColWidth="14" defaultRowHeight="15"/>
  <cols>
    <col min="2" max="2" width="20.140625" customWidth="1"/>
    <col min="3" max="3" width="24" customWidth="1"/>
    <col min="4" max="4" width="32.85546875" customWidth="1"/>
    <col min="5" max="5" width="18.42578125" customWidth="1"/>
  </cols>
  <sheetData>
    <row r="1" spans="1:37" ht="18.75" customHeight="1">
      <c r="F1" s="13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1:37" ht="18.75" customHeight="1">
      <c r="F2" s="13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</row>
    <row r="3" spans="1:37" ht="34.5" customHeight="1">
      <c r="A3" s="15"/>
      <c r="B3" s="16"/>
      <c r="C3" s="16"/>
      <c r="D3" s="16"/>
      <c r="E3" s="16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 spans="1:37" ht="21" customHeight="1">
      <c r="A4" s="18" t="s">
        <v>23</v>
      </c>
      <c r="B4" s="428" t="s">
        <v>203</v>
      </c>
      <c r="C4" s="428"/>
      <c r="D4" s="428"/>
      <c r="E4" s="428"/>
      <c r="F4" s="429"/>
      <c r="G4" s="410" t="s">
        <v>204</v>
      </c>
      <c r="H4" s="410"/>
      <c r="I4" s="410"/>
      <c r="J4" s="410"/>
      <c r="K4" s="410"/>
      <c r="L4" s="410"/>
      <c r="M4" s="410"/>
      <c r="N4" s="411" t="s">
        <v>205</v>
      </c>
      <c r="O4" s="411"/>
      <c r="P4" s="411"/>
      <c r="Q4" s="411"/>
      <c r="R4" s="411"/>
      <c r="S4" s="411"/>
      <c r="T4" s="411"/>
      <c r="U4" s="411" t="s">
        <v>206</v>
      </c>
      <c r="V4" s="411"/>
      <c r="W4" s="411"/>
      <c r="X4" s="411"/>
      <c r="Y4" s="411"/>
      <c r="Z4" s="411"/>
      <c r="AA4" s="411"/>
      <c r="AB4" s="411" t="s">
        <v>207</v>
      </c>
      <c r="AC4" s="411"/>
      <c r="AD4" s="411"/>
      <c r="AE4" s="411"/>
      <c r="AF4" s="411"/>
      <c r="AG4" s="411"/>
      <c r="AH4" s="411"/>
      <c r="AI4" s="14"/>
      <c r="AJ4" s="14"/>
      <c r="AK4" s="14"/>
    </row>
    <row r="5" spans="1:37" ht="21" customHeight="1">
      <c r="A5" s="152" t="s">
        <v>24</v>
      </c>
      <c r="B5" s="428"/>
      <c r="C5" s="428"/>
      <c r="D5" s="428"/>
      <c r="E5" s="428"/>
      <c r="F5" s="429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168"/>
      <c r="AI5" s="14"/>
      <c r="AJ5" s="14"/>
      <c r="AK5" s="14"/>
    </row>
    <row r="6" spans="1:37" ht="19.5" customHeight="1">
      <c r="A6" s="27" t="s">
        <v>208</v>
      </c>
      <c r="B6" s="427" t="s">
        <v>60</v>
      </c>
      <c r="C6" s="427"/>
      <c r="D6" s="427"/>
      <c r="E6" s="427"/>
      <c r="F6" s="429"/>
      <c r="G6" s="170" t="s">
        <v>61</v>
      </c>
      <c r="H6" s="170" t="s">
        <v>62</v>
      </c>
      <c r="I6" s="170" t="s">
        <v>63</v>
      </c>
      <c r="J6" s="170" t="s">
        <v>64</v>
      </c>
      <c r="K6" s="170" t="s">
        <v>65</v>
      </c>
      <c r="L6" s="171" t="s">
        <v>66</v>
      </c>
      <c r="M6" s="171" t="s">
        <v>67</v>
      </c>
      <c r="N6" s="170" t="s">
        <v>68</v>
      </c>
      <c r="O6" s="170" t="s">
        <v>62</v>
      </c>
      <c r="P6" s="170" t="s">
        <v>63</v>
      </c>
      <c r="Q6" s="170" t="s">
        <v>64</v>
      </c>
      <c r="R6" s="170" t="s">
        <v>65</v>
      </c>
      <c r="S6" s="171" t="s">
        <v>66</v>
      </c>
      <c r="T6" s="171" t="s">
        <v>67</v>
      </c>
      <c r="U6" s="170" t="s">
        <v>68</v>
      </c>
      <c r="V6" s="170" t="s">
        <v>62</v>
      </c>
      <c r="W6" s="170" t="s">
        <v>63</v>
      </c>
      <c r="X6" s="170" t="s">
        <v>64</v>
      </c>
      <c r="Y6" s="170" t="s">
        <v>65</v>
      </c>
      <c r="Z6" s="171" t="s">
        <v>66</v>
      </c>
      <c r="AA6" s="171" t="s">
        <v>67</v>
      </c>
      <c r="AB6" s="170" t="s">
        <v>68</v>
      </c>
      <c r="AC6" s="170" t="s">
        <v>62</v>
      </c>
      <c r="AD6" s="170" t="s">
        <v>63</v>
      </c>
      <c r="AE6" s="170" t="s">
        <v>64</v>
      </c>
      <c r="AF6" s="170" t="s">
        <v>65</v>
      </c>
      <c r="AG6" s="171" t="s">
        <v>66</v>
      </c>
      <c r="AH6" s="172" t="s">
        <v>67</v>
      </c>
      <c r="AI6" s="14"/>
      <c r="AJ6" s="14"/>
      <c r="AK6" s="14"/>
    </row>
    <row r="7" spans="1:37" ht="36" customHeight="1">
      <c r="A7" s="33" t="s">
        <v>26</v>
      </c>
      <c r="B7" s="34" t="s">
        <v>69</v>
      </c>
      <c r="C7" s="35" t="s">
        <v>70</v>
      </c>
      <c r="D7" s="36" t="s">
        <v>71</v>
      </c>
      <c r="E7" s="37" t="s">
        <v>72</v>
      </c>
      <c r="F7" s="429"/>
      <c r="G7" s="219">
        <v>2</v>
      </c>
      <c r="H7" s="174">
        <v>3</v>
      </c>
      <c r="I7" s="174">
        <v>4</v>
      </c>
      <c r="J7" s="174">
        <v>5</v>
      </c>
      <c r="K7" s="174">
        <v>6</v>
      </c>
      <c r="L7" s="175">
        <v>7</v>
      </c>
      <c r="M7" s="175">
        <v>8</v>
      </c>
      <c r="N7" s="174">
        <v>9</v>
      </c>
      <c r="O7" s="174">
        <v>10</v>
      </c>
      <c r="P7" s="174">
        <v>11</v>
      </c>
      <c r="Q7" s="174">
        <v>12</v>
      </c>
      <c r="R7" s="174">
        <v>13</v>
      </c>
      <c r="S7" s="175">
        <v>14</v>
      </c>
      <c r="T7" s="175">
        <v>15</v>
      </c>
      <c r="U7" s="174">
        <v>16</v>
      </c>
      <c r="V7" s="174">
        <v>17</v>
      </c>
      <c r="W7" s="174">
        <v>18</v>
      </c>
      <c r="X7" s="174">
        <v>19</v>
      </c>
      <c r="Y7" s="174">
        <v>20</v>
      </c>
      <c r="Z7" s="175">
        <v>21</v>
      </c>
      <c r="AA7" s="175">
        <v>22</v>
      </c>
      <c r="AB7" s="174">
        <v>23</v>
      </c>
      <c r="AC7" s="174">
        <v>24</v>
      </c>
      <c r="AD7" s="174">
        <v>25</v>
      </c>
      <c r="AE7" s="174">
        <v>26</v>
      </c>
      <c r="AF7" s="174">
        <v>27</v>
      </c>
      <c r="AG7" s="175">
        <v>28</v>
      </c>
      <c r="AH7" s="176">
        <v>29</v>
      </c>
      <c r="AI7" s="14"/>
      <c r="AJ7" s="14"/>
      <c r="AK7" s="14"/>
    </row>
    <row r="8" spans="1:37" ht="35.25" customHeight="1">
      <c r="A8" s="43" t="s">
        <v>27</v>
      </c>
      <c r="B8" s="54" t="s">
        <v>73</v>
      </c>
      <c r="C8" s="220" t="s">
        <v>73</v>
      </c>
      <c r="D8" s="45" t="s">
        <v>74</v>
      </c>
      <c r="E8" s="177" t="s">
        <v>75</v>
      </c>
      <c r="F8" s="221">
        <v>1</v>
      </c>
      <c r="G8" s="222"/>
      <c r="H8" s="223" t="s">
        <v>209</v>
      </c>
      <c r="I8" s="223"/>
      <c r="J8" s="224" t="s">
        <v>210</v>
      </c>
      <c r="K8" s="223"/>
      <c r="L8" s="225"/>
      <c r="M8" s="225"/>
      <c r="N8" s="223"/>
      <c r="O8" s="223"/>
      <c r="P8" s="223"/>
      <c r="Q8" s="223"/>
      <c r="R8" s="223" t="s">
        <v>211</v>
      </c>
      <c r="S8" s="225"/>
      <c r="T8" s="225"/>
      <c r="U8" s="223"/>
      <c r="V8" s="224" t="s">
        <v>212</v>
      </c>
      <c r="W8" s="224" t="s">
        <v>213</v>
      </c>
      <c r="X8" s="223" t="s">
        <v>214</v>
      </c>
      <c r="Y8" s="223"/>
      <c r="Z8" s="225"/>
      <c r="AA8" s="225"/>
      <c r="AB8" s="223"/>
      <c r="AC8" s="223"/>
      <c r="AD8" s="223"/>
      <c r="AE8" s="226" t="s">
        <v>215</v>
      </c>
      <c r="AF8" s="223" t="s">
        <v>216</v>
      </c>
      <c r="AG8" s="225"/>
      <c r="AH8" s="227"/>
      <c r="AI8" s="14"/>
      <c r="AJ8" s="14"/>
      <c r="AK8" s="14"/>
    </row>
    <row r="9" spans="1:37" ht="33" customHeight="1">
      <c r="A9" s="53" t="s">
        <v>28</v>
      </c>
      <c r="B9" s="54" t="s">
        <v>77</v>
      </c>
      <c r="C9" s="55" t="s">
        <v>78</v>
      </c>
      <c r="D9" s="185" t="s">
        <v>79</v>
      </c>
      <c r="E9" s="177" t="s">
        <v>80</v>
      </c>
      <c r="F9" s="228">
        <v>1</v>
      </c>
      <c r="G9" s="229" t="s">
        <v>83</v>
      </c>
      <c r="H9" s="230" t="s">
        <v>217</v>
      </c>
      <c r="I9" s="230" t="s">
        <v>218</v>
      </c>
      <c r="J9" s="230" t="s">
        <v>218</v>
      </c>
      <c r="K9" s="230" t="s">
        <v>83</v>
      </c>
      <c r="L9" s="231"/>
      <c r="M9" s="231"/>
      <c r="N9" s="230" t="s">
        <v>25</v>
      </c>
      <c r="O9" s="230" t="s">
        <v>219</v>
      </c>
      <c r="P9" s="230" t="s">
        <v>220</v>
      </c>
      <c r="Q9" s="230" t="s">
        <v>219</v>
      </c>
      <c r="R9" s="230" t="s">
        <v>219</v>
      </c>
      <c r="S9" s="231"/>
      <c r="T9" s="232" t="s">
        <v>221</v>
      </c>
      <c r="U9" s="230" t="s">
        <v>222</v>
      </c>
      <c r="V9" s="230" t="s">
        <v>83</v>
      </c>
      <c r="W9" s="230" t="s">
        <v>222</v>
      </c>
      <c r="X9" s="230" t="s">
        <v>25</v>
      </c>
      <c r="Y9" s="230" t="s">
        <v>25</v>
      </c>
      <c r="Z9" s="231"/>
      <c r="AA9" s="231"/>
      <c r="AB9" s="233" t="s">
        <v>25</v>
      </c>
      <c r="AC9" s="233" t="s">
        <v>25</v>
      </c>
      <c r="AD9" s="233" t="s">
        <v>25</v>
      </c>
      <c r="AE9" s="233" t="s">
        <v>25</v>
      </c>
      <c r="AF9" s="233" t="s">
        <v>25</v>
      </c>
      <c r="AG9" s="231"/>
      <c r="AH9" s="234"/>
      <c r="AI9" s="14"/>
      <c r="AJ9" s="14"/>
      <c r="AK9" s="14"/>
    </row>
    <row r="10" spans="1:37" ht="18.75" customHeight="1">
      <c r="A10" s="417" t="s">
        <v>88</v>
      </c>
      <c r="B10" s="64" t="s">
        <v>89</v>
      </c>
      <c r="C10" s="65" t="s">
        <v>90</v>
      </c>
      <c r="D10" s="186" t="s">
        <v>91</v>
      </c>
      <c r="E10" s="187" t="s">
        <v>92</v>
      </c>
      <c r="F10" s="235">
        <v>0.5</v>
      </c>
      <c r="G10" s="236" t="s">
        <v>23</v>
      </c>
      <c r="H10" s="237" t="s">
        <v>23</v>
      </c>
      <c r="I10" s="237" t="s">
        <v>23</v>
      </c>
      <c r="J10" s="237" t="s">
        <v>23</v>
      </c>
      <c r="K10" s="237" t="s">
        <v>23</v>
      </c>
      <c r="L10" s="98"/>
      <c r="M10" s="98"/>
      <c r="N10" s="99"/>
      <c r="O10" s="99"/>
      <c r="P10" s="99"/>
      <c r="Q10" s="99"/>
      <c r="R10" s="99"/>
      <c r="S10" s="98"/>
      <c r="T10" s="98"/>
      <c r="U10" s="99"/>
      <c r="V10" s="99"/>
      <c r="W10" s="99"/>
      <c r="X10" s="99"/>
      <c r="Y10" s="99"/>
      <c r="Z10" s="98"/>
      <c r="AA10" s="98"/>
      <c r="AB10" s="237" t="s">
        <v>23</v>
      </c>
      <c r="AC10" s="237" t="s">
        <v>23</v>
      </c>
      <c r="AD10" s="237" t="s">
        <v>23</v>
      </c>
      <c r="AE10" s="237" t="s">
        <v>23</v>
      </c>
      <c r="AF10" s="237" t="s">
        <v>23</v>
      </c>
      <c r="AG10" s="98"/>
      <c r="AH10" s="100"/>
      <c r="AI10" s="14"/>
      <c r="AJ10" s="14"/>
      <c r="AK10" s="14"/>
    </row>
    <row r="11" spans="1:37" ht="18.75" customHeight="1">
      <c r="A11" s="417"/>
      <c r="B11" s="64" t="s">
        <v>94</v>
      </c>
      <c r="C11" s="65" t="s">
        <v>95</v>
      </c>
      <c r="D11" s="191" t="s">
        <v>96</v>
      </c>
      <c r="E11" s="192" t="s">
        <v>97</v>
      </c>
      <c r="F11" s="235">
        <v>1</v>
      </c>
      <c r="G11" s="238"/>
      <c r="H11" s="99"/>
      <c r="I11" s="99"/>
      <c r="J11" s="99"/>
      <c r="K11" s="99"/>
      <c r="L11" s="98"/>
      <c r="M11" s="98"/>
      <c r="N11" s="99"/>
      <c r="O11" s="99"/>
      <c r="P11" s="99"/>
      <c r="Q11" s="99"/>
      <c r="R11" s="99"/>
      <c r="S11" s="98"/>
      <c r="T11" s="98"/>
      <c r="U11" s="239" t="s">
        <v>25</v>
      </c>
      <c r="V11" s="99"/>
      <c r="W11" s="99"/>
      <c r="X11" s="99"/>
      <c r="Y11" s="99"/>
      <c r="Z11" s="98"/>
      <c r="AA11" s="98"/>
      <c r="AB11" s="99"/>
      <c r="AC11" s="239" t="s">
        <v>25</v>
      </c>
      <c r="AD11" s="99"/>
      <c r="AE11" s="99"/>
      <c r="AF11" s="99"/>
      <c r="AG11" s="98"/>
      <c r="AH11" s="100"/>
      <c r="AI11" s="14"/>
      <c r="AJ11" s="14"/>
      <c r="AK11" s="14"/>
    </row>
    <row r="12" spans="1:37" ht="18.75" customHeight="1">
      <c r="A12" s="417"/>
      <c r="B12" s="64" t="s">
        <v>98</v>
      </c>
      <c r="C12" s="65" t="s">
        <v>99</v>
      </c>
      <c r="D12" s="240" t="s">
        <v>223</v>
      </c>
      <c r="E12" s="241" t="s">
        <v>193</v>
      </c>
      <c r="F12" s="235">
        <v>1</v>
      </c>
      <c r="G12" s="242"/>
      <c r="H12" s="99"/>
      <c r="I12" s="99"/>
      <c r="J12" s="99"/>
      <c r="K12" s="99"/>
      <c r="L12" s="98"/>
      <c r="M12" s="98"/>
      <c r="N12" s="99"/>
      <c r="O12" s="99"/>
      <c r="P12" s="99"/>
      <c r="Q12" s="99"/>
      <c r="R12" s="99"/>
      <c r="S12" s="98"/>
      <c r="T12" s="98"/>
      <c r="U12" s="99"/>
      <c r="V12" s="99"/>
      <c r="W12" s="99"/>
      <c r="X12" s="99"/>
      <c r="Y12" s="99"/>
      <c r="Z12" s="98"/>
      <c r="AA12" s="98"/>
      <c r="AB12" s="99"/>
      <c r="AC12" s="99"/>
      <c r="AD12" s="99"/>
      <c r="AE12" s="99"/>
      <c r="AF12" s="99"/>
      <c r="AG12" s="98"/>
      <c r="AH12" s="100"/>
      <c r="AI12" s="14"/>
      <c r="AJ12" s="14"/>
      <c r="AK12" s="14"/>
    </row>
    <row r="13" spans="1:37" ht="18.75" customHeight="1">
      <c r="A13" s="417"/>
      <c r="B13" s="64" t="s">
        <v>102</v>
      </c>
      <c r="C13" s="65" t="s">
        <v>103</v>
      </c>
      <c r="D13" s="193" t="s">
        <v>104</v>
      </c>
      <c r="E13" s="194" t="s">
        <v>105</v>
      </c>
      <c r="F13" s="235">
        <v>0.8</v>
      </c>
      <c r="G13" s="242"/>
      <c r="H13" s="99"/>
      <c r="I13" s="99" t="s">
        <v>188</v>
      </c>
      <c r="J13" s="99"/>
      <c r="K13" s="99"/>
      <c r="L13" s="98"/>
      <c r="M13" s="98"/>
      <c r="N13" s="237" t="s">
        <v>23</v>
      </c>
      <c r="O13" s="237" t="s">
        <v>23</v>
      </c>
      <c r="P13" s="237" t="s">
        <v>23</v>
      </c>
      <c r="Q13" s="237" t="s">
        <v>23</v>
      </c>
      <c r="R13" s="237" t="s">
        <v>23</v>
      </c>
      <c r="S13" s="98"/>
      <c r="T13" s="98"/>
      <c r="U13" s="237" t="s">
        <v>23</v>
      </c>
      <c r="V13" s="237" t="s">
        <v>23</v>
      </c>
      <c r="W13" s="237" t="s">
        <v>23</v>
      </c>
      <c r="X13" s="237" t="s">
        <v>23</v>
      </c>
      <c r="Y13" s="237" t="s">
        <v>23</v>
      </c>
      <c r="Z13" s="98"/>
      <c r="AA13" s="98"/>
      <c r="AB13" s="237" t="s">
        <v>23</v>
      </c>
      <c r="AC13" s="237" t="s">
        <v>23</v>
      </c>
      <c r="AD13" s="239" t="s">
        <v>25</v>
      </c>
      <c r="AE13" s="239" t="s">
        <v>25</v>
      </c>
      <c r="AF13" s="239" t="s">
        <v>25</v>
      </c>
      <c r="AG13" s="98"/>
      <c r="AH13" s="100"/>
      <c r="AI13" s="14"/>
      <c r="AJ13" s="14"/>
      <c r="AK13" s="14"/>
    </row>
    <row r="14" spans="1:37" ht="18.75" customHeight="1">
      <c r="A14" s="417"/>
      <c r="B14" s="64" t="s">
        <v>107</v>
      </c>
      <c r="C14" s="65" t="s">
        <v>108</v>
      </c>
      <c r="D14" s="193" t="s">
        <v>109</v>
      </c>
      <c r="E14" s="194" t="s">
        <v>110</v>
      </c>
      <c r="F14" s="235">
        <v>1</v>
      </c>
      <c r="G14" s="243" t="s">
        <v>25</v>
      </c>
      <c r="H14" s="239" t="s">
        <v>25</v>
      </c>
      <c r="I14" s="239" t="s">
        <v>25</v>
      </c>
      <c r="J14" s="239" t="s">
        <v>25</v>
      </c>
      <c r="K14" s="239" t="s">
        <v>25</v>
      </c>
      <c r="L14" s="98"/>
      <c r="M14" s="98"/>
      <c r="N14" s="99"/>
      <c r="O14" s="99"/>
      <c r="P14" s="99"/>
      <c r="Q14" s="99"/>
      <c r="R14" s="99"/>
      <c r="S14" s="98"/>
      <c r="T14" s="98"/>
      <c r="U14" s="99"/>
      <c r="V14" s="99"/>
      <c r="W14" s="99"/>
      <c r="X14" s="99"/>
      <c r="Y14" s="99"/>
      <c r="Z14" s="98"/>
      <c r="AA14" s="98"/>
      <c r="AB14" s="99"/>
      <c r="AC14" s="99"/>
      <c r="AD14" s="99"/>
      <c r="AE14" s="99"/>
      <c r="AF14" s="99"/>
      <c r="AG14" s="98"/>
      <c r="AH14" s="100"/>
      <c r="AI14" s="14"/>
      <c r="AJ14" s="14"/>
      <c r="AK14" s="14"/>
    </row>
    <row r="15" spans="1:37" ht="18.75" customHeight="1">
      <c r="A15" s="417"/>
      <c r="B15" s="64" t="s">
        <v>111</v>
      </c>
      <c r="C15" s="65" t="s">
        <v>112</v>
      </c>
      <c r="D15" s="193" t="s">
        <v>113</v>
      </c>
      <c r="E15" s="194" t="s">
        <v>114</v>
      </c>
      <c r="F15" s="235">
        <v>1</v>
      </c>
      <c r="G15" s="242"/>
      <c r="H15" s="99"/>
      <c r="I15" s="99"/>
      <c r="J15" s="99"/>
      <c r="K15" s="99"/>
      <c r="L15" s="98"/>
      <c r="M15" s="98"/>
      <c r="N15" s="99"/>
      <c r="O15" s="99"/>
      <c r="P15" s="99"/>
      <c r="Q15" s="99"/>
      <c r="R15" s="99"/>
      <c r="S15" s="98"/>
      <c r="T15" s="98"/>
      <c r="U15" s="99"/>
      <c r="V15" s="99"/>
      <c r="W15" s="99"/>
      <c r="X15" s="99"/>
      <c r="Y15" s="99"/>
      <c r="Z15" s="98"/>
      <c r="AA15" s="98"/>
      <c r="AB15" s="99"/>
      <c r="AC15" s="99"/>
      <c r="AD15" s="99"/>
      <c r="AE15" s="99"/>
      <c r="AF15" s="99"/>
      <c r="AG15" s="98"/>
      <c r="AH15" s="100"/>
      <c r="AI15" s="14"/>
      <c r="AJ15" s="14"/>
      <c r="AK15" s="14"/>
    </row>
    <row r="16" spans="1:37" ht="18.75" customHeight="1">
      <c r="A16" s="417"/>
      <c r="B16" s="64" t="s">
        <v>116</v>
      </c>
      <c r="C16" s="65" t="s">
        <v>117</v>
      </c>
      <c r="D16" s="193" t="s">
        <v>118</v>
      </c>
      <c r="E16" s="194" t="s">
        <v>119</v>
      </c>
      <c r="F16" s="235">
        <v>1</v>
      </c>
      <c r="G16" s="242"/>
      <c r="H16" s="99"/>
      <c r="I16" s="99"/>
      <c r="J16" s="99"/>
      <c r="K16" s="99"/>
      <c r="L16" s="98"/>
      <c r="M16" s="98"/>
      <c r="N16" s="99"/>
      <c r="O16" s="99"/>
      <c r="P16" s="99"/>
      <c r="Q16" s="99"/>
      <c r="R16" s="99"/>
      <c r="S16" s="98"/>
      <c r="T16" s="98"/>
      <c r="U16" s="99"/>
      <c r="V16" s="99"/>
      <c r="W16" s="99"/>
      <c r="X16" s="99"/>
      <c r="Y16" s="99"/>
      <c r="Z16" s="98"/>
      <c r="AA16" s="98"/>
      <c r="AB16" s="99"/>
      <c r="AC16" s="99"/>
      <c r="AD16" s="99"/>
      <c r="AE16" s="99"/>
      <c r="AF16" s="99"/>
      <c r="AG16" s="98"/>
      <c r="AH16" s="100"/>
      <c r="AI16" s="14"/>
      <c r="AJ16" s="14"/>
      <c r="AK16" s="14"/>
    </row>
    <row r="17" spans="1:37" ht="18.75" customHeight="1">
      <c r="A17" s="417"/>
      <c r="B17" s="64" t="s">
        <v>120</v>
      </c>
      <c r="C17" s="65" t="s">
        <v>121</v>
      </c>
      <c r="D17" s="193" t="s">
        <v>122</v>
      </c>
      <c r="E17" s="194" t="s">
        <v>123</v>
      </c>
      <c r="F17" s="235">
        <v>1</v>
      </c>
      <c r="G17" s="242"/>
      <c r="H17" s="99"/>
      <c r="I17" s="99"/>
      <c r="J17" s="99"/>
      <c r="K17" s="99"/>
      <c r="L17" s="98"/>
      <c r="M17" s="98"/>
      <c r="N17" s="99"/>
      <c r="O17" s="99"/>
      <c r="P17" s="99"/>
      <c r="Q17" s="99"/>
      <c r="R17" s="99"/>
      <c r="S17" s="98"/>
      <c r="T17" s="98"/>
      <c r="U17" s="99"/>
      <c r="V17" s="99"/>
      <c r="W17" s="99"/>
      <c r="X17" s="99"/>
      <c r="Y17" s="99"/>
      <c r="Z17" s="98"/>
      <c r="AA17" s="98"/>
      <c r="AB17" s="99"/>
      <c r="AC17" s="99"/>
      <c r="AD17" s="99"/>
      <c r="AE17" s="99"/>
      <c r="AF17" s="99"/>
      <c r="AG17" s="98"/>
      <c r="AH17" s="100"/>
      <c r="AI17" s="14"/>
      <c r="AJ17" s="14"/>
      <c r="AK17" s="14"/>
    </row>
    <row r="18" spans="1:37" ht="18.75" customHeight="1">
      <c r="A18" s="417"/>
      <c r="B18" s="64" t="s">
        <v>124</v>
      </c>
      <c r="C18" s="65" t="s">
        <v>125</v>
      </c>
      <c r="D18" s="193" t="s">
        <v>126</v>
      </c>
      <c r="E18" s="194" t="s">
        <v>127</v>
      </c>
      <c r="F18" s="235">
        <v>1</v>
      </c>
      <c r="G18" s="242"/>
      <c r="H18" s="99"/>
      <c r="I18" s="99"/>
      <c r="J18" s="99"/>
      <c r="K18" s="99"/>
      <c r="L18" s="98"/>
      <c r="M18" s="98"/>
      <c r="N18" s="99"/>
      <c r="O18" s="99"/>
      <c r="P18" s="99"/>
      <c r="Q18" s="99"/>
      <c r="R18" s="99"/>
      <c r="S18" s="98"/>
      <c r="T18" s="98"/>
      <c r="U18" s="99"/>
      <c r="V18" s="99"/>
      <c r="W18" s="99"/>
      <c r="X18" s="99"/>
      <c r="Y18" s="99"/>
      <c r="Z18" s="98"/>
      <c r="AA18" s="98"/>
      <c r="AB18" s="99"/>
      <c r="AC18" s="99"/>
      <c r="AD18" s="99"/>
      <c r="AE18" s="99"/>
      <c r="AF18" s="99"/>
      <c r="AG18" s="98"/>
      <c r="AH18" s="100"/>
      <c r="AI18" s="14"/>
      <c r="AJ18" s="14"/>
      <c r="AK18" s="14"/>
    </row>
    <row r="19" spans="1:37" ht="18.75" customHeight="1">
      <c r="A19" s="417"/>
      <c r="B19" s="64" t="s">
        <v>129</v>
      </c>
      <c r="C19" s="65" t="s">
        <v>130</v>
      </c>
      <c r="D19" s="196" t="s">
        <v>131</v>
      </c>
      <c r="E19" s="197" t="s">
        <v>132</v>
      </c>
      <c r="F19" s="235">
        <v>0.8</v>
      </c>
      <c r="G19" s="61" t="s">
        <v>26</v>
      </c>
      <c r="H19" s="61" t="s">
        <v>26</v>
      </c>
      <c r="I19" s="61" t="s">
        <v>26</v>
      </c>
      <c r="J19" s="61" t="s">
        <v>26</v>
      </c>
      <c r="K19" s="61" t="s">
        <v>26</v>
      </c>
      <c r="L19" s="98"/>
      <c r="M19" s="98"/>
      <c r="N19" s="61" t="s">
        <v>26</v>
      </c>
      <c r="O19" s="61" t="s">
        <v>26</v>
      </c>
      <c r="P19" s="61" t="s">
        <v>26</v>
      </c>
      <c r="Q19" s="61" t="s">
        <v>26</v>
      </c>
      <c r="R19" s="61" t="s">
        <v>26</v>
      </c>
      <c r="S19" s="98"/>
      <c r="T19" s="98"/>
      <c r="U19" s="61" t="s">
        <v>26</v>
      </c>
      <c r="V19" s="61" t="s">
        <v>26</v>
      </c>
      <c r="W19" s="61" t="s">
        <v>26</v>
      </c>
      <c r="X19" s="61" t="s">
        <v>26</v>
      </c>
      <c r="Y19" s="61" t="s">
        <v>26</v>
      </c>
      <c r="Z19" s="98"/>
      <c r="AA19" s="98"/>
      <c r="AB19" s="61" t="s">
        <v>26</v>
      </c>
      <c r="AC19" s="61" t="s">
        <v>26</v>
      </c>
      <c r="AD19" s="61" t="s">
        <v>26</v>
      </c>
      <c r="AE19" s="61" t="s">
        <v>26</v>
      </c>
      <c r="AF19" s="61" t="s">
        <v>26</v>
      </c>
      <c r="AG19" s="98"/>
      <c r="AH19" s="100"/>
      <c r="AI19" s="14"/>
      <c r="AJ19" s="14"/>
      <c r="AK19" s="14"/>
    </row>
    <row r="20" spans="1:37" ht="18.75" customHeight="1">
      <c r="A20" s="417"/>
      <c r="B20" s="64" t="s">
        <v>133</v>
      </c>
      <c r="C20" s="65" t="s">
        <v>134</v>
      </c>
      <c r="D20" s="196" t="s">
        <v>135</v>
      </c>
      <c r="E20" s="197" t="s">
        <v>136</v>
      </c>
      <c r="F20" s="235">
        <v>1</v>
      </c>
      <c r="G20" s="243" t="s">
        <v>25</v>
      </c>
      <c r="H20" s="239" t="s">
        <v>25</v>
      </c>
      <c r="I20" s="239" t="s">
        <v>25</v>
      </c>
      <c r="J20" s="239" t="s">
        <v>25</v>
      </c>
      <c r="K20" s="239" t="s">
        <v>25</v>
      </c>
      <c r="L20" s="98"/>
      <c r="M20" s="98"/>
      <c r="N20" s="99"/>
      <c r="O20" s="99"/>
      <c r="P20" s="99"/>
      <c r="Q20" s="99"/>
      <c r="R20" s="99"/>
      <c r="S20" s="98"/>
      <c r="T20" s="98"/>
      <c r="U20" s="99"/>
      <c r="V20" s="99"/>
      <c r="W20" s="99"/>
      <c r="X20" s="99"/>
      <c r="Y20" s="99"/>
      <c r="Z20" s="98"/>
      <c r="AA20" s="98"/>
      <c r="AB20" s="99"/>
      <c r="AC20" s="99"/>
      <c r="AD20" s="244" t="s">
        <v>27</v>
      </c>
      <c r="AE20" s="244" t="s">
        <v>27</v>
      </c>
      <c r="AF20" s="244" t="s">
        <v>27</v>
      </c>
      <c r="AG20" s="98"/>
      <c r="AH20" s="100"/>
      <c r="AI20" s="14"/>
      <c r="AJ20" s="14"/>
      <c r="AK20" s="14"/>
    </row>
    <row r="21" spans="1:37" ht="18.75" customHeight="1">
      <c r="A21" s="417"/>
      <c r="B21" s="64" t="s">
        <v>137</v>
      </c>
      <c r="C21" s="65" t="s">
        <v>138</v>
      </c>
      <c r="D21" s="196" t="s">
        <v>139</v>
      </c>
      <c r="E21" s="197" t="s">
        <v>140</v>
      </c>
      <c r="F21" s="235">
        <v>1</v>
      </c>
      <c r="G21" s="242"/>
      <c r="H21" s="99"/>
      <c r="I21" s="99"/>
      <c r="J21" s="99"/>
      <c r="K21" s="99"/>
      <c r="L21" s="98"/>
      <c r="M21" s="98"/>
      <c r="N21" s="99"/>
      <c r="O21" s="99"/>
      <c r="P21" s="245" t="s">
        <v>28</v>
      </c>
      <c r="Q21" s="99"/>
      <c r="R21" s="99"/>
      <c r="S21" s="98"/>
      <c r="T21" s="98"/>
      <c r="U21" s="239" t="s">
        <v>25</v>
      </c>
      <c r="V21" s="239" t="s">
        <v>25</v>
      </c>
      <c r="W21" s="239" t="s">
        <v>25</v>
      </c>
      <c r="X21" s="239" t="s">
        <v>25</v>
      </c>
      <c r="Y21" s="239" t="s">
        <v>25</v>
      </c>
      <c r="Z21" s="98"/>
      <c r="AA21" s="98"/>
      <c r="AB21" s="99"/>
      <c r="AC21" s="99"/>
      <c r="AD21" s="99"/>
      <c r="AE21" s="99"/>
      <c r="AF21" s="99"/>
      <c r="AG21" s="98"/>
      <c r="AH21" s="100"/>
      <c r="AI21" s="14"/>
      <c r="AJ21" s="14"/>
      <c r="AK21" s="14"/>
    </row>
    <row r="22" spans="1:37" ht="18.75" customHeight="1">
      <c r="A22" s="417"/>
      <c r="B22" s="64" t="s">
        <v>141</v>
      </c>
      <c r="C22" s="65" t="s">
        <v>142</v>
      </c>
      <c r="D22" s="196" t="s">
        <v>143</v>
      </c>
      <c r="E22" s="197" t="s">
        <v>144</v>
      </c>
      <c r="F22" s="235">
        <v>1</v>
      </c>
      <c r="G22" s="242"/>
      <c r="H22" s="99"/>
      <c r="I22" s="99"/>
      <c r="J22" s="99"/>
      <c r="K22" s="99"/>
      <c r="L22" s="98"/>
      <c r="M22" s="98"/>
      <c r="N22" s="99"/>
      <c r="O22" s="99"/>
      <c r="P22" s="99"/>
      <c r="Q22" s="99"/>
      <c r="R22" s="99"/>
      <c r="S22" s="98"/>
      <c r="T22" s="98"/>
      <c r="U22" s="99"/>
      <c r="V22" s="99"/>
      <c r="W22" s="99"/>
      <c r="X22" s="99"/>
      <c r="Y22" s="99"/>
      <c r="Z22" s="98"/>
      <c r="AA22" s="98"/>
      <c r="AB22" s="99"/>
      <c r="AC22" s="99"/>
      <c r="AD22" s="99"/>
      <c r="AE22" s="99"/>
      <c r="AF22" s="99"/>
      <c r="AG22" s="98"/>
      <c r="AH22" s="100"/>
      <c r="AI22" s="14"/>
      <c r="AJ22" s="14"/>
      <c r="AK22" s="14"/>
    </row>
    <row r="23" spans="1:37" ht="18.75" customHeight="1">
      <c r="A23" s="417"/>
      <c r="B23" s="64" t="s">
        <v>146</v>
      </c>
      <c r="C23" s="65"/>
      <c r="D23" s="246" t="s">
        <v>147</v>
      </c>
      <c r="E23" s="197" t="s">
        <v>148</v>
      </c>
      <c r="F23" s="235">
        <v>1</v>
      </c>
      <c r="G23" s="242" t="s">
        <v>224</v>
      </c>
      <c r="H23" s="99" t="s">
        <v>224</v>
      </c>
      <c r="I23" s="99" t="s">
        <v>224</v>
      </c>
      <c r="J23" s="99" t="s">
        <v>224</v>
      </c>
      <c r="K23" s="99" t="s">
        <v>224</v>
      </c>
      <c r="L23" s="98"/>
      <c r="M23" s="98"/>
      <c r="N23" s="61" t="s">
        <v>225</v>
      </c>
      <c r="O23" s="61" t="s">
        <v>225</v>
      </c>
      <c r="P23" s="61" t="s">
        <v>225</v>
      </c>
      <c r="Q23" s="61" t="s">
        <v>225</v>
      </c>
      <c r="R23" s="61" t="s">
        <v>225</v>
      </c>
      <c r="S23" s="98"/>
      <c r="T23" s="98"/>
      <c r="U23" s="99" t="s">
        <v>169</v>
      </c>
      <c r="V23" s="99" t="s">
        <v>169</v>
      </c>
      <c r="W23" s="99" t="s">
        <v>169</v>
      </c>
      <c r="X23" s="99" t="s">
        <v>169</v>
      </c>
      <c r="Y23" s="99" t="s">
        <v>169</v>
      </c>
      <c r="Z23" s="98"/>
      <c r="AA23" s="98"/>
      <c r="AB23" s="99" t="s">
        <v>226</v>
      </c>
      <c r="AC23" s="99" t="s">
        <v>226</v>
      </c>
      <c r="AD23" s="99" t="s">
        <v>227</v>
      </c>
      <c r="AE23" s="99" t="s">
        <v>227</v>
      </c>
      <c r="AF23" s="99" t="s">
        <v>227</v>
      </c>
      <c r="AG23" s="98"/>
      <c r="AH23" s="100"/>
      <c r="AI23" s="14"/>
      <c r="AJ23" s="14"/>
      <c r="AK23" s="14"/>
    </row>
    <row r="24" spans="1:37" ht="18.75" customHeight="1">
      <c r="A24" s="417"/>
      <c r="B24" s="101" t="s">
        <v>150</v>
      </c>
      <c r="C24" s="65"/>
      <c r="D24" s="196" t="s">
        <v>151</v>
      </c>
      <c r="E24" s="197" t="s">
        <v>152</v>
      </c>
      <c r="F24" s="247">
        <v>1</v>
      </c>
      <c r="G24" s="248" t="s">
        <v>227</v>
      </c>
      <c r="H24" s="249" t="s">
        <v>228</v>
      </c>
      <c r="I24" s="249" t="s">
        <v>227</v>
      </c>
      <c r="J24" s="249" t="s">
        <v>227</v>
      </c>
      <c r="K24" s="249" t="s">
        <v>227</v>
      </c>
      <c r="L24" s="250"/>
      <c r="M24" s="250"/>
      <c r="N24" s="249" t="s">
        <v>149</v>
      </c>
      <c r="O24" s="249" t="s">
        <v>149</v>
      </c>
      <c r="P24" s="249" t="s">
        <v>149</v>
      </c>
      <c r="Q24" s="249" t="s">
        <v>229</v>
      </c>
      <c r="R24" s="249" t="s">
        <v>149</v>
      </c>
      <c r="S24" s="250"/>
      <c r="T24" s="251" t="s">
        <v>230</v>
      </c>
      <c r="U24" s="249" t="s">
        <v>231</v>
      </c>
      <c r="V24" s="249" t="s">
        <v>232</v>
      </c>
      <c r="W24" s="249" t="s">
        <v>232</v>
      </c>
      <c r="X24" s="249" t="s">
        <v>232</v>
      </c>
      <c r="Y24" s="249" t="s">
        <v>232</v>
      </c>
      <c r="Z24" s="250"/>
      <c r="AA24" s="250"/>
      <c r="AB24" s="249" t="s">
        <v>149</v>
      </c>
      <c r="AC24" s="249" t="s">
        <v>149</v>
      </c>
      <c r="AD24" s="249" t="s">
        <v>149</v>
      </c>
      <c r="AE24" s="249" t="s">
        <v>149</v>
      </c>
      <c r="AF24" s="249" t="s">
        <v>149</v>
      </c>
      <c r="AG24" s="250"/>
      <c r="AH24" s="252"/>
      <c r="AI24" s="14"/>
      <c r="AJ24" s="14"/>
      <c r="AK24" s="14"/>
    </row>
    <row r="25" spans="1:37" ht="18.75" customHeight="1">
      <c r="A25" s="418" t="s">
        <v>156</v>
      </c>
      <c r="B25" s="108" t="s">
        <v>157</v>
      </c>
      <c r="C25" s="109" t="s">
        <v>158</v>
      </c>
      <c r="D25" s="253" t="s">
        <v>159</v>
      </c>
      <c r="E25" s="254" t="s">
        <v>160</v>
      </c>
      <c r="F25" s="255">
        <v>1</v>
      </c>
      <c r="G25" s="256" t="s">
        <v>157</v>
      </c>
      <c r="H25" s="58" t="s">
        <v>233</v>
      </c>
      <c r="I25" s="58" t="s">
        <v>157</v>
      </c>
      <c r="J25" s="58" t="s">
        <v>234</v>
      </c>
      <c r="K25" s="58" t="s">
        <v>157</v>
      </c>
      <c r="L25" s="59"/>
      <c r="M25" s="59" t="s">
        <v>235</v>
      </c>
      <c r="N25" s="58" t="s">
        <v>161</v>
      </c>
      <c r="O25" s="58" t="s">
        <v>161</v>
      </c>
      <c r="P25" s="58" t="s">
        <v>161</v>
      </c>
      <c r="Q25" s="58" t="s">
        <v>161</v>
      </c>
      <c r="R25" s="58" t="s">
        <v>161</v>
      </c>
      <c r="S25" s="59"/>
      <c r="T25" s="59"/>
      <c r="U25" s="58" t="s">
        <v>157</v>
      </c>
      <c r="V25" s="58" t="s">
        <v>157</v>
      </c>
      <c r="W25" s="58" t="s">
        <v>25</v>
      </c>
      <c r="X25" s="58" t="s">
        <v>236</v>
      </c>
      <c r="Y25" s="58" t="s">
        <v>157</v>
      </c>
      <c r="Z25" s="59" t="s">
        <v>115</v>
      </c>
      <c r="AA25" s="59"/>
      <c r="AB25" s="58" t="s">
        <v>157</v>
      </c>
      <c r="AC25" s="58" t="s">
        <v>157</v>
      </c>
      <c r="AD25" s="58" t="s">
        <v>157</v>
      </c>
      <c r="AE25" s="58" t="s">
        <v>157</v>
      </c>
      <c r="AF25" s="58" t="s">
        <v>157</v>
      </c>
      <c r="AG25" s="59"/>
      <c r="AH25" s="63"/>
      <c r="AI25" s="14"/>
      <c r="AJ25" s="14"/>
      <c r="AK25" s="14"/>
    </row>
    <row r="26" spans="1:37" ht="18.75" customHeight="1">
      <c r="A26" s="418"/>
      <c r="B26" s="118" t="s">
        <v>161</v>
      </c>
      <c r="C26" s="119" t="s">
        <v>158</v>
      </c>
      <c r="D26" s="257" t="s">
        <v>162</v>
      </c>
      <c r="E26" s="258" t="s">
        <v>163</v>
      </c>
      <c r="F26" s="259">
        <v>1</v>
      </c>
      <c r="G26" s="260" t="s">
        <v>161</v>
      </c>
      <c r="H26" s="61" t="s">
        <v>161</v>
      </c>
      <c r="I26" s="61" t="s">
        <v>237</v>
      </c>
      <c r="J26" s="61" t="s">
        <v>161</v>
      </c>
      <c r="K26" s="61" t="s">
        <v>161</v>
      </c>
      <c r="L26" s="59"/>
      <c r="M26" s="59" t="s">
        <v>235</v>
      </c>
      <c r="N26" s="61" t="s">
        <v>157</v>
      </c>
      <c r="O26" s="61" t="s">
        <v>157</v>
      </c>
      <c r="P26" s="61" t="s">
        <v>24</v>
      </c>
      <c r="Q26" s="61" t="s">
        <v>24</v>
      </c>
      <c r="R26" s="61" t="s">
        <v>24</v>
      </c>
      <c r="S26" s="59"/>
      <c r="T26" s="59"/>
      <c r="U26" s="61" t="s">
        <v>161</v>
      </c>
      <c r="V26" s="61" t="s">
        <v>161</v>
      </c>
      <c r="W26" s="61" t="s">
        <v>161</v>
      </c>
      <c r="X26" s="61" t="s">
        <v>236</v>
      </c>
      <c r="Y26" s="61" t="s">
        <v>236</v>
      </c>
      <c r="Z26" s="59"/>
      <c r="AA26" s="59"/>
      <c r="AB26" s="61" t="s">
        <v>161</v>
      </c>
      <c r="AC26" s="61" t="s">
        <v>161</v>
      </c>
      <c r="AD26" s="61" t="s">
        <v>161</v>
      </c>
      <c r="AE26" s="61" t="s">
        <v>161</v>
      </c>
      <c r="AF26" s="61" t="s">
        <v>237</v>
      </c>
      <c r="AG26" s="59"/>
      <c r="AH26" s="63"/>
      <c r="AI26" s="14"/>
      <c r="AJ26" s="14"/>
      <c r="AK26" s="14"/>
    </row>
    <row r="27" spans="1:37" ht="18.75" customHeight="1">
      <c r="A27" s="418"/>
      <c r="B27" s="118" t="s">
        <v>164</v>
      </c>
      <c r="C27" s="119" t="s">
        <v>158</v>
      </c>
      <c r="D27" s="261" t="s">
        <v>165</v>
      </c>
      <c r="E27" s="262" t="s">
        <v>105</v>
      </c>
      <c r="F27" s="259">
        <v>1</v>
      </c>
      <c r="G27" s="260" t="s">
        <v>26</v>
      </c>
      <c r="H27" s="61" t="s">
        <v>26</v>
      </c>
      <c r="I27" s="61" t="s">
        <v>26</v>
      </c>
      <c r="J27" s="61" t="s">
        <v>26</v>
      </c>
      <c r="K27" s="61" t="s">
        <v>26</v>
      </c>
      <c r="L27" s="59"/>
      <c r="M27" s="59"/>
      <c r="N27" s="61" t="s">
        <v>25</v>
      </c>
      <c r="O27" s="61" t="s">
        <v>25</v>
      </c>
      <c r="P27" s="61" t="s">
        <v>157</v>
      </c>
      <c r="Q27" s="61" t="s">
        <v>168</v>
      </c>
      <c r="R27" s="61" t="s">
        <v>238</v>
      </c>
      <c r="S27" s="59"/>
      <c r="T27" s="59"/>
      <c r="U27" s="61" t="s">
        <v>197</v>
      </c>
      <c r="V27" s="61" t="s">
        <v>239</v>
      </c>
      <c r="W27" s="61" t="s">
        <v>157</v>
      </c>
      <c r="X27" s="61" t="s">
        <v>157</v>
      </c>
      <c r="Y27" s="61" t="s">
        <v>240</v>
      </c>
      <c r="Z27" s="59"/>
      <c r="AA27" s="59"/>
      <c r="AB27" s="61" t="s">
        <v>166</v>
      </c>
      <c r="AC27" s="61" t="s">
        <v>166</v>
      </c>
      <c r="AD27" s="99" t="s">
        <v>226</v>
      </c>
      <c r="AE27" s="99" t="s">
        <v>226</v>
      </c>
      <c r="AF27" s="244" t="s">
        <v>25</v>
      </c>
      <c r="AG27" s="59"/>
      <c r="AH27" s="63"/>
      <c r="AI27" s="14"/>
      <c r="AJ27" s="14"/>
      <c r="AK27" s="14"/>
    </row>
    <row r="28" spans="1:37" ht="18.75" customHeight="1">
      <c r="A28" s="418"/>
      <c r="B28" s="127" t="s">
        <v>170</v>
      </c>
      <c r="C28" s="128" t="s">
        <v>158</v>
      </c>
      <c r="D28" s="263" t="s">
        <v>171</v>
      </c>
      <c r="E28" s="264" t="s">
        <v>172</v>
      </c>
      <c r="F28" s="265">
        <v>1</v>
      </c>
      <c r="G28" s="266" t="s">
        <v>154</v>
      </c>
      <c r="H28" s="267" t="s">
        <v>28</v>
      </c>
      <c r="I28" s="267" t="s">
        <v>28</v>
      </c>
      <c r="J28" s="267" t="s">
        <v>28</v>
      </c>
      <c r="K28" s="88" t="s">
        <v>154</v>
      </c>
      <c r="L28" s="94"/>
      <c r="M28" s="131" t="s">
        <v>82</v>
      </c>
      <c r="N28" s="88" t="s">
        <v>166</v>
      </c>
      <c r="O28" s="88" t="s">
        <v>166</v>
      </c>
      <c r="P28" s="88" t="s">
        <v>241</v>
      </c>
      <c r="Q28" s="88" t="s">
        <v>157</v>
      </c>
      <c r="R28" s="88" t="s">
        <v>157</v>
      </c>
      <c r="S28" s="94"/>
      <c r="T28" s="94"/>
      <c r="U28" s="88" t="s">
        <v>236</v>
      </c>
      <c r="V28" s="88" t="s">
        <v>242</v>
      </c>
      <c r="W28" s="88" t="s">
        <v>242</v>
      </c>
      <c r="X28" s="88" t="s">
        <v>161</v>
      </c>
      <c r="Y28" s="88" t="s">
        <v>161</v>
      </c>
      <c r="Z28" s="94"/>
      <c r="AA28" s="131" t="s">
        <v>243</v>
      </c>
      <c r="AB28" s="88" t="s">
        <v>154</v>
      </c>
      <c r="AC28" s="88" t="s">
        <v>154</v>
      </c>
      <c r="AD28" s="88" t="s">
        <v>154</v>
      </c>
      <c r="AE28" s="88" t="s">
        <v>154</v>
      </c>
      <c r="AF28" s="88" t="s">
        <v>154</v>
      </c>
      <c r="AG28" s="94"/>
      <c r="AH28" s="124"/>
      <c r="AI28" s="14"/>
      <c r="AJ28" s="14"/>
      <c r="AK28" s="14"/>
    </row>
    <row r="29" spans="1:37" ht="18.75" customHeight="1">
      <c r="A29" s="419" t="s">
        <v>174</v>
      </c>
      <c r="B29" s="419"/>
      <c r="C29" s="419"/>
      <c r="D29" s="419"/>
      <c r="E29" s="419"/>
      <c r="F29" s="255">
        <v>1</v>
      </c>
      <c r="G29" s="268"/>
      <c r="H29" s="134"/>
      <c r="I29" s="134"/>
      <c r="J29" s="134"/>
      <c r="K29" s="134"/>
      <c r="L29" s="116"/>
      <c r="M29" s="116"/>
      <c r="N29" s="134"/>
      <c r="O29" s="134"/>
      <c r="P29" s="134"/>
      <c r="Q29" s="134"/>
      <c r="R29" s="134"/>
      <c r="S29" s="116"/>
      <c r="T29" s="116"/>
      <c r="U29" s="134"/>
      <c r="V29" s="134"/>
      <c r="W29" s="134"/>
      <c r="X29" s="134"/>
      <c r="Y29" s="134"/>
      <c r="Z29" s="116"/>
      <c r="AA29" s="116"/>
      <c r="AB29" s="135"/>
      <c r="AC29" s="135"/>
      <c r="AD29" s="135"/>
      <c r="AE29" s="135"/>
      <c r="AF29" s="135"/>
      <c r="AG29" s="116"/>
      <c r="AH29" s="117"/>
      <c r="AI29" s="14"/>
      <c r="AJ29" s="14"/>
      <c r="AK29" s="14"/>
    </row>
    <row r="30" spans="1:37" ht="18.75" customHeight="1">
      <c r="A30" s="419"/>
      <c r="B30" s="419"/>
      <c r="C30" s="419"/>
      <c r="D30" s="419"/>
      <c r="E30" s="419"/>
      <c r="F30" s="259">
        <v>1</v>
      </c>
      <c r="G30" s="260" t="s">
        <v>169</v>
      </c>
      <c r="H30" s="136" t="s">
        <v>202</v>
      </c>
      <c r="I30" s="136" t="s">
        <v>202</v>
      </c>
      <c r="J30" s="136" t="s">
        <v>202</v>
      </c>
      <c r="K30" s="136" t="s">
        <v>202</v>
      </c>
      <c r="L30" s="137"/>
      <c r="M30" s="137" t="s">
        <v>244</v>
      </c>
      <c r="N30" s="136" t="s">
        <v>245</v>
      </c>
      <c r="O30" s="136" t="s">
        <v>245</v>
      </c>
      <c r="P30" s="136" t="s">
        <v>245</v>
      </c>
      <c r="Q30" s="136" t="s">
        <v>245</v>
      </c>
      <c r="R30" s="136" t="s">
        <v>245</v>
      </c>
      <c r="S30" s="137"/>
      <c r="T30" s="137" t="s">
        <v>244</v>
      </c>
      <c r="U30" s="136" t="s">
        <v>245</v>
      </c>
      <c r="V30" s="136" t="s">
        <v>245</v>
      </c>
      <c r="W30" s="136" t="s">
        <v>245</v>
      </c>
      <c r="X30" s="136" t="s">
        <v>245</v>
      </c>
      <c r="Y30" s="136" t="s">
        <v>245</v>
      </c>
      <c r="Z30" s="137"/>
      <c r="AA30" s="137" t="s">
        <v>244</v>
      </c>
      <c r="AB30" s="136" t="s">
        <v>245</v>
      </c>
      <c r="AC30" s="136" t="s">
        <v>245</v>
      </c>
      <c r="AD30" s="136" t="s">
        <v>245</v>
      </c>
      <c r="AE30" s="136" t="s">
        <v>245</v>
      </c>
      <c r="AF30" s="136" t="s">
        <v>245</v>
      </c>
      <c r="AG30" s="137"/>
      <c r="AH30" s="138"/>
      <c r="AI30" s="14"/>
      <c r="AJ30" s="14"/>
      <c r="AK30" s="14"/>
    </row>
    <row r="31" spans="1:37" ht="18.75" customHeight="1">
      <c r="A31" s="419"/>
      <c r="B31" s="419"/>
      <c r="C31" s="419"/>
      <c r="D31" s="419"/>
      <c r="E31" s="419"/>
      <c r="F31" s="269">
        <v>1</v>
      </c>
      <c r="G31" s="270"/>
      <c r="H31" s="140"/>
      <c r="I31" s="140"/>
      <c r="J31" s="140"/>
      <c r="K31" s="140"/>
      <c r="L31" s="141"/>
      <c r="M31" s="141"/>
      <c r="N31" s="140"/>
      <c r="O31" s="140"/>
      <c r="P31" s="140"/>
      <c r="Q31" s="140"/>
      <c r="R31" s="140"/>
      <c r="S31" s="141"/>
      <c r="T31" s="141"/>
      <c r="U31" s="140"/>
      <c r="V31" s="140"/>
      <c r="W31" s="140"/>
      <c r="X31" s="140"/>
      <c r="Y31" s="140"/>
      <c r="Z31" s="141"/>
      <c r="AA31" s="141"/>
      <c r="AB31" s="140"/>
      <c r="AC31" s="140"/>
      <c r="AD31" s="140"/>
      <c r="AE31" s="140"/>
      <c r="AF31" s="140"/>
      <c r="AG31" s="141"/>
      <c r="AH31" s="142"/>
      <c r="AI31" s="14"/>
      <c r="AJ31" s="14"/>
      <c r="AK31" s="14"/>
    </row>
    <row r="32" spans="1:37" ht="18.75" customHeight="1">
      <c r="D32" s="426"/>
      <c r="E32" s="426"/>
      <c r="F32" s="426"/>
      <c r="G32" s="144">
        <f>COUNTA(G29:G31)</f>
        <v>1</v>
      </c>
      <c r="H32" s="144">
        <f>COUNTA(H29:H31)</f>
        <v>1</v>
      </c>
      <c r="I32" s="144">
        <f>COUNTA(I29:I31)</f>
        <v>1</v>
      </c>
      <c r="J32" s="144">
        <f>COUNTA(J29:J31)</f>
        <v>1</v>
      </c>
      <c r="K32" s="144">
        <f>COUNTA(K29:K31)</f>
        <v>1</v>
      </c>
      <c r="L32" s="145"/>
      <c r="M32" s="145"/>
      <c r="N32" s="144">
        <f>COUNTA(N29:N31)</f>
        <v>1</v>
      </c>
      <c r="O32" s="144">
        <f>COUNTA(O29:O31)</f>
        <v>1</v>
      </c>
      <c r="P32" s="144">
        <f>COUNTA(P29:P31)</f>
        <v>1</v>
      </c>
      <c r="Q32" s="144">
        <f>COUNTA(Q29:Q31)</f>
        <v>1</v>
      </c>
      <c r="R32" s="144">
        <f>COUNTA(R29:R31)</f>
        <v>1</v>
      </c>
      <c r="S32" s="146"/>
      <c r="T32" s="146"/>
      <c r="U32" s="144">
        <f>COUNTA(U29:U31)</f>
        <v>1</v>
      </c>
      <c r="V32" s="144">
        <f>COUNTA(V29:V31)</f>
        <v>1</v>
      </c>
      <c r="W32" s="144">
        <f>COUNTA(W29:W31)</f>
        <v>1</v>
      </c>
      <c r="X32" s="144">
        <f>COUNTA(X29:X31)</f>
        <v>1</v>
      </c>
      <c r="Y32" s="144">
        <f>COUNTA(Y29:Y31)</f>
        <v>1</v>
      </c>
      <c r="Z32" s="146"/>
      <c r="AA32" s="146"/>
      <c r="AB32" s="144">
        <f>COUNTA(AB29:AB31)</f>
        <v>1</v>
      </c>
      <c r="AC32" s="144">
        <f>COUNTA(AC29:AC31)</f>
        <v>1</v>
      </c>
      <c r="AD32" s="144">
        <f>COUNTA(AD29:AD31)</f>
        <v>1</v>
      </c>
      <c r="AE32" s="144">
        <f>COUNTA(AE29:AE31)</f>
        <v>1</v>
      </c>
      <c r="AF32" s="144">
        <f>COUNTA(AF29:AF31)</f>
        <v>1</v>
      </c>
      <c r="AG32" s="146"/>
      <c r="AH32" s="147"/>
      <c r="AI32" s="14"/>
      <c r="AJ32" s="14"/>
      <c r="AK32" s="14"/>
    </row>
    <row r="33" spans="4:37" ht="18.75" customHeight="1">
      <c r="D33" s="86" t="s">
        <v>176</v>
      </c>
      <c r="E33" s="86">
        <f t="shared" ref="E33:E38" si="0">SUM(L33,S33,Z33,AG33)</f>
        <v>22</v>
      </c>
      <c r="F33" s="86" t="s">
        <v>23</v>
      </c>
      <c r="G33" s="148">
        <f>COUNTIF(G8:G31,"TP")</f>
        <v>1</v>
      </c>
      <c r="H33" s="148">
        <f>COUNTIF(H8:H31,"TP")</f>
        <v>1</v>
      </c>
      <c r="I33" s="148">
        <f>COUNTIF(I8:I31,"TP")</f>
        <v>1</v>
      </c>
      <c r="J33" s="148">
        <f>COUNTIF(J8:J31,"TP")</f>
        <v>1</v>
      </c>
      <c r="K33" s="148">
        <f>COUNTIF(K8:K31,"TP")</f>
        <v>1</v>
      </c>
      <c r="L33" s="149">
        <f t="shared" ref="L33:L38" si="1">SUM(G33:K33)</f>
        <v>5</v>
      </c>
      <c r="M33" s="149"/>
      <c r="N33" s="148">
        <f>COUNTIF(N8:N31,"TP")</f>
        <v>1</v>
      </c>
      <c r="O33" s="148">
        <f>COUNTIF(O8:O31,"TP")</f>
        <v>1</v>
      </c>
      <c r="P33" s="148">
        <f>COUNTIF(P8:P31,"TP")</f>
        <v>1</v>
      </c>
      <c r="Q33" s="148">
        <f>COUNTIF(Q8:Q31,"TP")</f>
        <v>1</v>
      </c>
      <c r="R33" s="148">
        <f>COUNTIF(R8:R31,"TP")</f>
        <v>1</v>
      </c>
      <c r="S33" s="150">
        <f t="shared" ref="S33:S38" si="2">SUM(N33:R33)</f>
        <v>5</v>
      </c>
      <c r="T33" s="150"/>
      <c r="U33" s="148">
        <f>COUNTIF(U8:U31,"TP")</f>
        <v>1</v>
      </c>
      <c r="V33" s="148">
        <f>COUNTIF(V8:V31,"TP")</f>
        <v>1</v>
      </c>
      <c r="W33" s="148">
        <f>COUNTIF(W8:W31,"TP")</f>
        <v>1</v>
      </c>
      <c r="X33" s="148">
        <f>COUNTIF(X8:X31,"TP")</f>
        <v>1</v>
      </c>
      <c r="Y33" s="148">
        <f>COUNTIF(Y8:Y31,"TP")</f>
        <v>1</v>
      </c>
      <c r="Z33" s="150">
        <f t="shared" ref="Z33:Z38" si="3">SUM(U33:Y33)</f>
        <v>5</v>
      </c>
      <c r="AA33" s="150"/>
      <c r="AB33" s="148">
        <f>COUNTIF(AB8:AB31,"TP")</f>
        <v>2</v>
      </c>
      <c r="AC33" s="148">
        <f>COUNTIF(AC8:AC31,"TP")</f>
        <v>2</v>
      </c>
      <c r="AD33" s="148">
        <f>COUNTIF(AD8:AD31,"TP")</f>
        <v>1</v>
      </c>
      <c r="AE33" s="148">
        <f>COUNTIF(AE8:AE31,"TP")</f>
        <v>1</v>
      </c>
      <c r="AF33" s="148">
        <f>COUNTIF(AF8:AF31,"TP")</f>
        <v>1</v>
      </c>
      <c r="AG33" s="150">
        <f t="shared" ref="AG33:AG38" si="4">SUM(AB33:AF33)</f>
        <v>7</v>
      </c>
      <c r="AH33" s="151"/>
      <c r="AI33" s="14"/>
      <c r="AJ33" s="14"/>
      <c r="AK33" s="14"/>
    </row>
    <row r="34" spans="4:37" ht="18.75" customHeight="1">
      <c r="D34" s="152" t="s">
        <v>176</v>
      </c>
      <c r="E34" s="152">
        <f t="shared" si="0"/>
        <v>3</v>
      </c>
      <c r="F34" s="152" t="s">
        <v>24</v>
      </c>
      <c r="G34" s="148">
        <f>COUNTIF(G8:G31,"CSE/RPX")</f>
        <v>0</v>
      </c>
      <c r="H34" s="148">
        <f>COUNTIF(H8:H31,"CSE/RPX")</f>
        <v>0</v>
      </c>
      <c r="I34" s="148">
        <f>COUNTIF(I8:I31,"CSE/RPX")</f>
        <v>0</v>
      </c>
      <c r="J34" s="148">
        <f>COUNTIF(J8:J31,"CSE/RPX")</f>
        <v>0</v>
      </c>
      <c r="K34" s="148">
        <f>COUNTIF(K8:K31,"CSE/RPX")</f>
        <v>0</v>
      </c>
      <c r="L34" s="149">
        <f t="shared" si="1"/>
        <v>0</v>
      </c>
      <c r="M34" s="149"/>
      <c r="N34" s="148">
        <f>COUNTIF(N8:N31,"CSE/RPX")</f>
        <v>0</v>
      </c>
      <c r="O34" s="148">
        <f>COUNTIF(O8:O31,"CSE/RPX")</f>
        <v>0</v>
      </c>
      <c r="P34" s="148">
        <f>COUNTIF(P8:P31,"CSE/RPX")</f>
        <v>1</v>
      </c>
      <c r="Q34" s="148">
        <f>COUNTIF(Q8:Q31,"CSE/RPX")</f>
        <v>1</v>
      </c>
      <c r="R34" s="148">
        <f>COUNTIF(R8:R31,"CSE/RPX")</f>
        <v>1</v>
      </c>
      <c r="S34" s="150">
        <f t="shared" si="2"/>
        <v>3</v>
      </c>
      <c r="T34" s="150"/>
      <c r="U34" s="148">
        <f>COUNTIF(U8:U31,"CSE/RPX")</f>
        <v>0</v>
      </c>
      <c r="V34" s="148">
        <f>COUNTIF(V8:V31,"CSE/RPX")</f>
        <v>0</v>
      </c>
      <c r="W34" s="148">
        <f>COUNTIF(W8:W31,"CSE/RPX")</f>
        <v>0</v>
      </c>
      <c r="X34" s="148">
        <f>COUNTIF(X8:X31,"CSE/RPX")</f>
        <v>0</v>
      </c>
      <c r="Y34" s="148">
        <f>COUNTIF(Y8:Y31,"CSE/RPX")</f>
        <v>0</v>
      </c>
      <c r="Z34" s="150">
        <f t="shared" si="3"/>
        <v>0</v>
      </c>
      <c r="AA34" s="150"/>
      <c r="AB34" s="148">
        <f>COUNTIF(AB8:AB31,"CSE/RPX")</f>
        <v>0</v>
      </c>
      <c r="AC34" s="148">
        <f>COUNTIF(AC8:AC31,"CSE/RPX")</f>
        <v>0</v>
      </c>
      <c r="AD34" s="148">
        <f>COUNTIF(AD8:AD31,"CSE/RPX")</f>
        <v>0</v>
      </c>
      <c r="AE34" s="148">
        <f>COUNTIF(AE8:AE31,"CSE/RPX")</f>
        <v>0</v>
      </c>
      <c r="AF34" s="148">
        <f>COUNTIF(AF8:AF31,"CSE/RPX")</f>
        <v>0</v>
      </c>
      <c r="AG34" s="150">
        <f t="shared" si="4"/>
        <v>0</v>
      </c>
      <c r="AH34" s="151"/>
      <c r="AI34" s="14"/>
      <c r="AJ34" s="14"/>
      <c r="AK34" s="14"/>
    </row>
    <row r="35" spans="4:37" ht="18.75" customHeight="1">
      <c r="D35" s="153" t="s">
        <v>176</v>
      </c>
      <c r="E35" s="153">
        <f t="shared" si="0"/>
        <v>32</v>
      </c>
      <c r="F35" s="153" t="s">
        <v>25</v>
      </c>
      <c r="G35" s="148">
        <f>COUNTIF(G8:G31,"CA/RC")</f>
        <v>2</v>
      </c>
      <c r="H35" s="148">
        <f>COUNTIF(H8:H31,"CA/RC")</f>
        <v>2</v>
      </c>
      <c r="I35" s="148">
        <f>COUNTIF(I8:I31,"CA/RC")</f>
        <v>2</v>
      </c>
      <c r="J35" s="148">
        <f>COUNTIF(J8:J31,"CA/RC")</f>
        <v>2</v>
      </c>
      <c r="K35" s="148">
        <f>COUNTIF(K8:K31,"CA/RC")</f>
        <v>2</v>
      </c>
      <c r="L35" s="149">
        <f t="shared" si="1"/>
        <v>10</v>
      </c>
      <c r="M35" s="149"/>
      <c r="N35" s="148">
        <f>COUNTIF(N8:N31,"CA/RC")</f>
        <v>2</v>
      </c>
      <c r="O35" s="148">
        <f>COUNTIF(O8:O31,"CA/RC")</f>
        <v>1</v>
      </c>
      <c r="P35" s="148">
        <f>COUNTIF(P8:P31,"CA/RC")</f>
        <v>0</v>
      </c>
      <c r="Q35" s="148">
        <f>COUNTIF(Q8:Q31,"CA/RC")</f>
        <v>0</v>
      </c>
      <c r="R35" s="148">
        <f>COUNTIF(R8:R31,"CA/RC")</f>
        <v>0</v>
      </c>
      <c r="S35" s="150">
        <f t="shared" si="2"/>
        <v>3</v>
      </c>
      <c r="T35" s="150"/>
      <c r="U35" s="148">
        <f>COUNTIF(U8:U31,"CA/RC")</f>
        <v>2</v>
      </c>
      <c r="V35" s="148">
        <f>COUNTIF(V8:V31,"CA/RC")</f>
        <v>1</v>
      </c>
      <c r="W35" s="148">
        <f>COUNTIF(W8:W31,"CA/RC")</f>
        <v>2</v>
      </c>
      <c r="X35" s="148">
        <f>COUNTIF(X8:X31,"CA/RC")</f>
        <v>2</v>
      </c>
      <c r="Y35" s="148">
        <f>COUNTIF(Y8:Y31,"CA/RC")</f>
        <v>2</v>
      </c>
      <c r="Z35" s="150">
        <f t="shared" si="3"/>
        <v>9</v>
      </c>
      <c r="AA35" s="150"/>
      <c r="AB35" s="148">
        <f>COUNTIF(AB8:AB31,"CA/RC")</f>
        <v>1</v>
      </c>
      <c r="AC35" s="148">
        <f>COUNTIF(AC8:AC31,"CA/RC")</f>
        <v>2</v>
      </c>
      <c r="AD35" s="148">
        <f>COUNTIF(AD8:AD31,"CA/RC")</f>
        <v>2</v>
      </c>
      <c r="AE35" s="148">
        <f>COUNTIF(AE8:AE31,"CA/RC")</f>
        <v>2</v>
      </c>
      <c r="AF35" s="148">
        <f>COUNTIF(AF8:AF31,"CA/RC")</f>
        <v>3</v>
      </c>
      <c r="AG35" s="150">
        <f t="shared" si="4"/>
        <v>10</v>
      </c>
      <c r="AH35" s="151"/>
      <c r="AI35" s="14"/>
      <c r="AJ35" s="14"/>
      <c r="AK35" s="14"/>
    </row>
    <row r="36" spans="4:37" ht="18.75" customHeight="1">
      <c r="D36" s="154" t="s">
        <v>176</v>
      </c>
      <c r="E36" s="154">
        <f t="shared" si="0"/>
        <v>25</v>
      </c>
      <c r="F36" s="154" t="s">
        <v>26</v>
      </c>
      <c r="G36" s="148">
        <f>COUNTIF(G8:G31,"ATM/ATA")</f>
        <v>2</v>
      </c>
      <c r="H36" s="148">
        <f>COUNTIF(H8:H31,"ATM/ATA")</f>
        <v>2</v>
      </c>
      <c r="I36" s="148">
        <f>COUNTIF(I8:I31,"ATM/ATA")</f>
        <v>2</v>
      </c>
      <c r="J36" s="148">
        <f>COUNTIF(J8:J31,"ATM/ATA")</f>
        <v>2</v>
      </c>
      <c r="K36" s="148">
        <f>COUNTIF(K8:K31,"ATM/ATA")</f>
        <v>2</v>
      </c>
      <c r="L36" s="149">
        <f t="shared" si="1"/>
        <v>10</v>
      </c>
      <c r="M36" s="149"/>
      <c r="N36" s="148">
        <f>COUNTIF(N8:N31,"ATM/ATA")</f>
        <v>1</v>
      </c>
      <c r="O36" s="148">
        <f>COUNTIF(O8:O31,"ATM/ATA")</f>
        <v>1</v>
      </c>
      <c r="P36" s="148">
        <f>COUNTIF(P8:P31,"ATM/ATA")</f>
        <v>1</v>
      </c>
      <c r="Q36" s="148">
        <f>COUNTIF(Q8:Q31,"ATM/ATA")</f>
        <v>1</v>
      </c>
      <c r="R36" s="148">
        <f>COUNTIF(R8:R31,"ATM/ATA")</f>
        <v>1</v>
      </c>
      <c r="S36" s="150">
        <f t="shared" si="2"/>
        <v>5</v>
      </c>
      <c r="T36" s="150"/>
      <c r="U36" s="148">
        <f>COUNTIF(U8:U31,"ATM/ATA")</f>
        <v>1</v>
      </c>
      <c r="V36" s="148">
        <f>COUNTIF(V8:V31,"ATM/ATA")</f>
        <v>1</v>
      </c>
      <c r="W36" s="148">
        <f>COUNTIF(W8:W31,"ATM/ATA")</f>
        <v>1</v>
      </c>
      <c r="X36" s="148">
        <f>COUNTIF(X8:X31,"ATM/ATA")</f>
        <v>1</v>
      </c>
      <c r="Y36" s="148">
        <f>COUNTIF(Y8:Y31,"ATM/ATA")</f>
        <v>1</v>
      </c>
      <c r="Z36" s="150">
        <f t="shared" si="3"/>
        <v>5</v>
      </c>
      <c r="AA36" s="150"/>
      <c r="AB36" s="148">
        <f>COUNTIF(AB8:AB31,"ATM/ATA")</f>
        <v>1</v>
      </c>
      <c r="AC36" s="148">
        <f>COUNTIF(AC8:AC31,"ATM/ATA")</f>
        <v>1</v>
      </c>
      <c r="AD36" s="148">
        <f>COUNTIF(AD8:AD31,"ATM/ATA")</f>
        <v>1</v>
      </c>
      <c r="AE36" s="148">
        <f>COUNTIF(AE8:AE31,"ATM/ATA")</f>
        <v>1</v>
      </c>
      <c r="AF36" s="148">
        <f>COUNTIF(AF8:AF31,"ATM/ATA")</f>
        <v>1</v>
      </c>
      <c r="AG36" s="150">
        <f t="shared" si="4"/>
        <v>5</v>
      </c>
      <c r="AH36" s="151"/>
      <c r="AI36" s="14"/>
      <c r="AJ36" s="14"/>
      <c r="AK36" s="14"/>
    </row>
    <row r="37" spans="4:37" ht="18.75" customHeight="1">
      <c r="D37" s="122" t="s">
        <v>176</v>
      </c>
      <c r="E37" s="122">
        <f t="shared" si="0"/>
        <v>3</v>
      </c>
      <c r="F37" s="122" t="s">
        <v>27</v>
      </c>
      <c r="G37" s="148">
        <f>COUNTIF(G8:G31,"ASA")</f>
        <v>0</v>
      </c>
      <c r="H37" s="148">
        <f>COUNTIF(H8:H31,"ASA")</f>
        <v>0</v>
      </c>
      <c r="I37" s="148">
        <f>COUNTIF(I8:I31,"ASA")</f>
        <v>0</v>
      </c>
      <c r="J37" s="148">
        <f>COUNTIF(J8:J31,"ASA")</f>
        <v>0</v>
      </c>
      <c r="K37" s="148">
        <f>COUNTIF(K8:K31,"ASA")</f>
        <v>0</v>
      </c>
      <c r="L37" s="149">
        <f t="shared" si="1"/>
        <v>0</v>
      </c>
      <c r="M37" s="149"/>
      <c r="N37" s="148">
        <f>COUNTIF(N8:N31,"ASA")</f>
        <v>0</v>
      </c>
      <c r="O37" s="148">
        <f>COUNTIF(O8:O31,"ASA")</f>
        <v>0</v>
      </c>
      <c r="P37" s="148">
        <f>COUNTIF(P8:P31,"ASA")</f>
        <v>0</v>
      </c>
      <c r="Q37" s="148">
        <f>COUNTIF(Q8:Q31,"ASA")</f>
        <v>0</v>
      </c>
      <c r="R37" s="148">
        <f>COUNTIF(R8:R31,"ASA")</f>
        <v>0</v>
      </c>
      <c r="S37" s="150">
        <f t="shared" si="2"/>
        <v>0</v>
      </c>
      <c r="T37" s="150"/>
      <c r="U37" s="148">
        <f>COUNTIF(U8:U31,"ASA")</f>
        <v>0</v>
      </c>
      <c r="V37" s="148">
        <f>COUNTIF(V8:V31,"ASA")</f>
        <v>0</v>
      </c>
      <c r="W37" s="148">
        <f>COUNTIF(W8:W31,"ASA")</f>
        <v>0</v>
      </c>
      <c r="X37" s="148">
        <f>COUNTIF(X8:X31,"ASA")</f>
        <v>0</v>
      </c>
      <c r="Y37" s="148">
        <f>COUNTIF(Y8:Y31,"ASA")</f>
        <v>0</v>
      </c>
      <c r="Z37" s="150">
        <f t="shared" si="3"/>
        <v>0</v>
      </c>
      <c r="AA37" s="150"/>
      <c r="AB37" s="148">
        <f>COUNTIF(AB8:AB31,"ASA")</f>
        <v>0</v>
      </c>
      <c r="AC37" s="148">
        <f>COUNTIF(AC8:AC31,"ASA")</f>
        <v>0</v>
      </c>
      <c r="AD37" s="148">
        <f>COUNTIF(AD8:AD31,"ASA")</f>
        <v>1</v>
      </c>
      <c r="AE37" s="148">
        <f>COUNTIF(AE8:AE31,"ASA")</f>
        <v>1</v>
      </c>
      <c r="AF37" s="148">
        <f>COUNTIF(AF8:AF31,"ASA")</f>
        <v>1</v>
      </c>
      <c r="AG37" s="150">
        <f t="shared" si="4"/>
        <v>3</v>
      </c>
      <c r="AH37" s="151"/>
      <c r="AI37" s="14"/>
      <c r="AJ37" s="14"/>
      <c r="AK37" s="14"/>
    </row>
    <row r="38" spans="4:37" ht="18.75" customHeight="1">
      <c r="D38" s="155" t="s">
        <v>176</v>
      </c>
      <c r="E38" s="155">
        <f t="shared" si="0"/>
        <v>4</v>
      </c>
      <c r="F38" s="155" t="s">
        <v>28</v>
      </c>
      <c r="G38" s="148">
        <f>COUNTIF(G8:G31,"FORM")</f>
        <v>0</v>
      </c>
      <c r="H38" s="148">
        <f>COUNTIF(H8:H31,"FORM")</f>
        <v>1</v>
      </c>
      <c r="I38" s="148">
        <f>COUNTIF(I8:I31,"FORM")</f>
        <v>1</v>
      </c>
      <c r="J38" s="148">
        <f>COUNTIF(J8:J31,"FORM")</f>
        <v>1</v>
      </c>
      <c r="K38" s="148">
        <f>COUNTIF(K8:K31,"FORM")</f>
        <v>0</v>
      </c>
      <c r="L38" s="149">
        <f t="shared" si="1"/>
        <v>3</v>
      </c>
      <c r="M38" s="149"/>
      <c r="N38" s="148">
        <f>COUNTIF(N8:N31,"FORM")</f>
        <v>0</v>
      </c>
      <c r="O38" s="148">
        <f>COUNTIF(O8:O31,"FORM")</f>
        <v>0</v>
      </c>
      <c r="P38" s="148">
        <f>COUNTIF(P8:P31,"FORM")</f>
        <v>1</v>
      </c>
      <c r="Q38" s="148">
        <f>COUNTIF(Q8:Q31,"FORM")</f>
        <v>0</v>
      </c>
      <c r="R38" s="148">
        <f>COUNTIF(R8:R31,"FORM")</f>
        <v>0</v>
      </c>
      <c r="S38" s="150">
        <f t="shared" si="2"/>
        <v>1</v>
      </c>
      <c r="T38" s="150"/>
      <c r="U38" s="148">
        <f>COUNTIF(U8:U31,"FORM")</f>
        <v>0</v>
      </c>
      <c r="V38" s="148">
        <f>COUNTIF(V8:V31,"FORM")</f>
        <v>0</v>
      </c>
      <c r="W38" s="148">
        <f>COUNTIF(W8:W31,"FORM")</f>
        <v>0</v>
      </c>
      <c r="X38" s="148">
        <f>COUNTIF(X8:X31,"FORM")</f>
        <v>0</v>
      </c>
      <c r="Y38" s="148">
        <f>COUNTIF(Y8:Y31,"FORM")</f>
        <v>0</v>
      </c>
      <c r="Z38" s="150">
        <f t="shared" si="3"/>
        <v>0</v>
      </c>
      <c r="AA38" s="150"/>
      <c r="AB38" s="148">
        <f>COUNTIF(AB8:AB31,"FORM")</f>
        <v>0</v>
      </c>
      <c r="AC38" s="148">
        <f>COUNTIF(AC8:AC31,"FORM")</f>
        <v>0</v>
      </c>
      <c r="AD38" s="148">
        <f>COUNTIF(AD8:AD31,"FORM")</f>
        <v>0</v>
      </c>
      <c r="AE38" s="148">
        <f>COUNTIF(AE8:AE31,"FORM")</f>
        <v>0</v>
      </c>
      <c r="AF38" s="148">
        <f>COUNTIF(AF8:AF31,"FORM")</f>
        <v>0</v>
      </c>
      <c r="AG38" s="150">
        <f t="shared" si="4"/>
        <v>0</v>
      </c>
      <c r="AH38" s="151"/>
      <c r="AI38" s="14"/>
      <c r="AJ38" s="14"/>
      <c r="AK38" s="14"/>
    </row>
    <row r="39" spans="4:37" ht="18.75" customHeight="1">
      <c r="D39" s="156" t="s">
        <v>177</v>
      </c>
      <c r="E39" s="156">
        <f>AVERAGE(G39:AF39)</f>
        <v>4.45</v>
      </c>
      <c r="F39" s="215" t="s">
        <v>178</v>
      </c>
      <c r="G39" s="158">
        <f>SUM(G33:G38)</f>
        <v>5</v>
      </c>
      <c r="H39" s="158">
        <f>SUM(H33:H38)</f>
        <v>6</v>
      </c>
      <c r="I39" s="158">
        <f>SUM(I33:I38)</f>
        <v>6</v>
      </c>
      <c r="J39" s="158">
        <f>SUM(J33:J38)</f>
        <v>6</v>
      </c>
      <c r="K39" s="158">
        <f>SUM(K33:K38)</f>
        <v>5</v>
      </c>
      <c r="L39" s="158"/>
      <c r="M39" s="158"/>
      <c r="N39" s="158">
        <f>SUM(N33:N38)</f>
        <v>4</v>
      </c>
      <c r="O39" s="158">
        <f>SUM(O33:O38)</f>
        <v>3</v>
      </c>
      <c r="P39" s="158">
        <f>SUM(P33:P38)</f>
        <v>4</v>
      </c>
      <c r="Q39" s="158">
        <f>SUM(Q33:Q38)</f>
        <v>3</v>
      </c>
      <c r="R39" s="158">
        <f>SUM(R33:R38)</f>
        <v>3</v>
      </c>
      <c r="S39" s="158"/>
      <c r="T39" s="158"/>
      <c r="U39" s="158">
        <f>SUM(U33:U38)</f>
        <v>4</v>
      </c>
      <c r="V39" s="158">
        <f>SUM(V33:V38)</f>
        <v>3</v>
      </c>
      <c r="W39" s="158">
        <f>SUM(W33:W38)</f>
        <v>4</v>
      </c>
      <c r="X39" s="158">
        <f>SUM(X33:X38)</f>
        <v>4</v>
      </c>
      <c r="Y39" s="158">
        <f>SUM(Y33:Y38)</f>
        <v>4</v>
      </c>
      <c r="Z39" s="158"/>
      <c r="AA39" s="158"/>
      <c r="AB39" s="158">
        <f>SUM(AB33:AB38)</f>
        <v>4</v>
      </c>
      <c r="AC39" s="158">
        <f>SUM(AC33:AC38)</f>
        <v>5</v>
      </c>
      <c r="AD39" s="158">
        <f>SUM(AD33:AD38)</f>
        <v>5</v>
      </c>
      <c r="AE39" s="158">
        <f>SUM(AE33:AE38)</f>
        <v>5</v>
      </c>
      <c r="AF39" s="158">
        <f>SUM(AF33:AF38)</f>
        <v>6</v>
      </c>
      <c r="AG39" s="158"/>
      <c r="AH39" s="159"/>
      <c r="AI39" s="14"/>
      <c r="AJ39" s="14"/>
      <c r="AK39" s="14"/>
    </row>
    <row r="40" spans="4:37" ht="18.75" customHeight="1">
      <c r="D40" s="156" t="s">
        <v>177</v>
      </c>
      <c r="E40" s="156">
        <f>AVERAGE(G40:AF40)</f>
        <v>16.55</v>
      </c>
      <c r="F40" s="215" t="s">
        <v>179</v>
      </c>
      <c r="G40" s="158">
        <f>(20+G32)-G39</f>
        <v>16</v>
      </c>
      <c r="H40" s="158">
        <f>(20+H32)-H39</f>
        <v>15</v>
      </c>
      <c r="I40" s="158">
        <f>(20+I32)-I39</f>
        <v>15</v>
      </c>
      <c r="J40" s="158">
        <f>(20+J32)-J39</f>
        <v>15</v>
      </c>
      <c r="K40" s="158">
        <f>(20+K32)-K39</f>
        <v>16</v>
      </c>
      <c r="L40" s="158"/>
      <c r="M40" s="158"/>
      <c r="N40" s="158">
        <f>(20+N32)-N39</f>
        <v>17</v>
      </c>
      <c r="O40" s="158">
        <f>(20+O32)-O39</f>
        <v>18</v>
      </c>
      <c r="P40" s="158">
        <f>(20+P32)-P39</f>
        <v>17</v>
      </c>
      <c r="Q40" s="158">
        <f>(20+Q32)-Q39</f>
        <v>18</v>
      </c>
      <c r="R40" s="158">
        <f>(20+R32)-R39</f>
        <v>18</v>
      </c>
      <c r="S40" s="158"/>
      <c r="T40" s="158"/>
      <c r="U40" s="158">
        <f>(20+U32)-U39</f>
        <v>17</v>
      </c>
      <c r="V40" s="158">
        <f>(20+V32)-V39</f>
        <v>18</v>
      </c>
      <c r="W40" s="158">
        <f>(20+W32)-W39</f>
        <v>17</v>
      </c>
      <c r="X40" s="158">
        <f>(20+X32)-X39</f>
        <v>17</v>
      </c>
      <c r="Y40" s="158">
        <f>(20+Y32)-Y39</f>
        <v>17</v>
      </c>
      <c r="Z40" s="158"/>
      <c r="AA40" s="158"/>
      <c r="AB40" s="158">
        <f>(20+AB32)-AB39</f>
        <v>17</v>
      </c>
      <c r="AC40" s="158">
        <f>(20+AC32)-AC39</f>
        <v>16</v>
      </c>
      <c r="AD40" s="158">
        <f>(20+AD32)-AD39</f>
        <v>16</v>
      </c>
      <c r="AE40" s="158">
        <f>(20+AE32)-AE39</f>
        <v>16</v>
      </c>
      <c r="AF40" s="158">
        <f>(20+AF32)-AF39</f>
        <v>15</v>
      </c>
      <c r="AG40" s="158"/>
      <c r="AH40" s="159"/>
      <c r="AI40" s="14"/>
      <c r="AJ40" s="14"/>
      <c r="AK40" s="14"/>
    </row>
    <row r="41" spans="4:37" ht="18.75" customHeight="1">
      <c r="D41" s="156" t="s">
        <v>177</v>
      </c>
      <c r="E41" s="156">
        <f>AVERAGE(G41:AF41)</f>
        <v>16</v>
      </c>
      <c r="F41" s="216" t="s">
        <v>180</v>
      </c>
      <c r="G41" s="161">
        <v>16</v>
      </c>
      <c r="H41" s="161">
        <v>16</v>
      </c>
      <c r="I41" s="161">
        <v>16</v>
      </c>
      <c r="J41" s="161">
        <v>16</v>
      </c>
      <c r="K41" s="161">
        <v>16</v>
      </c>
      <c r="L41" s="161"/>
      <c r="M41" s="161"/>
      <c r="N41" s="161">
        <v>16</v>
      </c>
      <c r="O41" s="161">
        <v>16</v>
      </c>
      <c r="P41" s="161">
        <v>16</v>
      </c>
      <c r="Q41" s="161">
        <v>16</v>
      </c>
      <c r="R41" s="161">
        <v>16</v>
      </c>
      <c r="S41" s="162"/>
      <c r="T41" s="162"/>
      <c r="U41" s="161">
        <v>16</v>
      </c>
      <c r="V41" s="161">
        <v>16</v>
      </c>
      <c r="W41" s="161">
        <v>16</v>
      </c>
      <c r="X41" s="161">
        <v>16</v>
      </c>
      <c r="Y41" s="161">
        <v>16</v>
      </c>
      <c r="Z41" s="162"/>
      <c r="AA41" s="162"/>
      <c r="AB41" s="161">
        <v>16</v>
      </c>
      <c r="AC41" s="161">
        <v>16</v>
      </c>
      <c r="AD41" s="161">
        <v>16</v>
      </c>
      <c r="AE41" s="161">
        <v>16</v>
      </c>
      <c r="AF41" s="161">
        <v>16</v>
      </c>
      <c r="AG41" s="162"/>
      <c r="AH41" s="163"/>
      <c r="AI41" s="14"/>
      <c r="AJ41" s="14"/>
      <c r="AK41" s="14"/>
    </row>
    <row r="42" spans="4:37" ht="18.75" customHeight="1">
      <c r="D42" s="156" t="s">
        <v>177</v>
      </c>
      <c r="E42" s="164">
        <f>AVERAGE(G42:AF42)</f>
        <v>0.55000000000000004</v>
      </c>
      <c r="F42" s="217" t="s">
        <v>181</v>
      </c>
      <c r="G42" s="166">
        <f>G40-G41</f>
        <v>0</v>
      </c>
      <c r="H42" s="166">
        <f>H40-H41</f>
        <v>-1</v>
      </c>
      <c r="I42" s="166">
        <f>I40-I41</f>
        <v>-1</v>
      </c>
      <c r="J42" s="166">
        <f>J40-J41</f>
        <v>-1</v>
      </c>
      <c r="K42" s="166">
        <f>K40-K41</f>
        <v>0</v>
      </c>
      <c r="L42" s="166"/>
      <c r="M42" s="166"/>
      <c r="N42" s="166">
        <f>N40-N41</f>
        <v>1</v>
      </c>
      <c r="O42" s="166">
        <f>O40-O41</f>
        <v>2</v>
      </c>
      <c r="P42" s="166">
        <f>P40-P41</f>
        <v>1</v>
      </c>
      <c r="Q42" s="166">
        <f>Q40-Q41</f>
        <v>2</v>
      </c>
      <c r="R42" s="166">
        <f>R40-R41</f>
        <v>2</v>
      </c>
      <c r="S42" s="166"/>
      <c r="T42" s="166"/>
      <c r="U42" s="166">
        <f>U40-U41</f>
        <v>1</v>
      </c>
      <c r="V42" s="166">
        <f>V40-V41</f>
        <v>2</v>
      </c>
      <c r="W42" s="166">
        <f>W40-W41</f>
        <v>1</v>
      </c>
      <c r="X42" s="166">
        <f>X40-X41</f>
        <v>1</v>
      </c>
      <c r="Y42" s="166">
        <f>Y40-Y41</f>
        <v>1</v>
      </c>
      <c r="Z42" s="166"/>
      <c r="AA42" s="166"/>
      <c r="AB42" s="166">
        <f>AB40-AB41</f>
        <v>1</v>
      </c>
      <c r="AC42" s="166">
        <f>AC40-AC41</f>
        <v>0</v>
      </c>
      <c r="AD42" s="166">
        <f>AD40-AD41</f>
        <v>0</v>
      </c>
      <c r="AE42" s="166">
        <f>AE40-AE41</f>
        <v>0</v>
      </c>
      <c r="AF42" s="166">
        <f>AF40-AF41</f>
        <v>-1</v>
      </c>
      <c r="AG42" s="166"/>
      <c r="AH42" s="167"/>
      <c r="AI42" s="14"/>
      <c r="AJ42" s="14"/>
      <c r="AK42" s="14"/>
    </row>
    <row r="43" spans="4:37" ht="18.75" customHeight="1">
      <c r="F43" s="13"/>
      <c r="G43" s="14"/>
      <c r="H43" s="14">
        <v>8032</v>
      </c>
      <c r="I43" s="14">
        <v>8040</v>
      </c>
      <c r="J43" s="14">
        <v>8040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>
        <v>8008</v>
      </c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 spans="4:37" ht="18.75" customHeight="1">
      <c r="F44" s="13"/>
      <c r="G44" s="14"/>
      <c r="H44" s="14" t="s">
        <v>154</v>
      </c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 spans="4:37" ht="18.75" customHeight="1">
      <c r="F45" s="13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 spans="4:37" ht="18.75" customHeight="1">
      <c r="F46" s="13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</row>
    <row r="47" spans="4:37" ht="18.75" customHeight="1">
      <c r="F47" s="13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 spans="4:37" ht="18.75" customHeight="1">
      <c r="F48" s="13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 spans="6:37" ht="18.75" customHeight="1">
      <c r="F49" s="13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 spans="6:37" ht="18.75" customHeight="1">
      <c r="F50" s="13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 spans="6:37" ht="18.75" customHeight="1">
      <c r="F51" s="13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 spans="6:37" ht="18.75" customHeight="1">
      <c r="F52" s="13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 spans="6:37" ht="18.75" customHeight="1">
      <c r="F53" s="13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 spans="6:37" ht="18.75" customHeight="1">
      <c r="F54" s="13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 spans="6:37" ht="18.75" customHeight="1">
      <c r="F55" s="13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</row>
    <row r="56" spans="6:37" ht="18.75" customHeight="1">
      <c r="F56" s="13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 spans="6:37" ht="18.75" customHeight="1">
      <c r="F57" s="13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 spans="6:37" ht="18.75" customHeight="1">
      <c r="F58" s="13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</row>
    <row r="59" spans="6:37" ht="18.75" customHeight="1">
      <c r="F59" s="13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</row>
    <row r="60" spans="6:37" ht="18.75" customHeight="1">
      <c r="F60" s="13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 spans="6:37" ht="18.75" customHeight="1">
      <c r="F61" s="13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</row>
    <row r="62" spans="6:37" ht="18.75" customHeight="1">
      <c r="F62" s="13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 spans="6:37" ht="18.75" customHeight="1">
      <c r="F63" s="13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</row>
    <row r="64" spans="6:37" ht="18.75" customHeight="1">
      <c r="F64" s="13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</row>
    <row r="65" spans="6:37" ht="18.75" customHeight="1">
      <c r="F65" s="13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 spans="6:37" ht="18.75" customHeight="1">
      <c r="F66" s="13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</row>
    <row r="67" spans="6:37" ht="18.75" customHeight="1">
      <c r="F67" s="13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</row>
    <row r="68" spans="6:37" ht="18.75" customHeight="1">
      <c r="F68" s="13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</row>
    <row r="69" spans="6:37" ht="18.75" customHeight="1">
      <c r="F69" s="13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</row>
    <row r="70" spans="6:37" ht="18.75" customHeight="1">
      <c r="F70" s="13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</row>
    <row r="71" spans="6:37" ht="18.75" customHeight="1">
      <c r="F71" s="13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</row>
    <row r="72" spans="6:37" ht="18.75" customHeight="1">
      <c r="F72" s="13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 spans="6:37" ht="18.75" customHeight="1">
      <c r="F73" s="13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</row>
    <row r="74" spans="6:37" ht="18.75" customHeight="1">
      <c r="F74" s="13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</row>
    <row r="75" spans="6:37" ht="18.75" customHeight="1">
      <c r="F75" s="13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 spans="6:37" ht="18.75" customHeight="1">
      <c r="F76" s="13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</row>
    <row r="77" spans="6:37" ht="18.75" customHeight="1">
      <c r="F77" s="13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</row>
    <row r="78" spans="6:37" ht="18.75" customHeight="1">
      <c r="F78" s="13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 spans="6:37" ht="18.75" customHeight="1">
      <c r="F79" s="13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 spans="6:37" ht="18.75" customHeight="1">
      <c r="F80" s="13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</row>
    <row r="81" spans="6:37" ht="18.75" customHeight="1">
      <c r="F81" s="13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</row>
    <row r="82" spans="6:37" ht="18.75" customHeight="1">
      <c r="F82" s="13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</row>
    <row r="83" spans="6:37" ht="18.75" customHeight="1">
      <c r="F83" s="13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  <row r="84" spans="6:37" ht="18.75" customHeight="1">
      <c r="F84" s="13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</row>
    <row r="85" spans="6:37" ht="18.75" customHeight="1">
      <c r="F85" s="13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</row>
    <row r="86" spans="6:37" ht="18.75" customHeight="1">
      <c r="F86" s="13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</row>
    <row r="87" spans="6:37" ht="18.75" customHeight="1">
      <c r="F87" s="13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</row>
    <row r="88" spans="6:37" ht="18.75" customHeight="1">
      <c r="F88" s="13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</row>
    <row r="89" spans="6:37" ht="18.75" customHeight="1">
      <c r="F89" s="13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</row>
    <row r="90" spans="6:37" ht="18.75" customHeight="1">
      <c r="F90" s="13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</row>
    <row r="91" spans="6:37" ht="18.75" customHeight="1">
      <c r="F91" s="13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</row>
    <row r="92" spans="6:37" ht="18.75" customHeight="1">
      <c r="F92" s="13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</row>
    <row r="93" spans="6:37" ht="18.75" customHeight="1">
      <c r="F93" s="13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</row>
    <row r="94" spans="6:37" ht="18.75" customHeight="1">
      <c r="F94" s="13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</row>
    <row r="95" spans="6:37" ht="18.75" customHeight="1">
      <c r="F95" s="13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</row>
    <row r="96" spans="6:37" ht="18.75" customHeight="1">
      <c r="F96" s="13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</row>
    <row r="97" spans="6:37" ht="18.75" customHeight="1">
      <c r="F97" s="13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</row>
    <row r="98" spans="6:37" ht="18.75" customHeight="1">
      <c r="F98" s="13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</row>
    <row r="99" spans="6:37" ht="18.75" customHeight="1">
      <c r="F99" s="13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</row>
    <row r="100" spans="6:37" ht="18.75" customHeight="1">
      <c r="F100" s="13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</row>
    <row r="101" spans="6:37" ht="18.75" customHeight="1">
      <c r="F101" s="13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 spans="6:37" ht="18.75" customHeight="1">
      <c r="F102" s="13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</row>
    <row r="103" spans="6:37" ht="18.75" customHeight="1">
      <c r="F103" s="13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</row>
    <row r="104" spans="6:37" ht="18.75" customHeight="1">
      <c r="F104" s="13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</row>
    <row r="105" spans="6:37" ht="18.75" customHeight="1">
      <c r="F105" s="13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</row>
    <row r="106" spans="6:37" ht="18.75" customHeight="1">
      <c r="F106" s="13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</row>
    <row r="107" spans="6:37" ht="18.75" customHeight="1">
      <c r="F107" s="13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</row>
    <row r="108" spans="6:37" ht="18.75" customHeight="1">
      <c r="F108" s="13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</row>
    <row r="109" spans="6:37" ht="18.75" customHeight="1">
      <c r="F109" s="13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</row>
    <row r="110" spans="6:37" ht="18.75" customHeight="1">
      <c r="F110" s="13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</row>
    <row r="111" spans="6:37" ht="18.75" customHeight="1">
      <c r="F111" s="13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</row>
    <row r="112" spans="6:37" ht="18.75" customHeight="1">
      <c r="F112" s="13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</row>
    <row r="113" spans="6:37" ht="18.75" customHeight="1">
      <c r="F113" s="13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</row>
    <row r="114" spans="6:37" ht="18.75" customHeight="1">
      <c r="F114" s="13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</row>
    <row r="115" spans="6:37" ht="18.75" customHeight="1">
      <c r="F115" s="13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</row>
    <row r="116" spans="6:37" ht="18.75" customHeight="1">
      <c r="F116" s="13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</row>
    <row r="117" spans="6:37" ht="18.75" customHeight="1">
      <c r="F117" s="13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</row>
    <row r="118" spans="6:37" ht="18.75" customHeight="1">
      <c r="F118" s="13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</row>
    <row r="119" spans="6:37" ht="18.75" customHeight="1">
      <c r="F119" s="13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</row>
    <row r="120" spans="6:37" ht="18.75" customHeight="1">
      <c r="F120" s="13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 spans="6:37" ht="18.75" customHeight="1">
      <c r="F121" s="13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</row>
    <row r="122" spans="6:37" ht="18.75" customHeight="1">
      <c r="F122" s="13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</row>
    <row r="123" spans="6:37" ht="18.75" customHeight="1">
      <c r="F123" s="13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</row>
    <row r="124" spans="6:37" ht="18.75" customHeight="1">
      <c r="F124" s="13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</row>
    <row r="125" spans="6:37" ht="18.75" customHeight="1">
      <c r="F125" s="13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</row>
    <row r="126" spans="6:37" ht="18.75" customHeight="1">
      <c r="F126" s="13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</row>
    <row r="127" spans="6:37" ht="18.75" customHeight="1">
      <c r="F127" s="13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</row>
    <row r="128" spans="6:37" ht="18.75" customHeight="1">
      <c r="F128" s="13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</row>
    <row r="129" spans="6:37" ht="18.75" customHeight="1">
      <c r="F129" s="13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</row>
    <row r="130" spans="6:37" ht="18.75" customHeight="1">
      <c r="F130" s="13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</row>
    <row r="131" spans="6:37" ht="18.75" customHeight="1">
      <c r="F131" s="13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</row>
    <row r="132" spans="6:37" ht="18.75" customHeight="1">
      <c r="F132" s="13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</row>
    <row r="133" spans="6:37" ht="18.75" customHeight="1">
      <c r="F133" s="13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</row>
    <row r="134" spans="6:37" ht="18.75" customHeight="1">
      <c r="F134" s="13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</row>
    <row r="135" spans="6:37" ht="18.75" customHeight="1">
      <c r="F135" s="13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</row>
    <row r="136" spans="6:37" ht="18.75" customHeight="1">
      <c r="F136" s="13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</row>
    <row r="137" spans="6:37" ht="18.75" customHeight="1">
      <c r="F137" s="13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</row>
    <row r="138" spans="6:37" ht="18.75" customHeight="1">
      <c r="F138" s="13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</row>
    <row r="139" spans="6:37" ht="18.75" customHeight="1">
      <c r="F139" s="13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</row>
    <row r="140" spans="6:37" ht="18.75" customHeight="1">
      <c r="F140" s="13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</row>
    <row r="141" spans="6:37" ht="18.75" customHeight="1">
      <c r="F141" s="13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</row>
    <row r="142" spans="6:37" ht="18.75" customHeight="1">
      <c r="F142" s="13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</row>
    <row r="143" spans="6:37" ht="18.75" customHeight="1">
      <c r="F143" s="13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</row>
    <row r="144" spans="6:37" ht="18.75" customHeight="1">
      <c r="F144" s="13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</row>
    <row r="145" spans="6:37" ht="18.75" customHeight="1">
      <c r="F145" s="13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</row>
    <row r="146" spans="6:37" ht="18.75" customHeight="1">
      <c r="F146" s="13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</row>
    <row r="147" spans="6:37" ht="18.75" customHeight="1">
      <c r="F147" s="13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</row>
    <row r="148" spans="6:37" ht="18.75" customHeight="1">
      <c r="F148" s="13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</row>
    <row r="149" spans="6:37" ht="18.75" customHeight="1">
      <c r="F149" s="13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</row>
    <row r="150" spans="6:37" ht="18.75" customHeight="1">
      <c r="F150" s="13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</row>
    <row r="151" spans="6:37" ht="18.75" customHeight="1">
      <c r="F151" s="13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</row>
    <row r="152" spans="6:37" ht="18.75" customHeight="1">
      <c r="F152" s="13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</row>
    <row r="153" spans="6:37" ht="18.75" customHeight="1">
      <c r="F153" s="13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</row>
    <row r="154" spans="6:37" ht="18.75" customHeight="1">
      <c r="F154" s="13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</row>
    <row r="155" spans="6:37" ht="18.75" customHeight="1">
      <c r="F155" s="13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</row>
    <row r="156" spans="6:37" ht="18.75" customHeight="1">
      <c r="F156" s="13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</row>
    <row r="157" spans="6:37" ht="18.75" customHeight="1">
      <c r="F157" s="13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</row>
    <row r="158" spans="6:37" ht="18.75" customHeight="1">
      <c r="F158" s="13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</row>
    <row r="159" spans="6:37" ht="18.75" customHeight="1">
      <c r="F159" s="13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</row>
    <row r="160" spans="6:37" ht="18.75" customHeight="1">
      <c r="F160" s="13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</row>
    <row r="161" spans="6:37" ht="18.75" customHeight="1">
      <c r="F161" s="13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</row>
    <row r="162" spans="6:37" ht="18.75" customHeight="1">
      <c r="F162" s="13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</row>
    <row r="163" spans="6:37" ht="18.75" customHeight="1">
      <c r="F163" s="13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</row>
    <row r="164" spans="6:37" ht="18.75" customHeight="1">
      <c r="F164" s="13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</row>
    <row r="165" spans="6:37" ht="18.75" customHeight="1">
      <c r="F165" s="13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</row>
    <row r="166" spans="6:37" ht="18.75" customHeight="1">
      <c r="F166" s="13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</row>
    <row r="167" spans="6:37" ht="18.75" customHeight="1">
      <c r="F167" s="13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</row>
    <row r="168" spans="6:37" ht="18.75" customHeight="1">
      <c r="F168" s="13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</row>
    <row r="169" spans="6:37" ht="18.75" customHeight="1">
      <c r="F169" s="13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</row>
    <row r="170" spans="6:37" ht="18.75" customHeight="1">
      <c r="F170" s="13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</row>
    <row r="171" spans="6:37" ht="18.75" customHeight="1">
      <c r="F171" s="13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</row>
    <row r="172" spans="6:37" ht="18.75" customHeight="1">
      <c r="F172" s="13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</row>
    <row r="173" spans="6:37" ht="18.75" customHeight="1">
      <c r="F173" s="13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</row>
    <row r="174" spans="6:37" ht="18.75" customHeight="1">
      <c r="F174" s="13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</row>
    <row r="175" spans="6:37" ht="18.75" customHeight="1">
      <c r="F175" s="13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</row>
    <row r="176" spans="6:37" ht="18.75" customHeight="1">
      <c r="F176" s="13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</row>
    <row r="177" spans="6:37" ht="18.75" customHeight="1">
      <c r="F177" s="13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</row>
    <row r="178" spans="6:37" ht="18.75" customHeight="1">
      <c r="F178" s="13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</row>
    <row r="179" spans="6:37" ht="18.75" customHeight="1">
      <c r="F179" s="13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</row>
    <row r="180" spans="6:37" ht="18.75" customHeight="1">
      <c r="F180" s="13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</row>
    <row r="181" spans="6:37" ht="18.75" customHeight="1">
      <c r="F181" s="13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</row>
    <row r="182" spans="6:37" ht="18.75" customHeight="1">
      <c r="F182" s="13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</row>
    <row r="183" spans="6:37" ht="18.75" customHeight="1">
      <c r="F183" s="13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</row>
    <row r="184" spans="6:37" ht="18.75" customHeight="1">
      <c r="F184" s="13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</row>
    <row r="185" spans="6:37" ht="18.75" customHeight="1">
      <c r="F185" s="13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</row>
    <row r="186" spans="6:37" ht="18.75" customHeight="1">
      <c r="F186" s="13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</row>
    <row r="187" spans="6:37" ht="18.75" customHeight="1">
      <c r="F187" s="13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</row>
    <row r="188" spans="6:37" ht="18.75" customHeight="1">
      <c r="F188" s="13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</row>
    <row r="189" spans="6:37" ht="18.75" customHeight="1">
      <c r="F189" s="13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</row>
    <row r="190" spans="6:37" ht="18.75" customHeight="1">
      <c r="F190" s="13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</row>
    <row r="191" spans="6:37" ht="18.75" customHeight="1">
      <c r="F191" s="13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</row>
    <row r="192" spans="6:37" ht="18.75" customHeight="1">
      <c r="F192" s="13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</row>
    <row r="193" spans="6:37" ht="18.75" customHeight="1">
      <c r="F193" s="13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</row>
    <row r="194" spans="6:37" ht="18.75" customHeight="1">
      <c r="F194" s="13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</row>
    <row r="195" spans="6:37" ht="18.75" customHeight="1">
      <c r="F195" s="13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</row>
    <row r="196" spans="6:37" ht="18.75" customHeight="1">
      <c r="F196" s="13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</row>
    <row r="197" spans="6:37" ht="18.75" customHeight="1">
      <c r="F197" s="13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</row>
    <row r="198" spans="6:37" ht="18.75" customHeight="1">
      <c r="F198" s="13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</row>
    <row r="199" spans="6:37" ht="18.75" customHeight="1">
      <c r="F199" s="13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</row>
    <row r="200" spans="6:37" ht="18.75" customHeight="1">
      <c r="F200" s="13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</row>
    <row r="201" spans="6:37" ht="18.75" customHeight="1">
      <c r="F201" s="13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</row>
    <row r="202" spans="6:37" ht="18.75" customHeight="1">
      <c r="F202" s="13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</row>
    <row r="203" spans="6:37" ht="18.75" customHeight="1">
      <c r="F203" s="13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</row>
    <row r="204" spans="6:37" ht="18.75" customHeight="1">
      <c r="F204" s="13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</row>
    <row r="205" spans="6:37" ht="18.75" customHeight="1">
      <c r="F205" s="13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</row>
    <row r="206" spans="6:37" ht="18.75" customHeight="1">
      <c r="F206" s="13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</row>
    <row r="207" spans="6:37" ht="18.75" customHeight="1">
      <c r="F207" s="13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</row>
    <row r="208" spans="6:37" ht="18.75" customHeight="1">
      <c r="F208" s="13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</row>
    <row r="209" spans="6:37" ht="18.75" customHeight="1">
      <c r="F209" s="13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</row>
    <row r="210" spans="6:37" ht="18.75" customHeight="1">
      <c r="F210" s="13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</row>
    <row r="211" spans="6:37" ht="18.75" customHeight="1">
      <c r="F211" s="13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</row>
    <row r="212" spans="6:37" ht="18.75" customHeight="1">
      <c r="F212" s="13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</row>
    <row r="213" spans="6:37" ht="18.75" customHeight="1">
      <c r="F213" s="13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</row>
    <row r="214" spans="6:37" ht="18.75" customHeight="1">
      <c r="F214" s="13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</row>
    <row r="215" spans="6:37" ht="18.75" customHeight="1">
      <c r="F215" s="13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</row>
    <row r="216" spans="6:37" ht="18.75" customHeight="1">
      <c r="F216" s="13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</row>
    <row r="217" spans="6:37" ht="18.75" customHeight="1">
      <c r="F217" s="13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</row>
    <row r="218" spans="6:37" ht="18.75" customHeight="1">
      <c r="F218" s="13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</row>
    <row r="219" spans="6:37" ht="18.75" customHeight="1">
      <c r="F219" s="13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</row>
    <row r="220" spans="6:37" ht="18.75" customHeight="1">
      <c r="F220" s="13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</row>
    <row r="221" spans="6:37" ht="18.75" customHeight="1">
      <c r="F221" s="13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</row>
    <row r="222" spans="6:37" ht="18.75" customHeight="1">
      <c r="F222" s="13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</row>
    <row r="223" spans="6:37" ht="18.75" customHeight="1">
      <c r="F223" s="13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</row>
    <row r="224" spans="6:37" ht="18.75" customHeight="1">
      <c r="F224" s="13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</row>
    <row r="225" spans="6:37" ht="18.75" customHeight="1">
      <c r="F225" s="13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</row>
    <row r="226" spans="6:37" ht="18.75" customHeight="1">
      <c r="F226" s="13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</row>
    <row r="227" spans="6:37" ht="18.75" customHeight="1">
      <c r="F227" s="13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</row>
    <row r="228" spans="6:37" ht="18.75" customHeight="1">
      <c r="F228" s="13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</row>
    <row r="229" spans="6:37" ht="18.75" customHeight="1">
      <c r="F229" s="13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</row>
    <row r="230" spans="6:37" ht="18.75" customHeight="1">
      <c r="F230" s="13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</row>
    <row r="231" spans="6:37" ht="18.75" customHeight="1">
      <c r="F231" s="13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</row>
    <row r="232" spans="6:37" ht="18.75" customHeight="1">
      <c r="F232" s="13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</row>
    <row r="233" spans="6:37" ht="18.75" customHeight="1">
      <c r="F233" s="13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</row>
    <row r="234" spans="6:37" ht="18.75" customHeight="1">
      <c r="F234" s="13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</row>
    <row r="235" spans="6:37" ht="18.75" customHeight="1">
      <c r="F235" s="13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</row>
    <row r="236" spans="6:37" ht="18.75" customHeight="1">
      <c r="F236" s="13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</row>
    <row r="237" spans="6:37" ht="18.75" customHeight="1">
      <c r="F237" s="13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</row>
    <row r="238" spans="6:37" ht="18.75" customHeight="1">
      <c r="F238" s="13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</row>
    <row r="239" spans="6:37" ht="18.75" customHeight="1">
      <c r="F239" s="13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</row>
    <row r="240" spans="6:37" ht="18.75" customHeight="1">
      <c r="F240" s="13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</row>
    <row r="241" spans="6:37" ht="18.75" customHeight="1">
      <c r="F241" s="13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</row>
    <row r="242" spans="6:37" ht="18.75" customHeight="1">
      <c r="F242" s="13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</row>
    <row r="243" spans="6:37" ht="18.75" customHeight="1">
      <c r="F243" s="13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</row>
    <row r="244" spans="6:37" ht="18.75" customHeight="1">
      <c r="F244" s="13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</row>
    <row r="245" spans="6:37" ht="18.75" customHeight="1">
      <c r="F245" s="13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</row>
    <row r="246" spans="6:37" ht="18.75" customHeight="1">
      <c r="F246" s="13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</row>
    <row r="247" spans="6:37" ht="18.75" customHeight="1">
      <c r="F247" s="13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</row>
    <row r="248" spans="6:37" ht="18.75" customHeight="1">
      <c r="F248" s="13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</row>
    <row r="249" spans="6:37" ht="18.75" customHeight="1">
      <c r="F249" s="13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</row>
    <row r="250" spans="6:37" ht="18.75" customHeight="1">
      <c r="F250" s="13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</row>
    <row r="251" spans="6:37" ht="18.75" customHeight="1">
      <c r="F251" s="13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</row>
    <row r="252" spans="6:37" ht="18.75" customHeight="1">
      <c r="F252" s="13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</row>
    <row r="253" spans="6:37" ht="18.75" customHeight="1">
      <c r="F253" s="13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</row>
    <row r="254" spans="6:37" ht="18.75" customHeight="1">
      <c r="F254" s="13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</row>
    <row r="255" spans="6:37" ht="18.75" customHeight="1">
      <c r="F255" s="13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</row>
    <row r="256" spans="6:37" ht="18.75" customHeight="1">
      <c r="F256" s="13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</row>
    <row r="257" spans="6:37" ht="18.75" customHeight="1">
      <c r="F257" s="13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</row>
    <row r="258" spans="6:37" ht="18.75" customHeight="1">
      <c r="F258" s="13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</row>
    <row r="259" spans="6:37" ht="18.75" customHeight="1">
      <c r="F259" s="13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</row>
    <row r="260" spans="6:37" ht="18.75" customHeight="1">
      <c r="F260" s="13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</row>
    <row r="261" spans="6:37" ht="18.75" customHeight="1">
      <c r="F261" s="13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</row>
    <row r="262" spans="6:37" ht="18.75" customHeight="1">
      <c r="F262" s="13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</row>
    <row r="263" spans="6:37" ht="18.75" customHeight="1">
      <c r="F263" s="13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</row>
    <row r="264" spans="6:37" ht="18.75" customHeight="1">
      <c r="F264" s="13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</row>
    <row r="265" spans="6:37" ht="18.75" customHeight="1">
      <c r="F265" s="13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</row>
    <row r="266" spans="6:37" ht="18.75" customHeight="1">
      <c r="F266" s="13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</row>
    <row r="267" spans="6:37" ht="18.75" customHeight="1">
      <c r="F267" s="13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</row>
    <row r="268" spans="6:37" ht="18.75" customHeight="1">
      <c r="F268" s="13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</row>
    <row r="269" spans="6:37" ht="18.75" customHeight="1">
      <c r="F269" s="13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</row>
    <row r="270" spans="6:37" ht="18.75" customHeight="1">
      <c r="F270" s="13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</row>
    <row r="271" spans="6:37" ht="18.75" customHeight="1">
      <c r="F271" s="13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</row>
    <row r="272" spans="6:37" ht="18.75" customHeight="1">
      <c r="F272" s="13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</row>
    <row r="273" spans="6:37" ht="18.75" customHeight="1">
      <c r="F273" s="13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</row>
    <row r="274" spans="6:37" ht="18.75" customHeight="1">
      <c r="F274" s="13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</row>
    <row r="275" spans="6:37" ht="18.75" customHeight="1">
      <c r="F275" s="13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</row>
    <row r="276" spans="6:37" ht="18.75" customHeight="1">
      <c r="F276" s="13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</row>
    <row r="277" spans="6:37" ht="18.75" customHeight="1">
      <c r="F277" s="13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</row>
    <row r="278" spans="6:37" ht="18.75" customHeight="1">
      <c r="F278" s="13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</row>
    <row r="279" spans="6:37" ht="18.75" customHeight="1">
      <c r="F279" s="13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</row>
    <row r="280" spans="6:37" ht="18.75" customHeight="1">
      <c r="F280" s="13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</row>
    <row r="281" spans="6:37" ht="18.75" customHeight="1">
      <c r="F281" s="13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</row>
    <row r="282" spans="6:37" ht="18.75" customHeight="1">
      <c r="F282" s="13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</row>
    <row r="283" spans="6:37" ht="18.75" customHeight="1">
      <c r="F283" s="13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</row>
    <row r="284" spans="6:37" ht="18.75" customHeight="1">
      <c r="F284" s="13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</row>
    <row r="285" spans="6:37" ht="18.75" customHeight="1">
      <c r="F285" s="13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</row>
    <row r="286" spans="6:37" ht="18.75" customHeight="1">
      <c r="F286" s="13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</row>
    <row r="287" spans="6:37" ht="18.75" customHeight="1">
      <c r="F287" s="13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</row>
    <row r="288" spans="6:37" ht="18.75" customHeight="1">
      <c r="F288" s="13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</row>
    <row r="289" spans="6:37" ht="18.75" customHeight="1">
      <c r="F289" s="13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</row>
    <row r="290" spans="6:37" ht="18.75" customHeight="1">
      <c r="F290" s="13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</row>
    <row r="291" spans="6:37" ht="18.75" customHeight="1">
      <c r="F291" s="13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</row>
    <row r="292" spans="6:37" ht="18.75" customHeight="1">
      <c r="F292" s="13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</row>
    <row r="293" spans="6:37" ht="18.75" customHeight="1">
      <c r="F293" s="13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</row>
    <row r="294" spans="6:37" ht="18.75" customHeight="1">
      <c r="F294" s="13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</row>
    <row r="295" spans="6:37" ht="18.75" customHeight="1">
      <c r="F295" s="13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</row>
    <row r="296" spans="6:37" ht="18.75" customHeight="1">
      <c r="F296" s="13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</row>
    <row r="297" spans="6:37" ht="18.75" customHeight="1">
      <c r="F297" s="13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</row>
    <row r="298" spans="6:37" ht="18.75" customHeight="1">
      <c r="F298" s="13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</row>
    <row r="299" spans="6:37" ht="18.75" customHeight="1">
      <c r="F299" s="13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</row>
    <row r="300" spans="6:37" ht="18.75" customHeight="1">
      <c r="F300" s="13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</row>
    <row r="301" spans="6:37" ht="18.75" customHeight="1">
      <c r="F301" s="13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</row>
    <row r="302" spans="6:37" ht="18.75" customHeight="1">
      <c r="F302" s="13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</row>
    <row r="303" spans="6:37" ht="18.75" customHeight="1">
      <c r="F303" s="13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</row>
    <row r="304" spans="6:37" ht="18.75" customHeight="1">
      <c r="F304" s="13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</row>
    <row r="305" spans="6:37" ht="18.75" customHeight="1">
      <c r="F305" s="13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</row>
    <row r="306" spans="6:37" ht="18.75" customHeight="1">
      <c r="F306" s="13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</row>
    <row r="307" spans="6:37" ht="18.75" customHeight="1">
      <c r="F307" s="13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</row>
    <row r="308" spans="6:37" ht="18.75" customHeight="1">
      <c r="F308" s="13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</row>
    <row r="309" spans="6:37" ht="18.75" customHeight="1">
      <c r="F309" s="13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</row>
    <row r="310" spans="6:37" ht="18.75" customHeight="1">
      <c r="F310" s="13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</row>
    <row r="311" spans="6:37" ht="18.75" customHeight="1">
      <c r="F311" s="13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</row>
    <row r="312" spans="6:37" ht="18.75" customHeight="1">
      <c r="F312" s="13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</row>
    <row r="313" spans="6:37" ht="18.75" customHeight="1">
      <c r="F313" s="13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</row>
    <row r="314" spans="6:37" ht="18.75" customHeight="1">
      <c r="F314" s="13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</row>
    <row r="315" spans="6:37" ht="18.75" customHeight="1">
      <c r="F315" s="13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</row>
    <row r="316" spans="6:37" ht="18.75" customHeight="1">
      <c r="F316" s="13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</row>
    <row r="317" spans="6:37" ht="18.75" customHeight="1">
      <c r="F317" s="13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</row>
    <row r="318" spans="6:37" ht="18.75" customHeight="1">
      <c r="F318" s="13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</row>
    <row r="319" spans="6:37" ht="18.75" customHeight="1">
      <c r="F319" s="13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</row>
    <row r="320" spans="6:37" ht="18.75" customHeight="1">
      <c r="F320" s="13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</row>
    <row r="321" spans="6:37" ht="18.75" customHeight="1">
      <c r="F321" s="13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</row>
    <row r="322" spans="6:37" ht="18.75" customHeight="1">
      <c r="F322" s="13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</row>
    <row r="323" spans="6:37" ht="18.75" customHeight="1">
      <c r="F323" s="13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</row>
    <row r="324" spans="6:37" ht="18.75" customHeight="1">
      <c r="F324" s="13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</row>
    <row r="325" spans="6:37" ht="18.75" customHeight="1">
      <c r="F325" s="13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</row>
    <row r="326" spans="6:37" ht="18.75" customHeight="1">
      <c r="F326" s="13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</row>
    <row r="327" spans="6:37" ht="18.75" customHeight="1">
      <c r="F327" s="13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</row>
    <row r="328" spans="6:37" ht="18.75" customHeight="1">
      <c r="F328" s="13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</row>
    <row r="329" spans="6:37" ht="18.75" customHeight="1">
      <c r="F329" s="13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</row>
    <row r="330" spans="6:37" ht="18.75" customHeight="1">
      <c r="F330" s="13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</row>
    <row r="331" spans="6:37" ht="18.75" customHeight="1">
      <c r="F331" s="13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</row>
    <row r="332" spans="6:37" ht="18.75" customHeight="1">
      <c r="F332" s="13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</row>
    <row r="333" spans="6:37" ht="18.75" customHeight="1">
      <c r="F333" s="13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</row>
    <row r="334" spans="6:37" ht="18.75" customHeight="1">
      <c r="F334" s="13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</row>
    <row r="335" spans="6:37" ht="18.75" customHeight="1">
      <c r="F335" s="13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</row>
    <row r="336" spans="6:37" ht="18.75" customHeight="1">
      <c r="F336" s="13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</row>
    <row r="337" spans="6:37" ht="18.75" customHeight="1">
      <c r="F337" s="13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</row>
    <row r="338" spans="6:37" ht="18.75" customHeight="1">
      <c r="F338" s="13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</row>
    <row r="339" spans="6:37" ht="18.75" customHeight="1">
      <c r="F339" s="13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</row>
    <row r="340" spans="6:37" ht="18.75" customHeight="1">
      <c r="F340" s="13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</row>
    <row r="341" spans="6:37" ht="18.75" customHeight="1">
      <c r="F341" s="13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</row>
    <row r="342" spans="6:37" ht="18.75" customHeight="1">
      <c r="F342" s="13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</row>
    <row r="343" spans="6:37" ht="18.75" customHeight="1">
      <c r="F343" s="13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</row>
    <row r="344" spans="6:37" ht="18.75" customHeight="1">
      <c r="F344" s="13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</row>
    <row r="345" spans="6:37" ht="18.75" customHeight="1">
      <c r="F345" s="13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</row>
    <row r="346" spans="6:37" ht="18.75" customHeight="1">
      <c r="F346" s="13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</row>
    <row r="347" spans="6:37" ht="18.75" customHeight="1">
      <c r="F347" s="13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</row>
    <row r="348" spans="6:37" ht="18.75" customHeight="1">
      <c r="F348" s="13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</row>
    <row r="349" spans="6:37" ht="18.75" customHeight="1">
      <c r="F349" s="13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</row>
    <row r="350" spans="6:37" ht="18.75" customHeight="1">
      <c r="F350" s="13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</row>
    <row r="351" spans="6:37" ht="18.75" customHeight="1">
      <c r="F351" s="13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</row>
    <row r="352" spans="6:37" ht="18.75" customHeight="1">
      <c r="F352" s="13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</row>
    <row r="353" spans="6:37" ht="18.75" customHeight="1">
      <c r="F353" s="13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</row>
    <row r="354" spans="6:37" ht="18.75" customHeight="1">
      <c r="F354" s="13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</row>
    <row r="355" spans="6:37" ht="18.75" customHeight="1">
      <c r="F355" s="13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</row>
    <row r="356" spans="6:37" ht="18.75" customHeight="1">
      <c r="F356" s="13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</row>
    <row r="357" spans="6:37" ht="18.75" customHeight="1">
      <c r="F357" s="13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</row>
    <row r="358" spans="6:37" ht="18.75" customHeight="1">
      <c r="F358" s="13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</row>
    <row r="359" spans="6:37" ht="18.75" customHeight="1">
      <c r="F359" s="13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</row>
    <row r="360" spans="6:37" ht="18.75" customHeight="1">
      <c r="F360" s="13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</row>
    <row r="361" spans="6:37" ht="18.75" customHeight="1">
      <c r="F361" s="13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</row>
    <row r="362" spans="6:37" ht="18.75" customHeight="1">
      <c r="F362" s="13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</row>
    <row r="363" spans="6:37" ht="18.75" customHeight="1">
      <c r="F363" s="13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</row>
    <row r="364" spans="6:37" ht="18.75" customHeight="1">
      <c r="F364" s="13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</row>
    <row r="365" spans="6:37" ht="18.75" customHeight="1">
      <c r="F365" s="13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</row>
    <row r="366" spans="6:37" ht="18.75" customHeight="1">
      <c r="F366" s="13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</row>
    <row r="367" spans="6:37" ht="18.75" customHeight="1">
      <c r="F367" s="13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</row>
    <row r="368" spans="6:37" ht="18.75" customHeight="1">
      <c r="F368" s="13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</row>
    <row r="369" spans="6:37" ht="18.75" customHeight="1">
      <c r="F369" s="13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</row>
    <row r="370" spans="6:37" ht="18.75" customHeight="1">
      <c r="F370" s="13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</row>
    <row r="371" spans="6:37" ht="18.75" customHeight="1">
      <c r="F371" s="13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</row>
    <row r="372" spans="6:37" ht="18.75" customHeight="1">
      <c r="F372" s="13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</row>
    <row r="373" spans="6:37" ht="18.75" customHeight="1">
      <c r="F373" s="13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</row>
    <row r="374" spans="6:37" ht="18.75" customHeight="1">
      <c r="F374" s="13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</row>
    <row r="375" spans="6:37" ht="18.75" customHeight="1">
      <c r="F375" s="13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</row>
    <row r="376" spans="6:37" ht="18.75" customHeight="1">
      <c r="F376" s="13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</row>
    <row r="377" spans="6:37" ht="18.75" customHeight="1">
      <c r="F377" s="13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</row>
    <row r="378" spans="6:37" ht="18.75" customHeight="1">
      <c r="F378" s="13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</row>
    <row r="379" spans="6:37" ht="18.75" customHeight="1">
      <c r="F379" s="13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</row>
    <row r="380" spans="6:37" ht="18.75" customHeight="1">
      <c r="F380" s="13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</row>
    <row r="381" spans="6:37" ht="18.75" customHeight="1">
      <c r="F381" s="13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</row>
    <row r="382" spans="6:37" ht="18.75" customHeight="1">
      <c r="F382" s="13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</row>
    <row r="383" spans="6:37" ht="18.75" customHeight="1">
      <c r="F383" s="13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</row>
    <row r="384" spans="6:37" ht="18.75" customHeight="1">
      <c r="F384" s="13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</row>
    <row r="385" spans="6:37" ht="18.75" customHeight="1">
      <c r="F385" s="13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</row>
    <row r="386" spans="6:37" ht="18.75" customHeight="1">
      <c r="F386" s="13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</row>
    <row r="387" spans="6:37" ht="18.75" customHeight="1">
      <c r="F387" s="13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</row>
    <row r="388" spans="6:37" ht="18.75" customHeight="1">
      <c r="F388" s="13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</row>
    <row r="389" spans="6:37" ht="18.75" customHeight="1">
      <c r="F389" s="13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</row>
    <row r="390" spans="6:37" ht="18.75" customHeight="1">
      <c r="F390" s="13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</row>
    <row r="391" spans="6:37" ht="18.75" customHeight="1">
      <c r="F391" s="13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</row>
    <row r="392" spans="6:37" ht="18.75" customHeight="1">
      <c r="F392" s="13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</row>
    <row r="393" spans="6:37" ht="18.75" customHeight="1">
      <c r="F393" s="13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</row>
    <row r="394" spans="6:37" ht="18.75" customHeight="1">
      <c r="F394" s="13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</row>
    <row r="395" spans="6:37" ht="18.75" customHeight="1">
      <c r="F395" s="13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</row>
    <row r="396" spans="6:37" ht="18.75" customHeight="1">
      <c r="F396" s="13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</row>
    <row r="397" spans="6:37" ht="18.75" customHeight="1">
      <c r="F397" s="13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</row>
    <row r="398" spans="6:37" ht="18.75" customHeight="1">
      <c r="F398" s="13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</row>
    <row r="399" spans="6:37" ht="18.75" customHeight="1">
      <c r="F399" s="13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</row>
    <row r="400" spans="6:37" ht="18.75" customHeight="1">
      <c r="F400" s="13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</row>
    <row r="401" spans="6:37" ht="18.75" customHeight="1">
      <c r="F401" s="13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</row>
    <row r="402" spans="6:37" ht="18.75" customHeight="1">
      <c r="F402" s="13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</row>
    <row r="403" spans="6:37" ht="18.75" customHeight="1">
      <c r="F403" s="13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</row>
    <row r="404" spans="6:37" ht="18.75" customHeight="1">
      <c r="F404" s="13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</row>
    <row r="405" spans="6:37" ht="18.75" customHeight="1">
      <c r="F405" s="13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</row>
    <row r="406" spans="6:37" ht="18.75" customHeight="1">
      <c r="F406" s="13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</row>
    <row r="407" spans="6:37" ht="18.75" customHeight="1">
      <c r="F407" s="13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</row>
    <row r="408" spans="6:37" ht="18.75" customHeight="1">
      <c r="F408" s="13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</row>
    <row r="409" spans="6:37" ht="18.75" customHeight="1">
      <c r="F409" s="13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</row>
    <row r="410" spans="6:37" ht="18.75" customHeight="1">
      <c r="F410" s="13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</row>
    <row r="411" spans="6:37" ht="18.75" customHeight="1">
      <c r="F411" s="13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</row>
    <row r="412" spans="6:37" ht="18.75" customHeight="1">
      <c r="F412" s="13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</row>
    <row r="413" spans="6:37" ht="18.75" customHeight="1">
      <c r="F413" s="13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</row>
    <row r="414" spans="6:37" ht="18.75" customHeight="1">
      <c r="F414" s="13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</row>
    <row r="415" spans="6:37" ht="18.75" customHeight="1">
      <c r="F415" s="13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</row>
    <row r="416" spans="6:37" ht="18.75" customHeight="1">
      <c r="F416" s="13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</row>
    <row r="417" spans="6:37" ht="18.75" customHeight="1">
      <c r="F417" s="13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</row>
    <row r="418" spans="6:37" ht="18.75" customHeight="1">
      <c r="F418" s="13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</row>
    <row r="419" spans="6:37" ht="18.75" customHeight="1">
      <c r="F419" s="13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</row>
    <row r="420" spans="6:37" ht="18.75" customHeight="1">
      <c r="F420" s="13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</row>
    <row r="421" spans="6:37" ht="18.75" customHeight="1">
      <c r="F421" s="13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</row>
    <row r="422" spans="6:37" ht="18.75" customHeight="1">
      <c r="F422" s="13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</row>
    <row r="423" spans="6:37" ht="18.75" customHeight="1">
      <c r="F423" s="13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</row>
    <row r="424" spans="6:37" ht="18.75" customHeight="1">
      <c r="F424" s="13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</row>
    <row r="425" spans="6:37" ht="18.75" customHeight="1">
      <c r="F425" s="13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</row>
    <row r="426" spans="6:37" ht="18.75" customHeight="1">
      <c r="F426" s="13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</row>
    <row r="427" spans="6:37" ht="18.75" customHeight="1">
      <c r="F427" s="13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</row>
    <row r="428" spans="6:37" ht="18.75" customHeight="1">
      <c r="F428" s="13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</row>
    <row r="429" spans="6:37" ht="18.75" customHeight="1">
      <c r="F429" s="13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</row>
    <row r="430" spans="6:37" ht="18.75" customHeight="1">
      <c r="F430" s="13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</row>
    <row r="431" spans="6:37" ht="18.75" customHeight="1">
      <c r="F431" s="13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</row>
    <row r="432" spans="6:37" ht="18.75" customHeight="1">
      <c r="F432" s="13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</row>
    <row r="433" spans="6:37" ht="18.75" customHeight="1">
      <c r="F433" s="13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</row>
    <row r="434" spans="6:37" ht="18.75" customHeight="1">
      <c r="F434" s="13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</row>
    <row r="435" spans="6:37" ht="18.75" customHeight="1">
      <c r="F435" s="13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</row>
    <row r="436" spans="6:37" ht="18.75" customHeight="1">
      <c r="F436" s="13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</row>
    <row r="437" spans="6:37" ht="18.75" customHeight="1">
      <c r="F437" s="13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</row>
    <row r="438" spans="6:37" ht="18.75" customHeight="1">
      <c r="F438" s="13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</row>
    <row r="439" spans="6:37" ht="18.75" customHeight="1">
      <c r="F439" s="13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</row>
    <row r="440" spans="6:37" ht="18.75" customHeight="1">
      <c r="F440" s="13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</row>
    <row r="441" spans="6:37" ht="18.75" customHeight="1">
      <c r="F441" s="13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</row>
    <row r="442" spans="6:37" ht="18.75" customHeight="1">
      <c r="F442" s="13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</row>
    <row r="443" spans="6:37" ht="18.75" customHeight="1">
      <c r="F443" s="13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</row>
    <row r="444" spans="6:37" ht="18.75" customHeight="1">
      <c r="F444" s="13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</row>
    <row r="445" spans="6:37" ht="18.75" customHeight="1">
      <c r="F445" s="13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</row>
    <row r="446" spans="6:37" ht="18.75" customHeight="1">
      <c r="F446" s="13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</row>
    <row r="447" spans="6:37" ht="18.75" customHeight="1">
      <c r="F447" s="13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</row>
    <row r="448" spans="6:37" ht="18.75" customHeight="1">
      <c r="F448" s="13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</row>
    <row r="449" spans="6:37" ht="18.75" customHeight="1">
      <c r="F449" s="13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</row>
    <row r="450" spans="6:37" ht="18.75" customHeight="1">
      <c r="F450" s="13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</row>
    <row r="451" spans="6:37" ht="18.75" customHeight="1">
      <c r="F451" s="13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</row>
    <row r="452" spans="6:37" ht="18.75" customHeight="1">
      <c r="F452" s="13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</row>
    <row r="453" spans="6:37" ht="18.75" customHeight="1">
      <c r="F453" s="13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</row>
    <row r="454" spans="6:37" ht="18.75" customHeight="1">
      <c r="F454" s="13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</row>
    <row r="455" spans="6:37" ht="18.75" customHeight="1">
      <c r="F455" s="13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</row>
    <row r="456" spans="6:37" ht="18.75" customHeight="1">
      <c r="F456" s="13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</row>
    <row r="457" spans="6:37" ht="18.75" customHeight="1">
      <c r="F457" s="13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</row>
    <row r="458" spans="6:37" ht="18.75" customHeight="1">
      <c r="F458" s="13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</row>
    <row r="459" spans="6:37" ht="18.75" customHeight="1">
      <c r="F459" s="13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</row>
    <row r="460" spans="6:37" ht="18.75" customHeight="1">
      <c r="F460" s="13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</row>
    <row r="461" spans="6:37" ht="18.75" customHeight="1">
      <c r="F461" s="13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</row>
    <row r="462" spans="6:37" ht="18.75" customHeight="1">
      <c r="F462" s="13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</row>
    <row r="463" spans="6:37" ht="18.75" customHeight="1">
      <c r="F463" s="13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</row>
    <row r="464" spans="6:37" ht="18.75" customHeight="1">
      <c r="F464" s="13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</row>
    <row r="465" spans="6:37" ht="18.75" customHeight="1">
      <c r="F465" s="13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</row>
    <row r="466" spans="6:37" ht="18.75" customHeight="1">
      <c r="F466" s="13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</row>
    <row r="467" spans="6:37" ht="18.75" customHeight="1">
      <c r="F467" s="13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</row>
    <row r="468" spans="6:37" ht="18.75" customHeight="1">
      <c r="F468" s="13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</row>
    <row r="469" spans="6:37" ht="18.75" customHeight="1">
      <c r="F469" s="13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</row>
    <row r="470" spans="6:37" ht="18.75" customHeight="1">
      <c r="F470" s="13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</row>
    <row r="471" spans="6:37" ht="18.75" customHeight="1">
      <c r="F471" s="13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</row>
    <row r="472" spans="6:37" ht="18.75" customHeight="1">
      <c r="F472" s="13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</row>
    <row r="473" spans="6:37" ht="18.75" customHeight="1">
      <c r="F473" s="13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</row>
    <row r="474" spans="6:37" ht="18.75" customHeight="1">
      <c r="F474" s="13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</row>
    <row r="475" spans="6:37" ht="18.75" customHeight="1">
      <c r="F475" s="13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</row>
    <row r="476" spans="6:37" ht="18.75" customHeight="1">
      <c r="F476" s="13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</row>
    <row r="477" spans="6:37" ht="18.75" customHeight="1">
      <c r="F477" s="13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</row>
    <row r="478" spans="6:37" ht="18.75" customHeight="1">
      <c r="F478" s="13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</row>
    <row r="479" spans="6:37" ht="18.75" customHeight="1">
      <c r="F479" s="13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</row>
    <row r="480" spans="6:37" ht="18.75" customHeight="1">
      <c r="F480" s="13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</row>
    <row r="481" spans="6:37" ht="18.75" customHeight="1">
      <c r="F481" s="13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</row>
    <row r="482" spans="6:37" ht="18.75" customHeight="1">
      <c r="F482" s="13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</row>
    <row r="483" spans="6:37" ht="18.75" customHeight="1">
      <c r="F483" s="13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</row>
    <row r="484" spans="6:37" ht="18.75" customHeight="1">
      <c r="F484" s="13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</row>
    <row r="485" spans="6:37" ht="18.75" customHeight="1">
      <c r="F485" s="13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</row>
    <row r="486" spans="6:37" ht="18.75" customHeight="1">
      <c r="F486" s="13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</row>
    <row r="487" spans="6:37" ht="18.75" customHeight="1">
      <c r="F487" s="13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</row>
    <row r="488" spans="6:37" ht="18.75" customHeight="1">
      <c r="F488" s="13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</row>
    <row r="489" spans="6:37" ht="18.75" customHeight="1">
      <c r="F489" s="13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</row>
    <row r="490" spans="6:37" ht="18.75" customHeight="1">
      <c r="F490" s="13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</row>
    <row r="491" spans="6:37" ht="18.75" customHeight="1">
      <c r="F491" s="13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</row>
    <row r="492" spans="6:37" ht="18.75" customHeight="1">
      <c r="F492" s="13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</row>
    <row r="493" spans="6:37" ht="18.75" customHeight="1">
      <c r="F493" s="13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</row>
    <row r="494" spans="6:37" ht="18.75" customHeight="1">
      <c r="F494" s="13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</row>
    <row r="495" spans="6:37" ht="18.75" customHeight="1">
      <c r="F495" s="13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</row>
    <row r="496" spans="6:37" ht="18.75" customHeight="1">
      <c r="F496" s="13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</row>
    <row r="497" spans="6:37" ht="18.75" customHeight="1">
      <c r="F497" s="13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</row>
    <row r="498" spans="6:37" ht="18.75" customHeight="1">
      <c r="F498" s="13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</row>
    <row r="499" spans="6:37" ht="18.75" customHeight="1">
      <c r="F499" s="13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</row>
    <row r="500" spans="6:37" ht="18.75" customHeight="1">
      <c r="F500" s="13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</row>
    <row r="501" spans="6:37" ht="18.75" customHeight="1">
      <c r="F501" s="13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</row>
    <row r="502" spans="6:37" ht="18.75" customHeight="1">
      <c r="F502" s="13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</row>
    <row r="503" spans="6:37" ht="18.75" customHeight="1">
      <c r="F503" s="13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</row>
    <row r="504" spans="6:37" ht="18.75" customHeight="1">
      <c r="F504" s="13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</row>
    <row r="505" spans="6:37" ht="18.75" customHeight="1">
      <c r="F505" s="13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</row>
    <row r="506" spans="6:37" ht="18.75" customHeight="1">
      <c r="F506" s="13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</row>
    <row r="507" spans="6:37" ht="18.75" customHeight="1">
      <c r="F507" s="13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</row>
    <row r="508" spans="6:37" ht="18.75" customHeight="1">
      <c r="F508" s="13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</row>
    <row r="509" spans="6:37" ht="18.75" customHeight="1">
      <c r="F509" s="13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</row>
    <row r="510" spans="6:37" ht="18.75" customHeight="1">
      <c r="F510" s="13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</row>
    <row r="511" spans="6:37" ht="18.75" customHeight="1">
      <c r="F511" s="13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</row>
    <row r="512" spans="6:37" ht="18.75" customHeight="1">
      <c r="F512" s="13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</row>
    <row r="513" spans="6:37" ht="18.75" customHeight="1">
      <c r="F513" s="13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</row>
    <row r="514" spans="6:37" ht="18.75" customHeight="1">
      <c r="F514" s="13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</row>
    <row r="515" spans="6:37" ht="18.75" customHeight="1">
      <c r="F515" s="13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</row>
    <row r="516" spans="6:37" ht="18.75" customHeight="1">
      <c r="F516" s="13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</row>
    <row r="517" spans="6:37" ht="18.75" customHeight="1">
      <c r="F517" s="13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</row>
    <row r="518" spans="6:37" ht="18.75" customHeight="1">
      <c r="F518" s="13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</row>
    <row r="519" spans="6:37" ht="18.75" customHeight="1">
      <c r="F519" s="13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</row>
    <row r="520" spans="6:37" ht="18.75" customHeight="1">
      <c r="F520" s="13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</row>
    <row r="521" spans="6:37" ht="18.75" customHeight="1">
      <c r="F521" s="13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</row>
    <row r="522" spans="6:37" ht="18.75" customHeight="1">
      <c r="F522" s="13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</row>
    <row r="523" spans="6:37" ht="18.75" customHeight="1">
      <c r="F523" s="13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</row>
    <row r="524" spans="6:37" ht="18.75" customHeight="1">
      <c r="F524" s="13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</row>
    <row r="525" spans="6:37" ht="18.75" customHeight="1">
      <c r="F525" s="13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</row>
    <row r="526" spans="6:37" ht="18.75" customHeight="1">
      <c r="F526" s="13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</row>
    <row r="527" spans="6:37" ht="18.75" customHeight="1">
      <c r="F527" s="13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</row>
    <row r="528" spans="6:37" ht="18.75" customHeight="1">
      <c r="F528" s="13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</row>
    <row r="529" spans="6:37" ht="18.75" customHeight="1">
      <c r="F529" s="13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</row>
    <row r="530" spans="6:37" ht="18.75" customHeight="1">
      <c r="F530" s="13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</row>
    <row r="531" spans="6:37" ht="18.75" customHeight="1">
      <c r="F531" s="13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</row>
    <row r="532" spans="6:37" ht="18.75" customHeight="1">
      <c r="F532" s="13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</row>
    <row r="533" spans="6:37" ht="18.75" customHeight="1">
      <c r="F533" s="13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</row>
    <row r="534" spans="6:37" ht="18.75" customHeight="1">
      <c r="F534" s="13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</row>
    <row r="535" spans="6:37" ht="18.75" customHeight="1">
      <c r="F535" s="13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</row>
    <row r="536" spans="6:37" ht="18.75" customHeight="1">
      <c r="F536" s="13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</row>
    <row r="537" spans="6:37" ht="18.75" customHeight="1">
      <c r="F537" s="13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</row>
    <row r="538" spans="6:37" ht="18.75" customHeight="1">
      <c r="F538" s="13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</row>
    <row r="539" spans="6:37" ht="18.75" customHeight="1">
      <c r="F539" s="13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</row>
    <row r="540" spans="6:37" ht="18.75" customHeight="1">
      <c r="F540" s="13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</row>
    <row r="541" spans="6:37" ht="18.75" customHeight="1">
      <c r="F541" s="13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</row>
    <row r="542" spans="6:37" ht="18.75" customHeight="1">
      <c r="F542" s="13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</row>
    <row r="543" spans="6:37" ht="18.75" customHeight="1">
      <c r="F543" s="13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</row>
    <row r="544" spans="6:37" ht="18.75" customHeight="1">
      <c r="F544" s="13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</row>
    <row r="545" spans="6:37" ht="18.75" customHeight="1">
      <c r="F545" s="13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</row>
    <row r="546" spans="6:37" ht="18.75" customHeight="1">
      <c r="F546" s="13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</row>
    <row r="547" spans="6:37" ht="18.75" customHeight="1">
      <c r="F547" s="13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</row>
    <row r="548" spans="6:37" ht="18.75" customHeight="1">
      <c r="F548" s="13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</row>
    <row r="549" spans="6:37" ht="18.75" customHeight="1">
      <c r="F549" s="13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</row>
    <row r="550" spans="6:37" ht="18.75" customHeight="1">
      <c r="F550" s="13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</row>
    <row r="551" spans="6:37" ht="18.75" customHeight="1">
      <c r="F551" s="13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</row>
    <row r="552" spans="6:37" ht="18.75" customHeight="1">
      <c r="F552" s="13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</row>
    <row r="553" spans="6:37" ht="18.75" customHeight="1">
      <c r="F553" s="13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</row>
    <row r="554" spans="6:37" ht="18.75" customHeight="1">
      <c r="F554" s="13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</row>
    <row r="555" spans="6:37" ht="18.75" customHeight="1">
      <c r="F555" s="13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</row>
    <row r="556" spans="6:37" ht="18.75" customHeight="1">
      <c r="F556" s="13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</row>
    <row r="557" spans="6:37" ht="18.75" customHeight="1">
      <c r="F557" s="13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</row>
    <row r="558" spans="6:37" ht="18.75" customHeight="1">
      <c r="F558" s="13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</row>
    <row r="559" spans="6:37" ht="18.75" customHeight="1">
      <c r="F559" s="13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</row>
    <row r="560" spans="6:37" ht="18.75" customHeight="1">
      <c r="F560" s="13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</row>
    <row r="561" spans="6:37" ht="18.75" customHeight="1">
      <c r="F561" s="13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</row>
    <row r="562" spans="6:37" ht="18.75" customHeight="1">
      <c r="F562" s="13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</row>
    <row r="563" spans="6:37" ht="18.75" customHeight="1">
      <c r="F563" s="13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</row>
    <row r="564" spans="6:37" ht="18.75" customHeight="1">
      <c r="F564" s="13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</row>
    <row r="565" spans="6:37" ht="18.75" customHeight="1">
      <c r="F565" s="13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</row>
    <row r="566" spans="6:37" ht="18.75" customHeight="1">
      <c r="F566" s="13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</row>
    <row r="567" spans="6:37" ht="18.75" customHeight="1">
      <c r="F567" s="13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</row>
    <row r="568" spans="6:37" ht="18.75" customHeight="1">
      <c r="F568" s="13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</row>
    <row r="569" spans="6:37" ht="18.75" customHeight="1">
      <c r="F569" s="13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</row>
    <row r="570" spans="6:37" ht="18.75" customHeight="1">
      <c r="F570" s="13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</row>
    <row r="571" spans="6:37" ht="18.75" customHeight="1">
      <c r="F571" s="13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</row>
    <row r="572" spans="6:37" ht="18.75" customHeight="1">
      <c r="F572" s="13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</row>
    <row r="573" spans="6:37" ht="18.75" customHeight="1">
      <c r="F573" s="13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</row>
    <row r="574" spans="6:37" ht="18.75" customHeight="1">
      <c r="F574" s="13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</row>
    <row r="575" spans="6:37" ht="18.75" customHeight="1">
      <c r="F575" s="13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</row>
    <row r="576" spans="6:37" ht="18.75" customHeight="1">
      <c r="F576" s="13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</row>
    <row r="577" spans="6:37" ht="18.75" customHeight="1">
      <c r="F577" s="13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</row>
    <row r="578" spans="6:37" ht="18.75" customHeight="1">
      <c r="F578" s="13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</row>
    <row r="579" spans="6:37" ht="18.75" customHeight="1">
      <c r="F579" s="13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</row>
    <row r="580" spans="6:37" ht="18.75" customHeight="1">
      <c r="F580" s="13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</row>
    <row r="581" spans="6:37" ht="18.75" customHeight="1">
      <c r="F581" s="13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</row>
    <row r="582" spans="6:37" ht="18.75" customHeight="1">
      <c r="F582" s="13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</row>
    <row r="583" spans="6:37" ht="18.75" customHeight="1">
      <c r="F583" s="13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</row>
    <row r="584" spans="6:37" ht="18.75" customHeight="1">
      <c r="F584" s="13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</row>
    <row r="585" spans="6:37" ht="18.75" customHeight="1">
      <c r="F585" s="13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</row>
    <row r="586" spans="6:37" ht="18.75" customHeight="1">
      <c r="F586" s="13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</row>
    <row r="587" spans="6:37" ht="18.75" customHeight="1">
      <c r="F587" s="13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</row>
    <row r="588" spans="6:37" ht="18.75" customHeight="1">
      <c r="F588" s="13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</row>
    <row r="589" spans="6:37" ht="18.75" customHeight="1">
      <c r="F589" s="13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</row>
    <row r="590" spans="6:37" ht="18.75" customHeight="1">
      <c r="F590" s="13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</row>
    <row r="591" spans="6:37" ht="18.75" customHeight="1">
      <c r="F591" s="13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</row>
    <row r="592" spans="6:37" ht="18.75" customHeight="1">
      <c r="F592" s="13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</row>
    <row r="593" spans="6:37" ht="18.75" customHeight="1">
      <c r="F593" s="13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</row>
    <row r="594" spans="6:37" ht="18.75" customHeight="1">
      <c r="F594" s="13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</row>
    <row r="595" spans="6:37" ht="18.75" customHeight="1">
      <c r="F595" s="13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</row>
  </sheetData>
  <mergeCells count="11">
    <mergeCell ref="D32:F32"/>
    <mergeCell ref="AB4:AH4"/>
    <mergeCell ref="B6:E6"/>
    <mergeCell ref="A10:A24"/>
    <mergeCell ref="A25:A28"/>
    <mergeCell ref="A29:E31"/>
    <mergeCell ref="B4:E5"/>
    <mergeCell ref="F4:F7"/>
    <mergeCell ref="G4:M4"/>
    <mergeCell ref="N4:T4"/>
    <mergeCell ref="U4:AA4"/>
  </mergeCells>
  <conditionalFormatting sqref="B8:E28">
    <cfRule type="expression" dxfId="2416" priority="80">
      <formula>ISNUMBER(SEARCH("MRP",$B8))</formula>
    </cfRule>
  </conditionalFormatting>
  <conditionalFormatting sqref="F19:K19">
    <cfRule type="expression" dxfId="2415" priority="72">
      <formula>ISNUMBER(SEARCH("JOK",F19))</formula>
    </cfRule>
    <cfRule type="expression" dxfId="2414" priority="73">
      <formula>OR(ISNUMBER(SEARCH("PPP 1",F19)),ISNUMBER(SEARCH("PPP 2",F19)))</formula>
    </cfRule>
    <cfRule type="expression" dxfId="2413" priority="74">
      <formula>ISNUMBER(SEARCH("FORM",F19))</formula>
    </cfRule>
    <cfRule type="expression" dxfId="2412" priority="75">
      <formula>ISNUMBER(SEARCH("ASA",F19))</formula>
    </cfRule>
    <cfRule type="expression" dxfId="2411" priority="76">
      <formula>OR(ISNUMBER(SEARCH("ATM",F19)),ISNUMBER(SEARCH("ATA",F19)))</formula>
    </cfRule>
    <cfRule type="expression" dxfId="2410" priority="77">
      <formula>ISNUMBER(SEARCH("TP",F19))</formula>
    </cfRule>
    <cfRule type="expression" dxfId="2409" priority="78">
      <formula>ISNUMBER(SEARCH("CSE",F19))</formula>
    </cfRule>
    <cfRule type="expression" dxfId="2408" priority="79">
      <formula>OR(ISNUMBER(SEARCH("CA",F19)),ISNUMBER(SEARCH("RC",F19)))</formula>
    </cfRule>
  </conditionalFormatting>
  <conditionalFormatting sqref="F8:AG18 AH8:AH26 F19 L19:M19 S19:T19 Z19:AA19 AG19 F20:AG24 AG22:AH26 G23:AH28 S24:T29 L25:M29">
    <cfRule type="expression" dxfId="2407" priority="225">
      <formula>ISNUMBER(SEARCH("FORM",F8))</formula>
    </cfRule>
    <cfRule type="expression" dxfId="2406" priority="226">
      <formula>ISNUMBER(SEARCH("ASA",F8))</formula>
    </cfRule>
    <cfRule type="expression" dxfId="2405" priority="227">
      <formula>OR(ISNUMBER(SEARCH("ATM",F8)),ISNUMBER(SEARCH("ATA",F8)))</formula>
    </cfRule>
    <cfRule type="expression" dxfId="2404" priority="228">
      <formula>ISNUMBER(SEARCH("TP",F8))</formula>
    </cfRule>
    <cfRule type="expression" dxfId="2403" priority="229">
      <formula>ISNUMBER(SEARCH("CSE",F8))</formula>
    </cfRule>
    <cfRule type="expression" dxfId="2402" priority="230">
      <formula>OR(ISNUMBER(SEARCH("CA",F8)),ISNUMBER(SEARCH("RC",F8)))</formula>
    </cfRule>
  </conditionalFormatting>
  <conditionalFormatting sqref="F8:AH18 L19:M19 S19:T19 Z19:AA19 AG19:AH19 F20:AH31">
    <cfRule type="expression" dxfId="2401" priority="197">
      <formula>OR(ISNUMBER(SEARCH("PPP 1",F8)),ISNUMBER(SEARCH("PPP 2",F8)))</formula>
    </cfRule>
    <cfRule type="expression" dxfId="2400" priority="198">
      <formula>ISNUMBER(SEARCH("FORM",F8))</formula>
    </cfRule>
    <cfRule type="expression" dxfId="2399" priority="199">
      <formula>ISNUMBER(SEARCH("ASA",F8))</formula>
    </cfRule>
    <cfRule type="expression" dxfId="2398" priority="200">
      <formula>OR(ISNUMBER(SEARCH("ATM",F8)),ISNUMBER(SEARCH("ATA",F8)))</formula>
    </cfRule>
    <cfRule type="expression" dxfId="2397" priority="201">
      <formula>ISNUMBER(SEARCH("TP",F8))</formula>
    </cfRule>
    <cfRule type="expression" dxfId="2396" priority="202">
      <formula>ISNUMBER(SEARCH("CSE",F8))</formula>
    </cfRule>
    <cfRule type="expression" dxfId="2395" priority="203">
      <formula>OR(ISNUMBER(SEARCH("CA",F8)),ISNUMBER(SEARCH("RC",F8)))</formula>
    </cfRule>
  </conditionalFormatting>
  <conditionalFormatting sqref="F20:AH31 F8:AH18 L19:M19 S19:T19 Z19:AA19 AG19:AH19">
    <cfRule type="expression" dxfId="2394" priority="196">
      <formula>ISNUMBER(SEARCH("JOK",F8))</formula>
    </cfRule>
  </conditionalFormatting>
  <conditionalFormatting sqref="G19:K19">
    <cfRule type="expression" dxfId="2393" priority="64">
      <formula>ISNUMBER(SEARCH("CA/RC ?",G19))</formula>
    </cfRule>
    <cfRule type="expression" dxfId="2392" priority="65">
      <formula>OR(ISNUMBER(SEARCH("PPP 1",G19)),ISNUMBER(SEARCH("PPP 2",G19)))</formula>
    </cfRule>
    <cfRule type="expression" dxfId="2391" priority="66">
      <formula>ISNUMBER(SEARCH("FORM",G19))</formula>
    </cfRule>
    <cfRule type="expression" dxfId="2390" priority="67">
      <formula>ISNUMBER(SEARCH("ASA",G19))</formula>
    </cfRule>
    <cfRule type="expression" dxfId="2389" priority="68">
      <formula>OR(ISNUMBER(SEARCH("ATM",G19)),ISNUMBER(SEARCH("ATA",G19)))</formula>
    </cfRule>
    <cfRule type="expression" dxfId="2388" priority="69">
      <formula>ISNUMBER(SEARCH("TP",G19))</formula>
    </cfRule>
    <cfRule type="expression" dxfId="2387" priority="70">
      <formula>ISNUMBER(SEARCH("CSE",G19))</formula>
    </cfRule>
    <cfRule type="expression" dxfId="2386" priority="71">
      <formula>OR(ISNUMBER(SEARCH("CA",G19)),ISNUMBER(SEARCH("RC",G19)))</formula>
    </cfRule>
  </conditionalFormatting>
  <conditionalFormatting sqref="G27:K27">
    <cfRule type="expression" dxfId="2385" priority="211">
      <formula>OR(ISNUMBER(SEARCH("PPP 1",G27)),ISNUMBER(SEARCH("PPP 2",G27)))</formula>
    </cfRule>
    <cfRule type="expression" dxfId="2384" priority="212">
      <formula>ISNUMBER(SEARCH("FORM",G27))</formula>
    </cfRule>
    <cfRule type="expression" dxfId="2383" priority="213">
      <formula>ISNUMBER(SEARCH("ASA",G27))</formula>
    </cfRule>
    <cfRule type="expression" dxfId="2382" priority="214">
      <formula>OR(ISNUMBER(SEARCH("ATM",G27)),ISNUMBER(SEARCH("ATA",G27)))</formula>
    </cfRule>
    <cfRule type="expression" dxfId="2381" priority="215">
      <formula>ISNUMBER(SEARCH("TP",G27))</formula>
    </cfRule>
    <cfRule type="expression" dxfId="2380" priority="216">
      <formula>ISNUMBER(SEARCH("CSE",G27))</formula>
    </cfRule>
    <cfRule type="expression" dxfId="2379" priority="217">
      <formula>OR(ISNUMBER(SEARCH("CA",G27)),ISNUMBER(SEARCH("RC",G27)))</formula>
    </cfRule>
  </conditionalFormatting>
  <conditionalFormatting sqref="G20:AH31 G4:AH18 L19:M19 S19:T19 Z19:AA19 AG19:AH19">
    <cfRule type="expression" dxfId="2378" priority="81">
      <formula>ISNUMBER(SEARCH("CA/RC ?",G4))</formula>
    </cfRule>
  </conditionalFormatting>
  <conditionalFormatting sqref="G23:AH28 F8:AG18 AH8:AH26 L19:M19 S19:T19 Z19:AA19 AG19 F20:AG24 AG22:AH26 S24:T29 L25:M29 F19">
    <cfRule type="expression" dxfId="2377" priority="224">
      <formula>OR(ISNUMBER(SEARCH("PPP 1",F8)),ISNUMBER(SEARCH("PPP 2",F8)))</formula>
    </cfRule>
  </conditionalFormatting>
  <conditionalFormatting sqref="G40:AH40">
    <cfRule type="iconSet" priority="82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L25:M25 L29:M29">
    <cfRule type="expression" dxfId="2376" priority="91">
      <formula>OR(ISNUMBER(SEARCH("PPP 1",L25)),ISNUMBER(SEARCH("PPP 2",L25)))</formula>
    </cfRule>
    <cfRule type="expression" dxfId="2375" priority="92">
      <formula>ISNUMBER(SEARCH("FORM",L25))</formula>
    </cfRule>
    <cfRule type="expression" dxfId="2374" priority="93">
      <formula>ISNUMBER(SEARCH("ASA",L25))</formula>
    </cfRule>
    <cfRule type="expression" dxfId="2373" priority="94">
      <formula>OR(ISNUMBER(SEARCH("ATM",L25)),ISNUMBER(SEARCH("ATA",L25)))</formula>
    </cfRule>
    <cfRule type="expression" dxfId="2372" priority="95">
      <formula>ISNUMBER(SEARCH("TP",L25))</formula>
    </cfRule>
    <cfRule type="expression" dxfId="2371" priority="96">
      <formula>ISNUMBER(SEARCH("CSE",L25))</formula>
    </cfRule>
    <cfRule type="expression" dxfId="2370" priority="97">
      <formula>OR(ISNUMBER(SEARCH("CA",L25)),ISNUMBER(SEARCH("RC",L25)))</formula>
    </cfRule>
  </conditionalFormatting>
  <conditionalFormatting sqref="L27:M27">
    <cfRule type="expression" dxfId="2369" priority="133">
      <formula>OR(ISNUMBER(SEARCH("PPP 1",L27)),ISNUMBER(SEARCH("PPP 2",L27)))</formula>
    </cfRule>
    <cfRule type="expression" dxfId="2368" priority="134">
      <formula>ISNUMBER(SEARCH("FORM",L27))</formula>
    </cfRule>
    <cfRule type="expression" dxfId="2367" priority="135">
      <formula>ISNUMBER(SEARCH("ASA",L27))</formula>
    </cfRule>
    <cfRule type="expression" dxfId="2366" priority="136">
      <formula>OR(ISNUMBER(SEARCH("ATM",L27)),ISNUMBER(SEARCH("ATA",L27)))</formula>
    </cfRule>
    <cfRule type="expression" dxfId="2365" priority="137">
      <formula>ISNUMBER(SEARCH("TP",L27))</formula>
    </cfRule>
    <cfRule type="expression" dxfId="2364" priority="138">
      <formula>ISNUMBER(SEARCH("CSE",L27))</formula>
    </cfRule>
    <cfRule type="expression" dxfId="2363" priority="139">
      <formula>OR(ISNUMBER(SEARCH("CA",L27)),ISNUMBER(SEARCH("RC",L27)))</formula>
    </cfRule>
  </conditionalFormatting>
  <conditionalFormatting sqref="L28:M28">
    <cfRule type="expression" dxfId="2362" priority="105">
      <formula>OR(ISNUMBER(SEARCH("PPP 1",L28)),ISNUMBER(SEARCH("PPP 2",L28)))</formula>
    </cfRule>
    <cfRule type="expression" dxfId="2361" priority="106">
      <formula>ISNUMBER(SEARCH("FORM",L28))</formula>
    </cfRule>
    <cfRule type="expression" dxfId="2360" priority="107">
      <formula>ISNUMBER(SEARCH("ASA",L28))</formula>
    </cfRule>
    <cfRule type="expression" dxfId="2359" priority="108">
      <formula>OR(ISNUMBER(SEARCH("ATM",L28)),ISNUMBER(SEARCH("ATA",L28)))</formula>
    </cfRule>
    <cfRule type="expression" dxfId="2358" priority="109">
      <formula>ISNUMBER(SEARCH("TP",L28))</formula>
    </cfRule>
    <cfRule type="expression" dxfId="2357" priority="110">
      <formula>ISNUMBER(SEARCH("CSE",L28))</formula>
    </cfRule>
    <cfRule type="expression" dxfId="2356" priority="111">
      <formula>OR(ISNUMBER(SEARCH("CA",L28)),ISNUMBER(SEARCH("RC",L28)))</formula>
    </cfRule>
  </conditionalFormatting>
  <conditionalFormatting sqref="L25:R25">
    <cfRule type="expression" dxfId="2355" priority="189">
      <formula>OR(ISNUMBER(SEARCH("PPP 1",L25)),ISNUMBER(SEARCH("PPP 2",L25)))</formula>
    </cfRule>
    <cfRule type="expression" dxfId="2354" priority="190">
      <formula>ISNUMBER(SEARCH("FORM",L25))</formula>
    </cfRule>
    <cfRule type="expression" dxfId="2353" priority="191">
      <formula>ISNUMBER(SEARCH("ASA",L25))</formula>
    </cfRule>
    <cfRule type="expression" dxfId="2352" priority="192">
      <formula>OR(ISNUMBER(SEARCH("ATM",L25)),ISNUMBER(SEARCH("ATA",L25)))</formula>
    </cfRule>
    <cfRule type="expression" dxfId="2351" priority="193">
      <formula>ISNUMBER(SEARCH("TP",L25))</formula>
    </cfRule>
    <cfRule type="expression" dxfId="2350" priority="194">
      <formula>ISNUMBER(SEARCH("CSE",L25))</formula>
    </cfRule>
    <cfRule type="expression" dxfId="2349" priority="195">
      <formula>OR(ISNUMBER(SEARCH("CA",L25)),ISNUMBER(SEARCH("RC",L25)))</formula>
    </cfRule>
  </conditionalFormatting>
  <conditionalFormatting sqref="M25:M26 M29">
    <cfRule type="expression" dxfId="2348" priority="83">
      <formula>OR(ISNUMBER(SEARCH("PPP 1",M25)),ISNUMBER(SEARCH("PPP 2",M25)))</formula>
    </cfRule>
    <cfRule type="expression" dxfId="2347" priority="84">
      <formula>ISNUMBER(SEARCH("FORM",M25))</formula>
    </cfRule>
    <cfRule type="expression" dxfId="2346" priority="85">
      <formula>ISNUMBER(SEARCH("ASA",M25))</formula>
    </cfRule>
    <cfRule type="expression" dxfId="2345" priority="86">
      <formula>OR(ISNUMBER(SEARCH("ATM",M25)),ISNUMBER(SEARCH("ATA",M25)))</formula>
    </cfRule>
    <cfRule type="expression" dxfId="2344" priority="87">
      <formula>ISNUMBER(SEARCH("TP",M25))</formula>
    </cfRule>
    <cfRule type="expression" dxfId="2343" priority="88">
      <formula>ISNUMBER(SEARCH("CSE",M25))</formula>
    </cfRule>
    <cfRule type="expression" dxfId="2342" priority="89">
      <formula>OR(ISNUMBER(SEARCH("CA",M25)),ISNUMBER(SEARCH("RC",M25)))</formula>
    </cfRule>
  </conditionalFormatting>
  <conditionalFormatting sqref="M25:M27">
    <cfRule type="expression" dxfId="2341" priority="168">
      <formula>OR(ISNUMBER(SEARCH("PPP 1",M25)),ISNUMBER(SEARCH("PPP 2",M25)))</formula>
    </cfRule>
    <cfRule type="expression" dxfId="2340" priority="169">
      <formula>ISNUMBER(SEARCH("FORM",M25))</formula>
    </cfRule>
    <cfRule type="expression" dxfId="2339" priority="170">
      <formula>ISNUMBER(SEARCH("ASA",M25))</formula>
    </cfRule>
    <cfRule type="expression" dxfId="2338" priority="171">
      <formula>OR(ISNUMBER(SEARCH("ATM",M25)),ISNUMBER(SEARCH("ATA",M25)))</formula>
    </cfRule>
    <cfRule type="expression" dxfId="2337" priority="172">
      <formula>ISNUMBER(SEARCH("TP",M25))</formula>
    </cfRule>
    <cfRule type="expression" dxfId="2336" priority="173">
      <formula>ISNUMBER(SEARCH("CSE",M25))</formula>
    </cfRule>
    <cfRule type="expression" dxfId="2335" priority="174">
      <formula>OR(ISNUMBER(SEARCH("CA",M25)),ISNUMBER(SEARCH("RC",M25)))</formula>
    </cfRule>
  </conditionalFormatting>
  <conditionalFormatting sqref="M27:M28">
    <cfRule type="expression" dxfId="2334" priority="126">
      <formula>OR(ISNUMBER(SEARCH("PPP 1",M27)),ISNUMBER(SEARCH("PPP 2",M27)))</formula>
    </cfRule>
    <cfRule type="expression" dxfId="2333" priority="127">
      <formula>ISNUMBER(SEARCH("FORM",M27))</formula>
    </cfRule>
    <cfRule type="expression" dxfId="2332" priority="128">
      <formula>ISNUMBER(SEARCH("ASA",M27))</formula>
    </cfRule>
    <cfRule type="expression" dxfId="2331" priority="129">
      <formula>OR(ISNUMBER(SEARCH("ATM",M27)),ISNUMBER(SEARCH("ATA",M27)))</formula>
    </cfRule>
    <cfRule type="expression" dxfId="2330" priority="130">
      <formula>ISNUMBER(SEARCH("TP",M27))</formula>
    </cfRule>
    <cfRule type="expression" dxfId="2329" priority="131">
      <formula>ISNUMBER(SEARCH("CSE",M27))</formula>
    </cfRule>
    <cfRule type="expression" dxfId="2328" priority="132">
      <formula>OR(ISNUMBER(SEARCH("CA",M27)),ISNUMBER(SEARCH("RC",M27)))</formula>
    </cfRule>
  </conditionalFormatting>
  <conditionalFormatting sqref="M28:M29">
    <cfRule type="expression" dxfId="2327" priority="98">
      <formula>OR(ISNUMBER(SEARCH("PPP 1",M28)),ISNUMBER(SEARCH("PPP 2",M28)))</formula>
    </cfRule>
    <cfRule type="expression" dxfId="2326" priority="99">
      <formula>ISNUMBER(SEARCH("FORM",M28))</formula>
    </cfRule>
    <cfRule type="expression" dxfId="2325" priority="100">
      <formula>ISNUMBER(SEARCH("ASA",M28))</formula>
    </cfRule>
    <cfRule type="expression" dxfId="2324" priority="101">
      <formula>OR(ISNUMBER(SEARCH("ATM",M28)),ISNUMBER(SEARCH("ATA",M28)))</formula>
    </cfRule>
    <cfRule type="expression" dxfId="2323" priority="102">
      <formula>ISNUMBER(SEARCH("TP",M28))</formula>
    </cfRule>
    <cfRule type="expression" dxfId="2322" priority="103">
      <formula>ISNUMBER(SEARCH("CSE",M28))</formula>
    </cfRule>
    <cfRule type="expression" dxfId="2321" priority="104">
      <formula>OR(ISNUMBER(SEARCH("CA",M28)),ISNUMBER(SEARCH("RC",M28)))</formula>
    </cfRule>
  </conditionalFormatting>
  <conditionalFormatting sqref="N19:R19">
    <cfRule type="expression" dxfId="2320" priority="34">
      <formula>ISNUMBER(SEARCH("CA/RC ?",N19))</formula>
    </cfRule>
    <cfRule type="expression" dxfId="2319" priority="35">
      <formula>ISNUMBER(SEARCH("JOK",N19))</formula>
    </cfRule>
    <cfRule type="expression" dxfId="2318" priority="36">
      <formula>OR(ISNUMBER(SEARCH("PPP 1",N19)),ISNUMBER(SEARCH("PPP 2",N19)))</formula>
    </cfRule>
    <cfRule type="expression" dxfId="2317" priority="37">
      <formula>ISNUMBER(SEARCH("FORM",N19))</formula>
    </cfRule>
    <cfRule type="expression" dxfId="2316" priority="38">
      <formula>ISNUMBER(SEARCH("ASA",N19))</formula>
    </cfRule>
    <cfRule type="expression" dxfId="2315" priority="39">
      <formula>OR(ISNUMBER(SEARCH("ATM",N19)),ISNUMBER(SEARCH("ATA",N19)))</formula>
    </cfRule>
    <cfRule type="expression" dxfId="2314" priority="40">
      <formula>ISNUMBER(SEARCH("TP",N19))</formula>
    </cfRule>
    <cfRule type="expression" dxfId="2313" priority="41">
      <formula>ISNUMBER(SEARCH("CSE",N19))</formula>
    </cfRule>
    <cfRule type="expression" dxfId="2312" priority="42">
      <formula>OR(ISNUMBER(SEARCH("CA",N19)),ISNUMBER(SEARCH("RC",N19)))</formula>
    </cfRule>
    <cfRule type="expression" dxfId="2311" priority="43">
      <formula>OR(ISNUMBER(SEARCH("PPP 1",N19)),ISNUMBER(SEARCH("PPP 2",N19)))</formula>
    </cfRule>
    <cfRule type="expression" dxfId="2310" priority="44">
      <formula>ISNUMBER(SEARCH("FORM",N19))</formula>
    </cfRule>
    <cfRule type="expression" dxfId="2309" priority="45">
      <formula>ISNUMBER(SEARCH("ASA",N19))</formula>
    </cfRule>
    <cfRule type="expression" dxfId="2308" priority="46">
      <formula>OR(ISNUMBER(SEARCH("ATM",N19)),ISNUMBER(SEARCH("ATA",N19)))</formula>
    </cfRule>
    <cfRule type="expression" dxfId="2307" priority="47">
      <formula>ISNUMBER(SEARCH("TP",N19))</formula>
    </cfRule>
    <cfRule type="expression" dxfId="2306" priority="48">
      <formula>ISNUMBER(SEARCH("CSE",N19))</formula>
    </cfRule>
    <cfRule type="expression" dxfId="2305" priority="49">
      <formula>OR(ISNUMBER(SEARCH("CA",N19)),ISNUMBER(SEARCH("RC",N19)))</formula>
    </cfRule>
  </conditionalFormatting>
  <conditionalFormatting sqref="O26">
    <cfRule type="expression" dxfId="2304" priority="161">
      <formula>OR(ISNUMBER(SEARCH("PPP 1",O26)),ISNUMBER(SEARCH("PPP 2",O26)))</formula>
    </cfRule>
    <cfRule type="expression" dxfId="2303" priority="162">
      <formula>ISNUMBER(SEARCH("FORM",O26))</formula>
    </cfRule>
    <cfRule type="expression" dxfId="2302" priority="163">
      <formula>ISNUMBER(SEARCH("ASA",O26))</formula>
    </cfRule>
    <cfRule type="expression" dxfId="2301" priority="164">
      <formula>OR(ISNUMBER(SEARCH("ATM",O26)),ISNUMBER(SEARCH("ATA",O26)))</formula>
    </cfRule>
    <cfRule type="expression" dxfId="2300" priority="165">
      <formula>ISNUMBER(SEARCH("TP",O26))</formula>
    </cfRule>
    <cfRule type="expression" dxfId="2299" priority="166">
      <formula>ISNUMBER(SEARCH("CSE",O26))</formula>
    </cfRule>
    <cfRule type="expression" dxfId="2298" priority="167">
      <formula>OR(ISNUMBER(SEARCH("CA",O26)),ISNUMBER(SEARCH("RC",O26)))</formula>
    </cfRule>
  </conditionalFormatting>
  <conditionalFormatting sqref="P27:R27">
    <cfRule type="expression" dxfId="2297" priority="57">
      <formula>OR(ISNUMBER(SEARCH("PPP 1",P27)),ISNUMBER(SEARCH("PPP 2",P27)))</formula>
    </cfRule>
    <cfRule type="expression" dxfId="2296" priority="58">
      <formula>ISNUMBER(SEARCH("FORM",P27))</formula>
    </cfRule>
    <cfRule type="expression" dxfId="2295" priority="59">
      <formula>ISNUMBER(SEARCH("ASA",P27))</formula>
    </cfRule>
    <cfRule type="expression" dxfId="2294" priority="60">
      <formula>OR(ISNUMBER(SEARCH("ATM",P27)),ISNUMBER(SEARCH("ATA",P27)))</formula>
    </cfRule>
    <cfRule type="expression" dxfId="2293" priority="61">
      <formula>ISNUMBER(SEARCH("TP",P27))</formula>
    </cfRule>
    <cfRule type="expression" dxfId="2292" priority="62">
      <formula>ISNUMBER(SEARCH("CSE",P27))</formula>
    </cfRule>
    <cfRule type="expression" dxfId="2291" priority="63">
      <formula>OR(ISNUMBER(SEARCH("CA",P27)),ISNUMBER(SEARCH("RC",P27)))</formula>
    </cfRule>
  </conditionalFormatting>
  <conditionalFormatting sqref="S24:T24 S28:T28">
    <cfRule type="expression" dxfId="2290" priority="119">
      <formula>OR(ISNUMBER(SEARCH("PPP 1",S24)),ISNUMBER(SEARCH("PPP 2",S24)))</formula>
    </cfRule>
    <cfRule type="expression" dxfId="2289" priority="120">
      <formula>ISNUMBER(SEARCH("FORM",S24))</formula>
    </cfRule>
    <cfRule type="expression" dxfId="2288" priority="121">
      <formula>ISNUMBER(SEARCH("ASA",S24))</formula>
    </cfRule>
    <cfRule type="expression" dxfId="2287" priority="122">
      <formula>OR(ISNUMBER(SEARCH("ATM",S24)),ISNUMBER(SEARCH("ATA",S24)))</formula>
    </cfRule>
    <cfRule type="expression" dxfId="2286" priority="123">
      <formula>ISNUMBER(SEARCH("TP",S24))</formula>
    </cfRule>
    <cfRule type="expression" dxfId="2285" priority="124">
      <formula>ISNUMBER(SEARCH("CSE",S24))</formula>
    </cfRule>
    <cfRule type="expression" dxfId="2284" priority="125">
      <formula>OR(ISNUMBER(SEARCH("CA",S24)),ISNUMBER(SEARCH("RC",S24)))</formula>
    </cfRule>
  </conditionalFormatting>
  <conditionalFormatting sqref="S27:T27">
    <cfRule type="expression" dxfId="2283" priority="147">
      <formula>OR(ISNUMBER(SEARCH("PPP 1",S27)),ISNUMBER(SEARCH("PPP 2",S27)))</formula>
    </cfRule>
    <cfRule type="expression" dxfId="2282" priority="148">
      <formula>ISNUMBER(SEARCH("FORM",S27))</formula>
    </cfRule>
    <cfRule type="expression" dxfId="2281" priority="149">
      <formula>ISNUMBER(SEARCH("ASA",S27))</formula>
    </cfRule>
    <cfRule type="expression" dxfId="2280" priority="150">
      <formula>OR(ISNUMBER(SEARCH("ATM",S27)),ISNUMBER(SEARCH("ATA",S27)))</formula>
    </cfRule>
    <cfRule type="expression" dxfId="2279" priority="151">
      <formula>ISNUMBER(SEARCH("TP",S27))</formula>
    </cfRule>
    <cfRule type="expression" dxfId="2278" priority="152">
      <formula>ISNUMBER(SEARCH("CSE",S27))</formula>
    </cfRule>
    <cfRule type="expression" dxfId="2277" priority="153">
      <formula>OR(ISNUMBER(SEARCH("CA",S27)),ISNUMBER(SEARCH("RC",S27)))</formula>
    </cfRule>
  </conditionalFormatting>
  <conditionalFormatting sqref="T24:T25 T28:T29">
    <cfRule type="expression" dxfId="2276" priority="112">
      <formula>OR(ISNUMBER(SEARCH("PPP 1",T24)),ISNUMBER(SEARCH("PPP 2",T24)))</formula>
    </cfRule>
    <cfRule type="expression" dxfId="2275" priority="113">
      <formula>ISNUMBER(SEARCH("FORM",T24))</formula>
    </cfRule>
    <cfRule type="expression" dxfId="2274" priority="114">
      <formula>ISNUMBER(SEARCH("ASA",T24))</formula>
    </cfRule>
    <cfRule type="expression" dxfId="2273" priority="115">
      <formula>OR(ISNUMBER(SEARCH("ATM",T24)),ISNUMBER(SEARCH("ATA",T24)))</formula>
    </cfRule>
    <cfRule type="expression" dxfId="2272" priority="116">
      <formula>ISNUMBER(SEARCH("TP",T24))</formula>
    </cfRule>
    <cfRule type="expression" dxfId="2271" priority="117">
      <formula>ISNUMBER(SEARCH("CSE",T24))</formula>
    </cfRule>
    <cfRule type="expression" dxfId="2270" priority="118">
      <formula>OR(ISNUMBER(SEARCH("CA",T24)),ISNUMBER(SEARCH("RC",T24)))</formula>
    </cfRule>
  </conditionalFormatting>
  <conditionalFormatting sqref="T27:T28">
    <cfRule type="expression" dxfId="2269" priority="140">
      <formula>OR(ISNUMBER(SEARCH("PPP 1",T27)),ISNUMBER(SEARCH("PPP 2",T27)))</formula>
    </cfRule>
    <cfRule type="expression" dxfId="2268" priority="141">
      <formula>ISNUMBER(SEARCH("FORM",T27))</formula>
    </cfRule>
    <cfRule type="expression" dxfId="2267" priority="142">
      <formula>ISNUMBER(SEARCH("ASA",T27))</formula>
    </cfRule>
    <cfRule type="expression" dxfId="2266" priority="143">
      <formula>OR(ISNUMBER(SEARCH("ATM",T27)),ISNUMBER(SEARCH("ATA",T27)))</formula>
    </cfRule>
    <cfRule type="expression" dxfId="2265" priority="144">
      <formula>ISNUMBER(SEARCH("TP",T27))</formula>
    </cfRule>
    <cfRule type="expression" dxfId="2264" priority="145">
      <formula>ISNUMBER(SEARCH("CSE",T27))</formula>
    </cfRule>
    <cfRule type="expression" dxfId="2263" priority="146">
      <formula>OR(ISNUMBER(SEARCH("CA",T27)),ISNUMBER(SEARCH("RC",T27)))</formula>
    </cfRule>
  </conditionalFormatting>
  <conditionalFormatting sqref="U19:Y19">
    <cfRule type="expression" dxfId="2262" priority="18">
      <formula>ISNUMBER(SEARCH("CA/RC ?",U19))</formula>
    </cfRule>
    <cfRule type="expression" dxfId="2261" priority="19">
      <formula>ISNUMBER(SEARCH("JOK",U19))</formula>
    </cfRule>
    <cfRule type="expression" dxfId="2260" priority="20">
      <formula>OR(ISNUMBER(SEARCH("PPP 1",U19)),ISNUMBER(SEARCH("PPP 2",U19)))</formula>
    </cfRule>
    <cfRule type="expression" dxfId="2259" priority="21">
      <formula>ISNUMBER(SEARCH("FORM",U19))</formula>
    </cfRule>
    <cfRule type="expression" dxfId="2258" priority="22">
      <formula>ISNUMBER(SEARCH("ASA",U19))</formula>
    </cfRule>
    <cfRule type="expression" dxfId="2257" priority="23">
      <formula>OR(ISNUMBER(SEARCH("ATM",U19)),ISNUMBER(SEARCH("ATA",U19)))</formula>
    </cfRule>
    <cfRule type="expression" dxfId="2256" priority="24">
      <formula>ISNUMBER(SEARCH("TP",U19))</formula>
    </cfRule>
    <cfRule type="expression" dxfId="2255" priority="25">
      <formula>ISNUMBER(SEARCH("CSE",U19))</formula>
    </cfRule>
    <cfRule type="expression" dxfId="2254" priority="26">
      <formula>OR(ISNUMBER(SEARCH("CA",U19)),ISNUMBER(SEARCH("RC",U19)))</formula>
    </cfRule>
    <cfRule type="expression" dxfId="2253" priority="27">
      <formula>OR(ISNUMBER(SEARCH("PPP 1",U19)),ISNUMBER(SEARCH("PPP 2",U19)))</formula>
    </cfRule>
    <cfRule type="expression" dxfId="2252" priority="28">
      <formula>ISNUMBER(SEARCH("FORM",U19))</formula>
    </cfRule>
    <cfRule type="expression" dxfId="2251" priority="29">
      <formula>ISNUMBER(SEARCH("ASA",U19))</formula>
    </cfRule>
    <cfRule type="expression" dxfId="2250" priority="30">
      <formula>OR(ISNUMBER(SEARCH("ATM",U19)),ISNUMBER(SEARCH("ATA",U19)))</formula>
    </cfRule>
    <cfRule type="expression" dxfId="2249" priority="31">
      <formula>ISNUMBER(SEARCH("TP",U19))</formula>
    </cfRule>
    <cfRule type="expression" dxfId="2248" priority="32">
      <formula>ISNUMBER(SEARCH("CSE",U19))</formula>
    </cfRule>
    <cfRule type="expression" dxfId="2247" priority="33">
      <formula>OR(ISNUMBER(SEARCH("CA",U19)),ISNUMBER(SEARCH("RC",U19)))</formula>
    </cfRule>
  </conditionalFormatting>
  <conditionalFormatting sqref="Y26 X26:X27 W27:X27">
    <cfRule type="expression" dxfId="2246" priority="50">
      <formula>OR(ISNUMBER(SEARCH("PPP 1",W26)),ISNUMBER(SEARCH("PPP 2",W26)))</formula>
    </cfRule>
    <cfRule type="expression" dxfId="2245" priority="51">
      <formula>ISNUMBER(SEARCH("FORM",W26))</formula>
    </cfRule>
    <cfRule type="expression" dxfId="2244" priority="52">
      <formula>ISNUMBER(SEARCH("ASA",W26))</formula>
    </cfRule>
    <cfRule type="expression" dxfId="2243" priority="53">
      <formula>OR(ISNUMBER(SEARCH("ATM",W26)),ISNUMBER(SEARCH("ATA",W26)))</formula>
    </cfRule>
    <cfRule type="expression" dxfId="2242" priority="54">
      <formula>ISNUMBER(SEARCH("TP",W26))</formula>
    </cfRule>
    <cfRule type="expression" dxfId="2241" priority="55">
      <formula>ISNUMBER(SEARCH("CSE",W26))</formula>
    </cfRule>
    <cfRule type="expression" dxfId="2240" priority="56">
      <formula>OR(ISNUMBER(SEARCH("CA",W26)),ISNUMBER(SEARCH("RC",W26)))</formula>
    </cfRule>
  </conditionalFormatting>
  <conditionalFormatting sqref="Z25:AA25">
    <cfRule type="expression" dxfId="2239" priority="182">
      <formula>OR(ISNUMBER(SEARCH("PPP 1",Z25)),ISNUMBER(SEARCH("PPP 2",Z25)))</formula>
    </cfRule>
    <cfRule type="expression" dxfId="2238" priority="183">
      <formula>ISNUMBER(SEARCH("FORM",Z25))</formula>
    </cfRule>
    <cfRule type="expression" dxfId="2237" priority="184">
      <formula>ISNUMBER(SEARCH("ASA",Z25))</formula>
    </cfRule>
    <cfRule type="expression" dxfId="2236" priority="185">
      <formula>OR(ISNUMBER(SEARCH("ATM",Z25)),ISNUMBER(SEARCH("ATA",Z25)))</formula>
    </cfRule>
    <cfRule type="expression" dxfId="2235" priority="186">
      <formula>ISNUMBER(SEARCH("TP",Z25))</formula>
    </cfRule>
    <cfRule type="expression" dxfId="2234" priority="187">
      <formula>ISNUMBER(SEARCH("CSE",Z25))</formula>
    </cfRule>
    <cfRule type="expression" dxfId="2233" priority="188">
      <formula>OR(ISNUMBER(SEARCH("CA",Z25)),ISNUMBER(SEARCH("RC",Z25)))</formula>
    </cfRule>
  </conditionalFormatting>
  <conditionalFormatting sqref="AA25:AA26">
    <cfRule type="expression" dxfId="2232" priority="175">
      <formula>OR(ISNUMBER(SEARCH("PPP 1",AA25)),ISNUMBER(SEARCH("PPP 2",AA25)))</formula>
    </cfRule>
    <cfRule type="expression" dxfId="2231" priority="176">
      <formula>ISNUMBER(SEARCH("FORM",AA25))</formula>
    </cfRule>
    <cfRule type="expression" dxfId="2230" priority="177">
      <formula>ISNUMBER(SEARCH("ASA",AA25))</formula>
    </cfRule>
    <cfRule type="expression" dxfId="2229" priority="178">
      <formula>OR(ISNUMBER(SEARCH("ATM",AA25)),ISNUMBER(SEARCH("ATA",AA25)))</formula>
    </cfRule>
    <cfRule type="expression" dxfId="2228" priority="179">
      <formula>ISNUMBER(SEARCH("TP",AA25))</formula>
    </cfRule>
    <cfRule type="expression" dxfId="2227" priority="180">
      <formula>ISNUMBER(SEARCH("CSE",AA25))</formula>
    </cfRule>
    <cfRule type="expression" dxfId="2226" priority="181">
      <formula>OR(ISNUMBER(SEARCH("CA",AA25)),ISNUMBER(SEARCH("RC",AA25)))</formula>
    </cfRule>
  </conditionalFormatting>
  <conditionalFormatting sqref="AB25:AC25">
    <cfRule type="expression" dxfId="2225" priority="218">
      <formula>OR(ISNUMBER(SEARCH("PPP 1",AB25)),ISNUMBER(SEARCH("PPP 2",AB25)))</formula>
    </cfRule>
    <cfRule type="expression" dxfId="2224" priority="219">
      <formula>ISNUMBER(SEARCH("ASA",AB25))</formula>
    </cfRule>
    <cfRule type="expression" dxfId="2223" priority="220">
      <formula>OR(ISNUMBER(SEARCH("ATM",AB25)),ISNUMBER(SEARCH("ATA",AB25)))</formula>
    </cfRule>
    <cfRule type="expression" dxfId="2222" priority="221">
      <formula>ISNUMBER(SEARCH("TP",AB25))</formula>
    </cfRule>
    <cfRule type="expression" dxfId="2221" priority="222">
      <formula>ISNUMBER(SEARCH("CSE",AB25))</formula>
    </cfRule>
    <cfRule type="expression" dxfId="2220" priority="223">
      <formula>OR(ISNUMBER(SEARCH("CA",AB25)),ISNUMBER(SEARCH("RC",AB25)))</formula>
    </cfRule>
  </conditionalFormatting>
  <conditionalFormatting sqref="AB27:AC27">
    <cfRule type="expression" dxfId="2219" priority="154">
      <formula>OR(ISNUMBER(SEARCH("PPP 1",AB27)),ISNUMBER(SEARCH("PPP 2",AB27)))</formula>
    </cfRule>
    <cfRule type="expression" dxfId="2218" priority="155">
      <formula>ISNUMBER(SEARCH("FORM",AB27))</formula>
    </cfRule>
    <cfRule type="expression" dxfId="2217" priority="156">
      <formula>ISNUMBER(SEARCH("ASA",AB27))</formula>
    </cfRule>
    <cfRule type="expression" dxfId="2216" priority="157">
      <formula>OR(ISNUMBER(SEARCH("ATM",AB27)),ISNUMBER(SEARCH("ATA",AB27)))</formula>
    </cfRule>
    <cfRule type="expression" dxfId="2215" priority="158">
      <formula>ISNUMBER(SEARCH("TP",AB27))</formula>
    </cfRule>
    <cfRule type="expression" dxfId="2214" priority="159">
      <formula>ISNUMBER(SEARCH("CSE",AB27))</formula>
    </cfRule>
    <cfRule type="expression" dxfId="2213" priority="160">
      <formula>OR(ISNUMBER(SEARCH("CA",AB27)),ISNUMBER(SEARCH("RC",AB27)))</formula>
    </cfRule>
  </conditionalFormatting>
  <conditionalFormatting sqref="AB19:AF19">
    <cfRule type="expression" dxfId="2212" priority="2">
      <formula>ISNUMBER(SEARCH("CA/RC ?",AB19))</formula>
    </cfRule>
    <cfRule type="expression" dxfId="2211" priority="3">
      <formula>ISNUMBER(SEARCH("JOK",AB19))</formula>
    </cfRule>
    <cfRule type="expression" dxfId="2210" priority="4">
      <formula>OR(ISNUMBER(SEARCH("PPP 1",AB19)),ISNUMBER(SEARCH("PPP 2",AB19)))</formula>
    </cfRule>
    <cfRule type="expression" dxfId="2209" priority="5">
      <formula>ISNUMBER(SEARCH("FORM",AB19))</formula>
    </cfRule>
    <cfRule type="expression" dxfId="2208" priority="6">
      <formula>ISNUMBER(SEARCH("ASA",AB19))</formula>
    </cfRule>
    <cfRule type="expression" dxfId="2207" priority="7">
      <formula>OR(ISNUMBER(SEARCH("ATM",AB19)),ISNUMBER(SEARCH("ATA",AB19)))</formula>
    </cfRule>
    <cfRule type="expression" dxfId="2206" priority="8">
      <formula>ISNUMBER(SEARCH("TP",AB19))</formula>
    </cfRule>
    <cfRule type="expression" dxfId="2205" priority="9">
      <formula>ISNUMBER(SEARCH("CSE",AB19))</formula>
    </cfRule>
    <cfRule type="expression" dxfId="2204" priority="10">
      <formula>OR(ISNUMBER(SEARCH("CA",AB19)),ISNUMBER(SEARCH("RC",AB19)))</formula>
    </cfRule>
    <cfRule type="expression" dxfId="2203" priority="11">
      <formula>OR(ISNUMBER(SEARCH("PPP 1",AB19)),ISNUMBER(SEARCH("PPP 2",AB19)))</formula>
    </cfRule>
    <cfRule type="expression" dxfId="2202" priority="12">
      <formula>ISNUMBER(SEARCH("FORM",AB19))</formula>
    </cfRule>
    <cfRule type="expression" dxfId="2201" priority="13">
      <formula>ISNUMBER(SEARCH("ASA",AB19))</formula>
    </cfRule>
    <cfRule type="expression" dxfId="2200" priority="14">
      <formula>OR(ISNUMBER(SEARCH("ATM",AB19)),ISNUMBER(SEARCH("ATA",AB19)))</formula>
    </cfRule>
    <cfRule type="expression" dxfId="2199" priority="15">
      <formula>ISNUMBER(SEARCH("TP",AB19))</formula>
    </cfRule>
    <cfRule type="expression" dxfId="2198" priority="16">
      <formula>ISNUMBER(SEARCH("CSE",AB19))</formula>
    </cfRule>
    <cfRule type="expression" dxfId="2197" priority="17">
      <formula>OR(ISNUMBER(SEARCH("CA",AB19)),ISNUMBER(SEARCH("RC",AB19)))</formula>
    </cfRule>
  </conditionalFormatting>
  <conditionalFormatting sqref="AD27:AF27">
    <cfRule type="expression" dxfId="2196" priority="204">
      <formula>OR(ISNUMBER(SEARCH("PPP 1",AD27)),ISNUMBER(SEARCH("PPP 2",AD27)))</formula>
    </cfRule>
    <cfRule type="expression" dxfId="2195" priority="205">
      <formula>ISNUMBER(SEARCH("FORM",AD27))</formula>
    </cfRule>
    <cfRule type="expression" dxfId="2194" priority="206">
      <formula>ISNUMBER(SEARCH("ASA",AD27))</formula>
    </cfRule>
    <cfRule type="expression" dxfId="2193" priority="207">
      <formula>OR(ISNUMBER(SEARCH("ATM",AD27)),ISNUMBER(SEARCH("ATA",AD27)))</formula>
    </cfRule>
    <cfRule type="expression" dxfId="2192" priority="208">
      <formula>ISNUMBER(SEARCH("TP",AD27))</formula>
    </cfRule>
    <cfRule type="expression" dxfId="2191" priority="209">
      <formula>ISNUMBER(SEARCH("CSE",AD27))</formula>
    </cfRule>
    <cfRule type="expression" dxfId="2190" priority="210">
      <formula>OR(ISNUMBER(SEARCH("CA",AD27)),ISNUMBER(SEARCH("RC",AD27)))</formula>
    </cfRule>
  </conditionalFormatting>
  <dataValidations count="1">
    <dataValidation allowBlank="1" showInputMessage="1" showErrorMessage="1" sqref="G9" xr:uid="{00000000-0002-0000-0300-000000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CCFF"/>
    <pageSetUpPr fitToPage="1"/>
  </sheetPr>
  <dimension ref="A1:AO595"/>
  <sheetViews>
    <sheetView zoomScale="64" zoomScaleNormal="64" workbookViewId="0">
      <pane xSplit="6" topLeftCell="Q5" activePane="topRight" state="frozen"/>
      <selection pane="topRight" activeCell="AI19" sqref="AI19:AL19"/>
      <selection activeCell="B4" sqref="B4"/>
    </sheetView>
  </sheetViews>
  <sheetFormatPr defaultColWidth="8.85546875" defaultRowHeight="15"/>
  <cols>
    <col min="1" max="1" width="12.42578125" customWidth="1"/>
    <col min="2" max="2" width="20.42578125" customWidth="1"/>
    <col min="3" max="3" width="19.85546875" customWidth="1"/>
    <col min="4" max="4" width="21.42578125" customWidth="1"/>
    <col min="5" max="5" width="19.28515625" customWidth="1"/>
    <col min="6" max="6" width="13.7109375" customWidth="1"/>
    <col min="7" max="11" width="10.85546875" customWidth="1"/>
    <col min="12" max="12" width="8" customWidth="1"/>
    <col min="13" max="13" width="6.28515625" customWidth="1"/>
    <col min="14" max="18" width="10.85546875" customWidth="1"/>
    <col min="19" max="19" width="6.7109375" customWidth="1"/>
    <col min="20" max="20" width="8.42578125" customWidth="1"/>
    <col min="21" max="25" width="10.85546875" customWidth="1"/>
    <col min="26" max="26" width="6.7109375" customWidth="1"/>
    <col min="27" max="27" width="8.42578125" customWidth="1"/>
    <col min="28" max="32" width="10.85546875" customWidth="1"/>
    <col min="33" max="33" width="6.7109375" customWidth="1"/>
    <col min="34" max="34" width="8.42578125" customWidth="1"/>
    <col min="35" max="35" width="10.85546875" customWidth="1"/>
    <col min="37" max="37" width="11.28515625" customWidth="1"/>
    <col min="38" max="38" width="10.28515625" customWidth="1"/>
  </cols>
  <sheetData>
    <row r="1" spans="1:41" ht="18.75" customHeight="1">
      <c r="F1" s="13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1:41" ht="18.75" customHeight="1">
      <c r="F2" s="13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</row>
    <row r="3" spans="1:41" ht="34.5" customHeight="1">
      <c r="A3" s="15"/>
      <c r="B3" s="16"/>
      <c r="C3" s="16"/>
      <c r="D3" s="16"/>
      <c r="E3" s="16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 spans="1:41" ht="18.75" customHeight="1">
      <c r="A4" s="18" t="s">
        <v>23</v>
      </c>
      <c r="B4" s="422" t="s">
        <v>246</v>
      </c>
      <c r="C4" s="422"/>
      <c r="D4" s="422"/>
      <c r="E4" s="422"/>
      <c r="F4" s="435"/>
      <c r="G4" s="436" t="s">
        <v>247</v>
      </c>
      <c r="H4" s="436"/>
      <c r="I4" s="436"/>
      <c r="J4" s="436"/>
      <c r="K4" s="436"/>
      <c r="L4" s="436"/>
      <c r="M4" s="436"/>
      <c r="N4" s="437" t="s">
        <v>248</v>
      </c>
      <c r="O4" s="437"/>
      <c r="P4" s="437"/>
      <c r="Q4" s="437"/>
      <c r="R4" s="437"/>
      <c r="S4" s="437"/>
      <c r="T4" s="437"/>
      <c r="U4" s="437" t="s">
        <v>249</v>
      </c>
      <c r="V4" s="437"/>
      <c r="W4" s="437"/>
      <c r="X4" s="437"/>
      <c r="Y4" s="437"/>
      <c r="Z4" s="437"/>
      <c r="AA4" s="437"/>
      <c r="AB4" s="433" t="s">
        <v>250</v>
      </c>
      <c r="AC4" s="433"/>
      <c r="AD4" s="433"/>
      <c r="AE4" s="433"/>
      <c r="AF4" s="433"/>
      <c r="AG4" s="433"/>
      <c r="AH4" s="433"/>
      <c r="AI4" s="433" t="s">
        <v>251</v>
      </c>
      <c r="AJ4" s="433"/>
      <c r="AK4" s="433"/>
      <c r="AL4" s="433"/>
      <c r="AM4" s="433"/>
      <c r="AN4" s="433"/>
      <c r="AO4" s="433"/>
    </row>
    <row r="5" spans="1:41" ht="21" customHeight="1">
      <c r="A5" s="152" t="s">
        <v>24</v>
      </c>
      <c r="B5" s="422"/>
      <c r="C5" s="422"/>
      <c r="D5" s="422"/>
      <c r="E5" s="422"/>
      <c r="F5" s="435"/>
      <c r="G5" s="271"/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2"/>
      <c r="S5" s="272"/>
      <c r="T5" s="272"/>
      <c r="U5" s="272"/>
      <c r="V5" s="272"/>
      <c r="W5" s="272"/>
      <c r="X5" s="272"/>
      <c r="Y5" s="272"/>
      <c r="Z5" s="272"/>
      <c r="AA5" s="272"/>
      <c r="AB5" s="272"/>
      <c r="AC5" s="272"/>
      <c r="AD5" s="272"/>
      <c r="AE5" s="272"/>
      <c r="AF5" s="272"/>
      <c r="AG5" s="272"/>
      <c r="AH5" s="272"/>
      <c r="AI5" s="272"/>
      <c r="AJ5" s="272"/>
      <c r="AK5" s="272"/>
      <c r="AL5" s="272"/>
      <c r="AM5" s="272"/>
      <c r="AN5" s="272"/>
      <c r="AO5" s="273"/>
    </row>
    <row r="6" spans="1:41" ht="19.5" customHeight="1">
      <c r="A6" s="27" t="s">
        <v>25</v>
      </c>
      <c r="B6" s="421" t="s">
        <v>60</v>
      </c>
      <c r="C6" s="421"/>
      <c r="D6" s="421"/>
      <c r="E6" s="421"/>
      <c r="F6" s="435"/>
      <c r="G6" s="169" t="s">
        <v>61</v>
      </c>
      <c r="H6" s="170" t="s">
        <v>62</v>
      </c>
      <c r="I6" s="170" t="s">
        <v>63</v>
      </c>
      <c r="J6" s="170" t="s">
        <v>64</v>
      </c>
      <c r="K6" s="170" t="s">
        <v>65</v>
      </c>
      <c r="L6" s="171" t="s">
        <v>66</v>
      </c>
      <c r="M6" s="171" t="s">
        <v>67</v>
      </c>
      <c r="N6" s="70" t="s">
        <v>68</v>
      </c>
      <c r="O6" s="170" t="s">
        <v>62</v>
      </c>
      <c r="P6" s="170" t="s">
        <v>63</v>
      </c>
      <c r="Q6" s="170" t="s">
        <v>64</v>
      </c>
      <c r="R6" s="170" t="s">
        <v>65</v>
      </c>
      <c r="S6" s="171" t="s">
        <v>66</v>
      </c>
      <c r="T6" s="171" t="s">
        <v>67</v>
      </c>
      <c r="U6" s="170" t="s">
        <v>68</v>
      </c>
      <c r="V6" s="170" t="s">
        <v>62</v>
      </c>
      <c r="W6" s="170" t="s">
        <v>63</v>
      </c>
      <c r="X6" s="170" t="s">
        <v>64</v>
      </c>
      <c r="Y6" s="170" t="s">
        <v>65</v>
      </c>
      <c r="Z6" s="171" t="s">
        <v>66</v>
      </c>
      <c r="AA6" s="171" t="s">
        <v>67</v>
      </c>
      <c r="AB6" s="170" t="s">
        <v>68</v>
      </c>
      <c r="AC6" s="170" t="s">
        <v>62</v>
      </c>
      <c r="AD6" s="170" t="s">
        <v>63</v>
      </c>
      <c r="AE6" s="170" t="s">
        <v>64</v>
      </c>
      <c r="AF6" s="170" t="s">
        <v>65</v>
      </c>
      <c r="AG6" s="171" t="s">
        <v>66</v>
      </c>
      <c r="AH6" s="171" t="s">
        <v>67</v>
      </c>
      <c r="AI6" s="170" t="s">
        <v>68</v>
      </c>
      <c r="AJ6" s="170" t="s">
        <v>62</v>
      </c>
      <c r="AK6" s="170" t="s">
        <v>63</v>
      </c>
      <c r="AL6" s="170" t="s">
        <v>64</v>
      </c>
      <c r="AM6" s="70" t="s">
        <v>65</v>
      </c>
      <c r="AN6" s="171" t="s">
        <v>66</v>
      </c>
      <c r="AO6" s="172" t="s">
        <v>67</v>
      </c>
    </row>
    <row r="7" spans="1:41" ht="36" customHeight="1">
      <c r="A7" s="274" t="s">
        <v>26</v>
      </c>
      <c r="B7" s="275" t="s">
        <v>69</v>
      </c>
      <c r="C7" s="35" t="s">
        <v>70</v>
      </c>
      <c r="D7" s="276" t="s">
        <v>71</v>
      </c>
      <c r="E7" s="277" t="s">
        <v>72</v>
      </c>
      <c r="F7" s="435"/>
      <c r="G7" s="278">
        <v>30</v>
      </c>
      <c r="H7" s="279">
        <v>31</v>
      </c>
      <c r="I7" s="279">
        <v>1</v>
      </c>
      <c r="J7" s="279">
        <v>2</v>
      </c>
      <c r="K7" s="279">
        <v>3</v>
      </c>
      <c r="L7" s="280">
        <v>4</v>
      </c>
      <c r="M7" s="281">
        <v>5</v>
      </c>
      <c r="N7" s="141">
        <v>6</v>
      </c>
      <c r="O7" s="279">
        <v>7</v>
      </c>
      <c r="P7" s="279">
        <v>8</v>
      </c>
      <c r="Q7" s="279">
        <v>9</v>
      </c>
      <c r="R7" s="279">
        <v>10</v>
      </c>
      <c r="S7" s="281">
        <v>11</v>
      </c>
      <c r="T7" s="281">
        <v>12</v>
      </c>
      <c r="U7" s="279">
        <v>13</v>
      </c>
      <c r="V7" s="279">
        <v>14</v>
      </c>
      <c r="W7" s="279">
        <v>15</v>
      </c>
      <c r="X7" s="279">
        <v>16</v>
      </c>
      <c r="Y7" s="279">
        <v>17</v>
      </c>
      <c r="Z7" s="281">
        <v>18</v>
      </c>
      <c r="AA7" s="281">
        <v>19</v>
      </c>
      <c r="AB7" s="279">
        <v>20</v>
      </c>
      <c r="AC7" s="279">
        <v>21</v>
      </c>
      <c r="AD7" s="279">
        <v>22</v>
      </c>
      <c r="AE7" s="279">
        <v>23</v>
      </c>
      <c r="AF7" s="279">
        <v>24</v>
      </c>
      <c r="AG7" s="281">
        <v>25</v>
      </c>
      <c r="AH7" s="281">
        <v>26</v>
      </c>
      <c r="AI7" s="279">
        <v>27</v>
      </c>
      <c r="AJ7" s="279">
        <v>28</v>
      </c>
      <c r="AK7" s="279">
        <v>29</v>
      </c>
      <c r="AL7" s="279">
        <v>30</v>
      </c>
      <c r="AM7" s="141">
        <v>1</v>
      </c>
      <c r="AN7" s="281">
        <v>2</v>
      </c>
      <c r="AO7" s="282">
        <v>3</v>
      </c>
    </row>
    <row r="8" spans="1:41" ht="38.25" customHeight="1">
      <c r="A8" s="283" t="s">
        <v>27</v>
      </c>
      <c r="B8" s="416" t="s">
        <v>73</v>
      </c>
      <c r="C8" s="416"/>
      <c r="D8" s="45" t="s">
        <v>74</v>
      </c>
      <c r="E8" s="177" t="s">
        <v>75</v>
      </c>
      <c r="F8" s="284">
        <v>1</v>
      </c>
      <c r="G8" s="285"/>
      <c r="H8" s="285" t="s">
        <v>76</v>
      </c>
      <c r="I8" s="285"/>
      <c r="J8" s="285"/>
      <c r="K8" s="285"/>
      <c r="L8" s="286"/>
      <c r="M8" s="286"/>
      <c r="N8" s="280"/>
      <c r="O8" s="287" t="s">
        <v>25</v>
      </c>
      <c r="P8" s="287" t="s">
        <v>25</v>
      </c>
      <c r="Q8" s="287" t="s">
        <v>25</v>
      </c>
      <c r="R8" s="287" t="s">
        <v>25</v>
      </c>
      <c r="S8" s="286"/>
      <c r="T8" s="286"/>
      <c r="U8" s="288" t="s">
        <v>25</v>
      </c>
      <c r="V8" s="288" t="s">
        <v>25</v>
      </c>
      <c r="W8" s="288" t="s">
        <v>25</v>
      </c>
      <c r="X8" s="288" t="s">
        <v>25</v>
      </c>
      <c r="Y8" s="288" t="s">
        <v>25</v>
      </c>
      <c r="Z8" s="286"/>
      <c r="AA8" s="286"/>
      <c r="AB8" s="285"/>
      <c r="AC8" s="285"/>
      <c r="AD8" s="289"/>
      <c r="AE8" s="290" t="s">
        <v>252</v>
      </c>
      <c r="AF8" s="285"/>
      <c r="AG8" s="286"/>
      <c r="AH8" s="286"/>
      <c r="AI8" s="285"/>
      <c r="AJ8" s="285" t="s">
        <v>76</v>
      </c>
      <c r="AK8" s="285"/>
      <c r="AL8" s="285"/>
      <c r="AM8" s="280"/>
      <c r="AN8" s="286"/>
      <c r="AO8" s="291"/>
    </row>
    <row r="9" spans="1:41" ht="49.5" customHeight="1">
      <c r="A9" s="292" t="s">
        <v>28</v>
      </c>
      <c r="B9" s="293" t="s">
        <v>77</v>
      </c>
      <c r="C9" s="294" t="s">
        <v>78</v>
      </c>
      <c r="D9" s="295" t="s">
        <v>79</v>
      </c>
      <c r="E9" s="296" t="s">
        <v>80</v>
      </c>
      <c r="F9" s="297">
        <v>1</v>
      </c>
      <c r="G9" s="298" t="s">
        <v>25</v>
      </c>
      <c r="H9" s="299" t="s">
        <v>25</v>
      </c>
      <c r="I9" s="299" t="s">
        <v>25</v>
      </c>
      <c r="J9" s="299" t="s">
        <v>25</v>
      </c>
      <c r="K9" s="299" t="s">
        <v>25</v>
      </c>
      <c r="L9" s="59"/>
      <c r="M9" s="59"/>
      <c r="N9" s="60" t="s">
        <v>253</v>
      </c>
      <c r="O9" s="58" t="s">
        <v>84</v>
      </c>
      <c r="P9" s="60" t="s">
        <v>254</v>
      </c>
      <c r="Q9" s="58" t="s">
        <v>84</v>
      </c>
      <c r="R9" s="58" t="s">
        <v>84</v>
      </c>
      <c r="S9" s="59"/>
      <c r="T9" s="59"/>
      <c r="U9" s="58" t="s">
        <v>255</v>
      </c>
      <c r="V9" s="58" t="s">
        <v>255</v>
      </c>
      <c r="W9" s="58" t="s">
        <v>255</v>
      </c>
      <c r="X9" s="58" t="s">
        <v>255</v>
      </c>
      <c r="Y9" s="58" t="s">
        <v>255</v>
      </c>
      <c r="Z9" s="59"/>
      <c r="AA9" s="59"/>
      <c r="AB9" s="58" t="s">
        <v>87</v>
      </c>
      <c r="AC9" s="58" t="s">
        <v>87</v>
      </c>
      <c r="AD9" s="58" t="s">
        <v>256</v>
      </c>
      <c r="AE9" s="58" t="s">
        <v>87</v>
      </c>
      <c r="AF9" s="58" t="s">
        <v>87</v>
      </c>
      <c r="AG9" s="59"/>
      <c r="AH9" s="60" t="s">
        <v>253</v>
      </c>
      <c r="AI9" s="58" t="s">
        <v>87</v>
      </c>
      <c r="AJ9" s="58" t="s">
        <v>87</v>
      </c>
      <c r="AK9" s="58" t="s">
        <v>87</v>
      </c>
      <c r="AL9" s="300" t="s">
        <v>25</v>
      </c>
      <c r="AM9" s="59"/>
      <c r="AN9" s="59"/>
      <c r="AO9" s="63"/>
    </row>
    <row r="10" spans="1:41" ht="18.75" customHeight="1">
      <c r="A10" s="417" t="s">
        <v>88</v>
      </c>
      <c r="B10" s="64" t="s">
        <v>89</v>
      </c>
      <c r="C10" s="65" t="s">
        <v>90</v>
      </c>
      <c r="D10" s="186" t="s">
        <v>91</v>
      </c>
      <c r="E10" s="187" t="s">
        <v>92</v>
      </c>
      <c r="F10" s="259">
        <v>0.5</v>
      </c>
      <c r="G10" s="260"/>
      <c r="H10" s="61"/>
      <c r="I10" s="61"/>
      <c r="J10" s="61"/>
      <c r="K10" s="61"/>
      <c r="L10" s="70"/>
      <c r="M10" s="70"/>
      <c r="N10" s="70"/>
      <c r="O10" s="61"/>
      <c r="P10" s="61"/>
      <c r="Q10" s="61"/>
      <c r="R10" s="61"/>
      <c r="S10" s="70"/>
      <c r="T10" s="70"/>
      <c r="U10" s="188" t="s">
        <v>23</v>
      </c>
      <c r="V10" s="188" t="s">
        <v>23</v>
      </c>
      <c r="W10" s="188" t="s">
        <v>23</v>
      </c>
      <c r="X10" s="188" t="s">
        <v>23</v>
      </c>
      <c r="Y10" s="188" t="s">
        <v>23</v>
      </c>
      <c r="Z10" s="70"/>
      <c r="AA10" s="70"/>
      <c r="AB10" s="61"/>
      <c r="AC10" s="61"/>
      <c r="AD10" s="61"/>
      <c r="AE10" s="61"/>
      <c r="AF10" s="61"/>
      <c r="AG10" s="70"/>
      <c r="AH10" s="70"/>
      <c r="AI10" s="61"/>
      <c r="AJ10" s="61"/>
      <c r="AK10" s="61"/>
      <c r="AL10" s="61"/>
      <c r="AM10" s="70"/>
      <c r="AN10" s="70"/>
      <c r="AO10" s="72"/>
    </row>
    <row r="11" spans="1:41" ht="18.75" customHeight="1">
      <c r="A11" s="417"/>
      <c r="B11" s="64" t="s">
        <v>94</v>
      </c>
      <c r="C11" s="65" t="s">
        <v>95</v>
      </c>
      <c r="D11" s="191" t="s">
        <v>96</v>
      </c>
      <c r="E11" s="192" t="s">
        <v>97</v>
      </c>
      <c r="F11" s="259">
        <v>1</v>
      </c>
      <c r="G11" s="301"/>
      <c r="H11" s="58"/>
      <c r="I11" s="58"/>
      <c r="J11" s="58"/>
      <c r="K11" s="58"/>
      <c r="L11" s="59"/>
      <c r="M11" s="59"/>
      <c r="N11" s="70"/>
      <c r="O11" s="58"/>
      <c r="P11" s="58"/>
      <c r="Q11" s="58"/>
      <c r="R11" s="58"/>
      <c r="S11" s="59"/>
      <c r="T11" s="59"/>
      <c r="U11" s="58"/>
      <c r="V11" s="58"/>
      <c r="W11" s="274" t="s">
        <v>26</v>
      </c>
      <c r="X11" s="274" t="s">
        <v>26</v>
      </c>
      <c r="Y11" s="274" t="s">
        <v>26</v>
      </c>
      <c r="Z11" s="59"/>
      <c r="AA11" s="59"/>
      <c r="AB11" s="61"/>
      <c r="AC11" s="61"/>
      <c r="AD11" s="61"/>
      <c r="AE11" s="61"/>
      <c r="AF11" s="61"/>
      <c r="AG11" s="59"/>
      <c r="AH11" s="59"/>
      <c r="AI11" s="61"/>
      <c r="AJ11" s="61"/>
      <c r="AK11" s="61"/>
      <c r="AL11" s="61"/>
      <c r="AM11" s="70"/>
      <c r="AN11" s="59"/>
      <c r="AO11" s="63"/>
    </row>
    <row r="12" spans="1:41" ht="18.75" customHeight="1">
      <c r="A12" s="417"/>
      <c r="B12" s="64" t="s">
        <v>98</v>
      </c>
      <c r="C12" s="65" t="s">
        <v>99</v>
      </c>
      <c r="D12" s="193" t="s">
        <v>257</v>
      </c>
      <c r="E12" s="194" t="s">
        <v>193</v>
      </c>
      <c r="F12" s="259">
        <v>1</v>
      </c>
      <c r="G12" s="260"/>
      <c r="H12" s="61"/>
      <c r="I12" s="61"/>
      <c r="J12" s="61"/>
      <c r="K12" s="61"/>
      <c r="L12" s="70"/>
      <c r="M12" s="70"/>
      <c r="N12" s="70"/>
      <c r="O12" s="61"/>
      <c r="P12" s="61"/>
      <c r="Q12" s="58"/>
      <c r="R12" s="58"/>
      <c r="S12" s="59"/>
      <c r="T12" s="59"/>
      <c r="U12" s="58"/>
      <c r="V12" s="58"/>
      <c r="W12" s="58"/>
      <c r="X12" s="58"/>
      <c r="Y12" s="58"/>
      <c r="Z12" s="59"/>
      <c r="AA12" s="70"/>
      <c r="AB12" s="61"/>
      <c r="AC12" s="61"/>
      <c r="AD12" s="61"/>
      <c r="AE12" s="61"/>
      <c r="AF12" s="61"/>
      <c r="AG12" s="434"/>
      <c r="AH12" s="434"/>
      <c r="AI12" s="61"/>
      <c r="AJ12" s="58"/>
      <c r="AK12" s="61"/>
      <c r="AL12" s="61"/>
      <c r="AM12" s="70"/>
      <c r="AN12" s="59"/>
      <c r="AO12" s="72"/>
    </row>
    <row r="13" spans="1:41" ht="18.75" customHeight="1">
      <c r="A13" s="417"/>
      <c r="B13" s="64" t="s">
        <v>102</v>
      </c>
      <c r="C13" s="65" t="s">
        <v>103</v>
      </c>
      <c r="D13" s="193" t="s">
        <v>104</v>
      </c>
      <c r="E13" s="194" t="s">
        <v>105</v>
      </c>
      <c r="F13" s="259">
        <v>0.8</v>
      </c>
      <c r="G13" s="302" t="s">
        <v>25</v>
      </c>
      <c r="H13" s="303" t="s">
        <v>25</v>
      </c>
      <c r="I13" s="303" t="s">
        <v>25</v>
      </c>
      <c r="J13" s="303" t="s">
        <v>25</v>
      </c>
      <c r="K13" s="303" t="s">
        <v>25</v>
      </c>
      <c r="L13" s="59"/>
      <c r="M13" s="70"/>
      <c r="N13" s="70"/>
      <c r="O13" s="61"/>
      <c r="P13" s="58" t="s">
        <v>258</v>
      </c>
      <c r="Q13" s="61"/>
      <c r="R13" s="58"/>
      <c r="S13" s="59"/>
      <c r="T13" s="59"/>
      <c r="U13" s="62" t="s">
        <v>106</v>
      </c>
      <c r="V13" s="62" t="s">
        <v>106</v>
      </c>
      <c r="W13" s="62" t="s">
        <v>106</v>
      </c>
      <c r="X13" s="62" t="s">
        <v>106</v>
      </c>
      <c r="Y13" s="62" t="s">
        <v>106</v>
      </c>
      <c r="Z13" s="59"/>
      <c r="AA13" s="70"/>
      <c r="AB13" s="188" t="s">
        <v>23</v>
      </c>
      <c r="AC13" s="188" t="s">
        <v>23</v>
      </c>
      <c r="AD13" s="188" t="s">
        <v>23</v>
      </c>
      <c r="AE13" s="188" t="s">
        <v>23</v>
      </c>
      <c r="AF13" s="188" t="s">
        <v>23</v>
      </c>
      <c r="AG13" s="59"/>
      <c r="AH13" s="70"/>
      <c r="AI13" s="131" t="s">
        <v>106</v>
      </c>
      <c r="AJ13" s="61"/>
      <c r="AK13" s="61"/>
      <c r="AL13" s="61"/>
      <c r="AM13" s="70"/>
      <c r="AN13" s="59"/>
      <c r="AO13" s="72"/>
    </row>
    <row r="14" spans="1:41" ht="18.75" customHeight="1">
      <c r="A14" s="417"/>
      <c r="B14" s="64" t="s">
        <v>107</v>
      </c>
      <c r="C14" s="65" t="s">
        <v>108</v>
      </c>
      <c r="D14" s="193" t="s">
        <v>109</v>
      </c>
      <c r="E14" s="194" t="s">
        <v>110</v>
      </c>
      <c r="F14" s="259">
        <v>1</v>
      </c>
      <c r="G14" s="260"/>
      <c r="H14" s="61"/>
      <c r="I14" s="58"/>
      <c r="J14" s="61"/>
      <c r="K14" s="61"/>
      <c r="L14" s="70"/>
      <c r="M14" s="70"/>
      <c r="N14" s="70"/>
      <c r="O14" s="61"/>
      <c r="P14" s="61"/>
      <c r="Q14" s="58"/>
      <c r="R14" s="58"/>
      <c r="S14" s="59"/>
      <c r="T14" s="59"/>
      <c r="U14" s="61"/>
      <c r="V14" s="61"/>
      <c r="W14" s="61"/>
      <c r="X14" s="58"/>
      <c r="Y14" s="61"/>
      <c r="Z14" s="59"/>
      <c r="AA14" s="70"/>
      <c r="AB14" s="61"/>
      <c r="AC14" s="61"/>
      <c r="AD14" s="58"/>
      <c r="AE14" s="61"/>
      <c r="AF14" s="61"/>
      <c r="AG14" s="59"/>
      <c r="AH14" s="70"/>
      <c r="AI14" s="61"/>
      <c r="AJ14" s="61"/>
      <c r="AK14" s="58"/>
      <c r="AL14" s="61"/>
      <c r="AM14" s="70"/>
      <c r="AN14" s="59"/>
      <c r="AO14" s="72"/>
    </row>
    <row r="15" spans="1:41" ht="18.75" customHeight="1">
      <c r="A15" s="417"/>
      <c r="B15" s="64" t="s">
        <v>111</v>
      </c>
      <c r="C15" s="65" t="s">
        <v>112</v>
      </c>
      <c r="D15" s="193" t="s">
        <v>113</v>
      </c>
      <c r="E15" s="194" t="s">
        <v>114</v>
      </c>
      <c r="F15" s="259">
        <v>1</v>
      </c>
      <c r="G15" s="260"/>
      <c r="H15" s="61"/>
      <c r="I15" s="61"/>
      <c r="J15" s="61"/>
      <c r="K15" s="61"/>
      <c r="L15" s="59"/>
      <c r="M15" s="70"/>
      <c r="N15" s="70"/>
      <c r="O15" s="61"/>
      <c r="P15" s="61"/>
      <c r="Q15" s="58"/>
      <c r="R15" s="58"/>
      <c r="S15" s="59"/>
      <c r="T15" s="59"/>
      <c r="U15" s="61"/>
      <c r="V15" s="61"/>
      <c r="W15" s="61"/>
      <c r="X15" s="61"/>
      <c r="Y15" s="61"/>
      <c r="Z15" s="59"/>
      <c r="AA15" s="70"/>
      <c r="AB15" s="61" t="s">
        <v>25</v>
      </c>
      <c r="AC15" s="61" t="s">
        <v>25</v>
      </c>
      <c r="AD15" s="61" t="s">
        <v>25</v>
      </c>
      <c r="AE15" s="61" t="s">
        <v>25</v>
      </c>
      <c r="AF15" s="61" t="s">
        <v>25</v>
      </c>
      <c r="AG15" s="59"/>
      <c r="AH15" s="70"/>
      <c r="AI15" s="61"/>
      <c r="AJ15" s="61"/>
      <c r="AK15" s="61"/>
      <c r="AL15" s="61"/>
      <c r="AM15" s="70"/>
      <c r="AN15" s="59"/>
      <c r="AO15" s="72"/>
    </row>
    <row r="16" spans="1:41" ht="18.75" customHeight="1">
      <c r="A16" s="417"/>
      <c r="B16" s="64" t="s">
        <v>116</v>
      </c>
      <c r="C16" s="65" t="s">
        <v>117</v>
      </c>
      <c r="D16" s="193" t="s">
        <v>118</v>
      </c>
      <c r="E16" s="194" t="s">
        <v>119</v>
      </c>
      <c r="F16" s="259">
        <v>1</v>
      </c>
      <c r="G16" s="302" t="s">
        <v>25</v>
      </c>
      <c r="H16" s="303" t="s">
        <v>25</v>
      </c>
      <c r="I16" s="303" t="s">
        <v>25</v>
      </c>
      <c r="J16" s="303" t="s">
        <v>25</v>
      </c>
      <c r="K16" s="303" t="s">
        <v>25</v>
      </c>
      <c r="L16" s="70"/>
      <c r="M16" s="70"/>
      <c r="N16" s="70"/>
      <c r="O16" s="61"/>
      <c r="P16" s="61"/>
      <c r="Q16" s="58"/>
      <c r="R16" s="58"/>
      <c r="S16" s="59"/>
      <c r="T16" s="59"/>
      <c r="U16" s="61"/>
      <c r="V16" s="61" t="s">
        <v>259</v>
      </c>
      <c r="W16" s="61"/>
      <c r="X16" s="61"/>
      <c r="Y16" s="58"/>
      <c r="Z16" s="59"/>
      <c r="AA16" s="70"/>
      <c r="AB16" s="61"/>
      <c r="AC16" s="61"/>
      <c r="AD16" s="61"/>
      <c r="AE16" s="58"/>
      <c r="AF16" s="61"/>
      <c r="AG16" s="59"/>
      <c r="AH16" s="70"/>
      <c r="AI16" s="61"/>
      <c r="AJ16" s="61"/>
      <c r="AK16" s="61"/>
      <c r="AL16" s="58"/>
      <c r="AM16" s="70"/>
      <c r="AN16" s="59"/>
      <c r="AO16" s="72"/>
    </row>
    <row r="17" spans="1:41" ht="18.75" customHeight="1">
      <c r="A17" s="417"/>
      <c r="B17" s="64" t="s">
        <v>120</v>
      </c>
      <c r="C17" s="65" t="s">
        <v>121</v>
      </c>
      <c r="D17" s="193" t="s">
        <v>122</v>
      </c>
      <c r="E17" s="194" t="s">
        <v>123</v>
      </c>
      <c r="F17" s="259">
        <v>1</v>
      </c>
      <c r="G17" s="260"/>
      <c r="H17" s="61"/>
      <c r="I17" s="61"/>
      <c r="J17" s="61"/>
      <c r="K17" s="61"/>
      <c r="L17" s="70"/>
      <c r="M17" s="70"/>
      <c r="N17" s="70"/>
      <c r="O17" s="303" t="s">
        <v>25</v>
      </c>
      <c r="P17" s="303" t="s">
        <v>25</v>
      </c>
      <c r="Q17" s="303" t="s">
        <v>25</v>
      </c>
      <c r="R17" s="303" t="s">
        <v>25</v>
      </c>
      <c r="S17" s="70"/>
      <c r="T17" s="70"/>
      <c r="U17" s="61"/>
      <c r="V17" s="61"/>
      <c r="W17" s="61"/>
      <c r="X17" s="58"/>
      <c r="Y17" s="61"/>
      <c r="Z17" s="59"/>
      <c r="AA17" s="70"/>
      <c r="AB17" s="58"/>
      <c r="AC17" s="61"/>
      <c r="AD17" s="61"/>
      <c r="AE17" s="61"/>
      <c r="AF17" s="61"/>
      <c r="AG17" s="59"/>
      <c r="AH17" s="70"/>
      <c r="AI17" s="58"/>
      <c r="AJ17" s="61"/>
      <c r="AK17" s="61"/>
      <c r="AL17" s="61"/>
      <c r="AM17" s="70"/>
      <c r="AN17" s="59"/>
      <c r="AO17" s="72"/>
    </row>
    <row r="18" spans="1:41" ht="18.75" customHeight="1">
      <c r="A18" s="417"/>
      <c r="B18" s="64" t="s">
        <v>124</v>
      </c>
      <c r="C18" s="65" t="s">
        <v>125</v>
      </c>
      <c r="D18" s="193" t="s">
        <v>126</v>
      </c>
      <c r="E18" s="194" t="s">
        <v>127</v>
      </c>
      <c r="F18" s="259">
        <v>1</v>
      </c>
      <c r="G18" s="260"/>
      <c r="H18" s="61" t="s">
        <v>93</v>
      </c>
      <c r="I18" s="61"/>
      <c r="J18" s="61"/>
      <c r="K18" s="58"/>
      <c r="L18" s="70"/>
      <c r="M18" s="70"/>
      <c r="N18" s="70"/>
      <c r="O18" s="61"/>
      <c r="P18" s="61"/>
      <c r="Q18" s="58"/>
      <c r="R18" s="58"/>
      <c r="S18" s="70"/>
      <c r="T18" s="70"/>
      <c r="U18" s="58"/>
      <c r="V18" s="61"/>
      <c r="W18" s="61"/>
      <c r="X18" s="61"/>
      <c r="Y18" s="61"/>
      <c r="Z18" s="59"/>
      <c r="AA18" s="70"/>
      <c r="AB18" s="61"/>
      <c r="AC18" s="61"/>
      <c r="AD18" s="61"/>
      <c r="AE18" s="61"/>
      <c r="AF18" s="58"/>
      <c r="AG18" s="59"/>
      <c r="AH18" s="70"/>
      <c r="AI18" s="61"/>
      <c r="AJ18" s="61"/>
      <c r="AK18" s="61"/>
      <c r="AL18" s="61"/>
      <c r="AM18" s="70"/>
      <c r="AN18" s="59"/>
      <c r="AO18" s="72"/>
    </row>
    <row r="19" spans="1:41" ht="18.75" customHeight="1">
      <c r="A19" s="417"/>
      <c r="B19" s="64" t="s">
        <v>129</v>
      </c>
      <c r="C19" s="65" t="s">
        <v>130</v>
      </c>
      <c r="D19" s="196" t="s">
        <v>131</v>
      </c>
      <c r="E19" s="197" t="s">
        <v>132</v>
      </c>
      <c r="F19" s="259">
        <v>1</v>
      </c>
      <c r="G19" s="274" t="s">
        <v>26</v>
      </c>
      <c r="H19" s="274" t="s">
        <v>26</v>
      </c>
      <c r="I19" s="274" t="s">
        <v>26</v>
      </c>
      <c r="J19" s="274" t="s">
        <v>26</v>
      </c>
      <c r="K19" s="274" t="s">
        <v>26</v>
      </c>
      <c r="L19" s="70"/>
      <c r="M19" s="70"/>
      <c r="N19" s="70"/>
      <c r="O19" s="274" t="s">
        <v>26</v>
      </c>
      <c r="P19" s="274" t="s">
        <v>26</v>
      </c>
      <c r="Q19" s="274" t="s">
        <v>26</v>
      </c>
      <c r="R19" s="274" t="s">
        <v>26</v>
      </c>
      <c r="S19" s="70"/>
      <c r="T19" s="70"/>
      <c r="U19" s="274" t="s">
        <v>26</v>
      </c>
      <c r="V19" s="274" t="s">
        <v>26</v>
      </c>
      <c r="W19" s="274" t="s">
        <v>26</v>
      </c>
      <c r="X19" s="274" t="s">
        <v>26</v>
      </c>
      <c r="Y19" s="274" t="s">
        <v>26</v>
      </c>
      <c r="Z19" s="59"/>
      <c r="AA19" s="70"/>
      <c r="AB19" s="274" t="s">
        <v>26</v>
      </c>
      <c r="AC19" s="274" t="s">
        <v>26</v>
      </c>
      <c r="AD19" s="274" t="s">
        <v>26</v>
      </c>
      <c r="AE19" s="274" t="s">
        <v>26</v>
      </c>
      <c r="AF19" s="274" t="s">
        <v>26</v>
      </c>
      <c r="AG19" s="70"/>
      <c r="AH19" s="70"/>
      <c r="AI19" s="274" t="s">
        <v>26</v>
      </c>
      <c r="AJ19" s="274" t="s">
        <v>26</v>
      </c>
      <c r="AK19" s="274" t="s">
        <v>26</v>
      </c>
      <c r="AL19" s="274" t="s">
        <v>26</v>
      </c>
      <c r="AM19" s="70"/>
      <c r="AN19" s="59"/>
      <c r="AO19" s="90"/>
    </row>
    <row r="20" spans="1:41" ht="18.75" customHeight="1">
      <c r="A20" s="417"/>
      <c r="B20" s="64" t="s">
        <v>133</v>
      </c>
      <c r="C20" s="65" t="s">
        <v>134</v>
      </c>
      <c r="D20" s="196" t="s">
        <v>135</v>
      </c>
      <c r="E20" s="197" t="s">
        <v>136</v>
      </c>
      <c r="F20" s="259">
        <v>1</v>
      </c>
      <c r="G20" s="266"/>
      <c r="H20" s="88"/>
      <c r="I20" s="88"/>
      <c r="J20" s="88"/>
      <c r="K20" s="88"/>
      <c r="L20" s="70"/>
      <c r="M20" s="70"/>
      <c r="N20" s="87"/>
      <c r="O20" s="88"/>
      <c r="P20" s="88"/>
      <c r="Q20" s="92"/>
      <c r="R20" s="92"/>
      <c r="S20" s="87"/>
      <c r="T20" s="87"/>
      <c r="U20" s="92" t="s">
        <v>25</v>
      </c>
      <c r="V20" s="88"/>
      <c r="W20" s="88"/>
      <c r="X20" s="88"/>
      <c r="Y20" s="88"/>
      <c r="Z20" s="87"/>
      <c r="AA20" s="87"/>
      <c r="AB20" s="88"/>
      <c r="AC20" s="61"/>
      <c r="AD20" s="61"/>
      <c r="AE20" s="61"/>
      <c r="AF20" s="58"/>
      <c r="AG20" s="70"/>
      <c r="AH20" s="70"/>
      <c r="AI20" s="61"/>
      <c r="AJ20" s="61"/>
      <c r="AK20" s="61"/>
      <c r="AL20" s="61"/>
      <c r="AM20" s="70"/>
      <c r="AN20" s="59"/>
      <c r="AO20" s="90"/>
    </row>
    <row r="21" spans="1:41" ht="18.75" customHeight="1">
      <c r="A21" s="417"/>
      <c r="B21" s="64" t="s">
        <v>137</v>
      </c>
      <c r="C21" s="65" t="s">
        <v>138</v>
      </c>
      <c r="D21" s="196" t="s">
        <v>139</v>
      </c>
      <c r="E21" s="197" t="s">
        <v>140</v>
      </c>
      <c r="F21" s="259">
        <v>1</v>
      </c>
      <c r="G21" s="266"/>
      <c r="H21" s="88"/>
      <c r="I21" s="88"/>
      <c r="J21" s="88" t="s">
        <v>260</v>
      </c>
      <c r="K21" s="92"/>
      <c r="L21" s="87"/>
      <c r="M21" s="304"/>
      <c r="N21" s="105"/>
      <c r="O21" s="104"/>
      <c r="P21" s="99"/>
      <c r="Q21" s="99"/>
      <c r="R21" s="99"/>
      <c r="S21" s="98"/>
      <c r="T21" s="98"/>
      <c r="U21" s="99"/>
      <c r="V21" s="99"/>
      <c r="W21" s="99"/>
      <c r="X21" s="99"/>
      <c r="Y21" s="99"/>
      <c r="Z21" s="98"/>
      <c r="AA21" s="98"/>
      <c r="AB21" s="99" t="s">
        <v>115</v>
      </c>
      <c r="AC21" s="260"/>
      <c r="AD21" s="61" t="s">
        <v>28</v>
      </c>
      <c r="AE21" s="61"/>
      <c r="AF21" s="58"/>
      <c r="AG21" s="70"/>
      <c r="AH21" s="70"/>
      <c r="AI21" s="61"/>
      <c r="AJ21" s="61"/>
      <c r="AK21" s="61"/>
      <c r="AL21" s="61"/>
      <c r="AM21" s="70"/>
      <c r="AN21" s="70"/>
      <c r="AO21" s="72"/>
    </row>
    <row r="22" spans="1:41" ht="18.75" customHeight="1">
      <c r="A22" s="417"/>
      <c r="B22" s="64" t="s">
        <v>141</v>
      </c>
      <c r="C22" s="65" t="s">
        <v>142</v>
      </c>
      <c r="D22" s="196" t="s">
        <v>143</v>
      </c>
      <c r="E22" s="197" t="s">
        <v>144</v>
      </c>
      <c r="F22" s="259">
        <v>1</v>
      </c>
      <c r="G22" s="305"/>
      <c r="H22" s="99"/>
      <c r="I22" s="99"/>
      <c r="J22" s="99"/>
      <c r="K22" s="99"/>
      <c r="L22" s="98"/>
      <c r="M22" s="98"/>
      <c r="N22" s="98"/>
      <c r="O22" s="99"/>
      <c r="P22" s="305"/>
      <c r="Q22" s="99"/>
      <c r="R22" s="99"/>
      <c r="S22" s="98"/>
      <c r="T22" s="98"/>
      <c r="U22" s="99"/>
      <c r="V22" s="99"/>
      <c r="W22" s="99"/>
      <c r="X22" s="99"/>
      <c r="Y22" s="99"/>
      <c r="Z22" s="98"/>
      <c r="AA22" s="98"/>
      <c r="AB22" s="303" t="s">
        <v>25</v>
      </c>
      <c r="AC22" s="303" t="s">
        <v>25</v>
      </c>
      <c r="AD22" s="61"/>
      <c r="AE22" s="61"/>
      <c r="AF22" s="58"/>
      <c r="AG22" s="70"/>
      <c r="AH22" s="70"/>
      <c r="AI22" s="61"/>
      <c r="AJ22" s="61"/>
      <c r="AK22" s="61"/>
      <c r="AL22" s="61"/>
      <c r="AM22" s="70"/>
      <c r="AN22" s="70"/>
      <c r="AO22" s="72"/>
    </row>
    <row r="23" spans="1:41" ht="18.75" customHeight="1">
      <c r="A23" s="417"/>
      <c r="B23" s="64" t="s">
        <v>146</v>
      </c>
      <c r="C23" s="65"/>
      <c r="D23" s="95" t="s">
        <v>147</v>
      </c>
      <c r="E23" s="85" t="s">
        <v>148</v>
      </c>
      <c r="F23" s="259">
        <v>1</v>
      </c>
      <c r="G23" s="305" t="s">
        <v>261</v>
      </c>
      <c r="H23" s="58" t="s">
        <v>25</v>
      </c>
      <c r="I23" s="58" t="s">
        <v>25</v>
      </c>
      <c r="J23" s="58" t="s">
        <v>25</v>
      </c>
      <c r="K23" s="99" t="s">
        <v>261</v>
      </c>
      <c r="L23" s="98"/>
      <c r="M23" s="98"/>
      <c r="N23" s="98"/>
      <c r="O23" s="303" t="s">
        <v>25</v>
      </c>
      <c r="P23" s="303" t="s">
        <v>25</v>
      </c>
      <c r="Q23" s="303" t="s">
        <v>25</v>
      </c>
      <c r="R23" s="303" t="s">
        <v>25</v>
      </c>
      <c r="S23" s="98"/>
      <c r="T23" s="98"/>
      <c r="U23" s="99" t="s">
        <v>149</v>
      </c>
      <c r="V23" s="88" t="s">
        <v>225</v>
      </c>
      <c r="W23" s="88" t="s">
        <v>225</v>
      </c>
      <c r="X23" s="88" t="s">
        <v>225</v>
      </c>
      <c r="Y23" s="88" t="s">
        <v>225</v>
      </c>
      <c r="Z23" s="98"/>
      <c r="AA23" s="98"/>
      <c r="AB23" s="99" t="s">
        <v>245</v>
      </c>
      <c r="AC23" s="99" t="s">
        <v>245</v>
      </c>
      <c r="AD23" s="58" t="s">
        <v>25</v>
      </c>
      <c r="AE23" s="99" t="s">
        <v>245</v>
      </c>
      <c r="AF23" s="99" t="s">
        <v>245</v>
      </c>
      <c r="AG23" s="70"/>
      <c r="AH23" s="70"/>
      <c r="AI23" s="58" t="s">
        <v>169</v>
      </c>
      <c r="AJ23" s="58" t="s">
        <v>169</v>
      </c>
      <c r="AK23" s="58" t="s">
        <v>169</v>
      </c>
      <c r="AL23" s="58" t="s">
        <v>169</v>
      </c>
      <c r="AM23" s="59"/>
      <c r="AN23" s="70"/>
      <c r="AO23" s="72"/>
    </row>
    <row r="24" spans="1:41" ht="18.75" customHeight="1">
      <c r="A24" s="417"/>
      <c r="B24" s="101" t="s">
        <v>150</v>
      </c>
      <c r="C24" s="65"/>
      <c r="D24" s="84" t="s">
        <v>151</v>
      </c>
      <c r="E24" s="85" t="s">
        <v>152</v>
      </c>
      <c r="F24" s="306" t="s">
        <v>243</v>
      </c>
      <c r="G24" s="307" t="s">
        <v>149</v>
      </c>
      <c r="H24" s="92" t="s">
        <v>149</v>
      </c>
      <c r="I24" s="92" t="s">
        <v>149</v>
      </c>
      <c r="J24" s="92" t="s">
        <v>149</v>
      </c>
      <c r="K24" s="92" t="s">
        <v>149</v>
      </c>
      <c r="L24" s="94"/>
      <c r="M24" s="94"/>
      <c r="N24" s="94"/>
      <c r="O24" s="92" t="s">
        <v>262</v>
      </c>
      <c r="P24" s="92" t="s">
        <v>262</v>
      </c>
      <c r="Q24" s="92" t="s">
        <v>262</v>
      </c>
      <c r="R24" s="92" t="s">
        <v>262</v>
      </c>
      <c r="S24" s="94"/>
      <c r="T24" s="131" t="s">
        <v>253</v>
      </c>
      <c r="U24" s="92" t="s">
        <v>154</v>
      </c>
      <c r="V24" s="92" t="s">
        <v>154</v>
      </c>
      <c r="W24" s="92" t="s">
        <v>154</v>
      </c>
      <c r="X24" s="92" t="s">
        <v>154</v>
      </c>
      <c r="Y24" s="92" t="s">
        <v>154</v>
      </c>
      <c r="Z24" s="94"/>
      <c r="AA24" s="94"/>
      <c r="AB24" s="92" t="s">
        <v>167</v>
      </c>
      <c r="AC24" s="92" t="s">
        <v>167</v>
      </c>
      <c r="AD24" s="92" t="s">
        <v>167</v>
      </c>
      <c r="AE24" s="92" t="s">
        <v>167</v>
      </c>
      <c r="AF24" s="92" t="s">
        <v>167</v>
      </c>
      <c r="AG24" s="87"/>
      <c r="AH24" s="87"/>
      <c r="AI24" s="92" t="s">
        <v>25</v>
      </c>
      <c r="AJ24" s="92" t="s">
        <v>25</v>
      </c>
      <c r="AK24" s="92" t="s">
        <v>25</v>
      </c>
      <c r="AL24" s="92" t="s">
        <v>25</v>
      </c>
      <c r="AM24" s="94"/>
      <c r="AN24" s="87"/>
      <c r="AO24" s="90"/>
    </row>
    <row r="25" spans="1:41" ht="18.75" customHeight="1">
      <c r="A25" s="430" t="s">
        <v>156</v>
      </c>
      <c r="B25" s="108" t="s">
        <v>157</v>
      </c>
      <c r="C25" s="109" t="s">
        <v>158</v>
      </c>
      <c r="D25" s="110" t="s">
        <v>159</v>
      </c>
      <c r="E25" s="111" t="s">
        <v>160</v>
      </c>
      <c r="F25" s="308">
        <v>1</v>
      </c>
      <c r="G25" s="309" t="s">
        <v>157</v>
      </c>
      <c r="H25" s="114" t="s">
        <v>157</v>
      </c>
      <c r="I25" s="114" t="s">
        <v>157</v>
      </c>
      <c r="J25" s="114" t="s">
        <v>157</v>
      </c>
      <c r="K25" s="114" t="s">
        <v>157</v>
      </c>
      <c r="L25" s="310" t="s">
        <v>263</v>
      </c>
      <c r="M25" s="116"/>
      <c r="N25" s="116"/>
      <c r="O25" s="287" t="s">
        <v>25</v>
      </c>
      <c r="P25" s="287" t="s">
        <v>25</v>
      </c>
      <c r="Q25" s="287" t="s">
        <v>25</v>
      </c>
      <c r="R25" s="287" t="s">
        <v>25</v>
      </c>
      <c r="S25" s="116"/>
      <c r="T25" s="116"/>
      <c r="U25" s="287" t="s">
        <v>25</v>
      </c>
      <c r="V25" s="287" t="s">
        <v>25</v>
      </c>
      <c r="W25" s="287" t="s">
        <v>25</v>
      </c>
      <c r="X25" s="287" t="s">
        <v>25</v>
      </c>
      <c r="Y25" s="287" t="s">
        <v>25</v>
      </c>
      <c r="Z25" s="115"/>
      <c r="AA25" s="116"/>
      <c r="AB25" s="114" t="s">
        <v>157</v>
      </c>
      <c r="AC25" s="114" t="s">
        <v>157</v>
      </c>
      <c r="AD25" s="114" t="s">
        <v>157</v>
      </c>
      <c r="AE25" s="114" t="s">
        <v>157</v>
      </c>
      <c r="AF25" s="114" t="s">
        <v>157</v>
      </c>
      <c r="AG25" s="116"/>
      <c r="AH25" s="116"/>
      <c r="AI25" s="114" t="s">
        <v>157</v>
      </c>
      <c r="AJ25" s="114" t="s">
        <v>157</v>
      </c>
      <c r="AK25" s="114" t="s">
        <v>157</v>
      </c>
      <c r="AL25" s="114" t="s">
        <v>157</v>
      </c>
      <c r="AM25" s="116"/>
      <c r="AN25" s="310" t="s">
        <v>263</v>
      </c>
      <c r="AO25" s="117"/>
    </row>
    <row r="26" spans="1:41" ht="18.75" customHeight="1">
      <c r="A26" s="430"/>
      <c r="B26" s="118" t="s">
        <v>161</v>
      </c>
      <c r="C26" s="119" t="s">
        <v>158</v>
      </c>
      <c r="D26" s="120" t="s">
        <v>162</v>
      </c>
      <c r="E26" s="121" t="s">
        <v>163</v>
      </c>
      <c r="F26" s="259">
        <v>1</v>
      </c>
      <c r="G26" s="266" t="s">
        <v>161</v>
      </c>
      <c r="H26" s="88" t="s">
        <v>161</v>
      </c>
      <c r="I26" s="88" t="s">
        <v>161</v>
      </c>
      <c r="J26" s="88" t="s">
        <v>161</v>
      </c>
      <c r="K26" s="88" t="s">
        <v>161</v>
      </c>
      <c r="L26" s="94"/>
      <c r="M26" s="94"/>
      <c r="N26" s="94"/>
      <c r="O26" s="88" t="s">
        <v>161</v>
      </c>
      <c r="P26" s="88" t="s">
        <v>161</v>
      </c>
      <c r="Q26" s="88" t="s">
        <v>161</v>
      </c>
      <c r="R26" s="311" t="s">
        <v>161</v>
      </c>
      <c r="S26" s="70"/>
      <c r="T26" s="94"/>
      <c r="U26" s="88" t="s">
        <v>157</v>
      </c>
      <c r="V26" s="88" t="s">
        <v>157</v>
      </c>
      <c r="W26" s="88" t="s">
        <v>157</v>
      </c>
      <c r="X26" s="88" t="s">
        <v>157</v>
      </c>
      <c r="Y26" s="88" t="s">
        <v>157</v>
      </c>
      <c r="Z26" s="70"/>
      <c r="AA26" s="94"/>
      <c r="AB26" s="88" t="s">
        <v>161</v>
      </c>
      <c r="AC26" s="88" t="s">
        <v>161</v>
      </c>
      <c r="AD26" s="88" t="s">
        <v>161</v>
      </c>
      <c r="AE26" s="88" t="s">
        <v>161</v>
      </c>
      <c r="AF26" s="88" t="s">
        <v>106</v>
      </c>
      <c r="AG26" s="70"/>
      <c r="AH26" s="94"/>
      <c r="AI26" s="88" t="s">
        <v>161</v>
      </c>
      <c r="AJ26" s="131" t="s">
        <v>106</v>
      </c>
      <c r="AK26" s="88" t="s">
        <v>161</v>
      </c>
      <c r="AL26" s="88" t="s">
        <v>161</v>
      </c>
      <c r="AM26" s="87"/>
      <c r="AN26" s="62" t="s">
        <v>263</v>
      </c>
      <c r="AO26" s="124"/>
    </row>
    <row r="27" spans="1:41" ht="18.75" customHeight="1">
      <c r="A27" s="430"/>
      <c r="B27" s="118" t="s">
        <v>164</v>
      </c>
      <c r="C27" s="119" t="s">
        <v>158</v>
      </c>
      <c r="D27" s="119" t="s">
        <v>165</v>
      </c>
      <c r="E27" s="125" t="s">
        <v>105</v>
      </c>
      <c r="F27" s="259">
        <v>1</v>
      </c>
      <c r="G27" s="266" t="s">
        <v>25</v>
      </c>
      <c r="H27" s="88" t="s">
        <v>264</v>
      </c>
      <c r="I27" s="88" t="s">
        <v>81</v>
      </c>
      <c r="J27" s="88" t="s">
        <v>225</v>
      </c>
      <c r="K27" s="88" t="s">
        <v>225</v>
      </c>
      <c r="L27" s="62" t="s">
        <v>263</v>
      </c>
      <c r="M27" s="87"/>
      <c r="N27" s="87"/>
      <c r="O27" s="274" t="s">
        <v>25</v>
      </c>
      <c r="P27" s="274" t="s">
        <v>25</v>
      </c>
      <c r="Q27" s="274" t="s">
        <v>25</v>
      </c>
      <c r="R27" s="88" t="s">
        <v>265</v>
      </c>
      <c r="S27" s="70"/>
      <c r="T27" s="87"/>
      <c r="U27" s="88" t="s">
        <v>161</v>
      </c>
      <c r="V27" s="88" t="s">
        <v>161</v>
      </c>
      <c r="W27" s="88" t="s">
        <v>161</v>
      </c>
      <c r="X27" s="88" t="s">
        <v>161</v>
      </c>
      <c r="Y27" s="88" t="s">
        <v>161</v>
      </c>
      <c r="Z27" s="70"/>
      <c r="AA27" s="87"/>
      <c r="AB27" s="136" t="s">
        <v>266</v>
      </c>
      <c r="AC27" s="136" t="s">
        <v>266</v>
      </c>
      <c r="AD27" s="136" t="s">
        <v>266</v>
      </c>
      <c r="AE27" s="136" t="s">
        <v>266</v>
      </c>
      <c r="AF27" s="88" t="s">
        <v>161</v>
      </c>
      <c r="AG27" s="70"/>
      <c r="AH27" s="87"/>
      <c r="AI27" s="303" t="s">
        <v>25</v>
      </c>
      <c r="AJ27" s="303" t="s">
        <v>25</v>
      </c>
      <c r="AK27" s="303" t="s">
        <v>25</v>
      </c>
      <c r="AL27" s="303" t="s">
        <v>25</v>
      </c>
      <c r="AM27" s="70"/>
      <c r="AN27" s="70"/>
      <c r="AO27" s="90"/>
    </row>
    <row r="28" spans="1:41" ht="18.75" customHeight="1">
      <c r="A28" s="430"/>
      <c r="B28" s="127" t="s">
        <v>170</v>
      </c>
      <c r="C28" s="128" t="s">
        <v>158</v>
      </c>
      <c r="D28" s="128" t="s">
        <v>171</v>
      </c>
      <c r="E28" s="129" t="s">
        <v>172</v>
      </c>
      <c r="F28" s="265">
        <v>1</v>
      </c>
      <c r="G28" s="266" t="s">
        <v>267</v>
      </c>
      <c r="H28" s="88" t="s">
        <v>261</v>
      </c>
      <c r="I28" s="88" t="s">
        <v>268</v>
      </c>
      <c r="J28" s="88" t="s">
        <v>261</v>
      </c>
      <c r="K28" s="312" t="s">
        <v>269</v>
      </c>
      <c r="L28" s="87"/>
      <c r="M28" s="87"/>
      <c r="N28" s="87"/>
      <c r="O28" s="88" t="s">
        <v>270</v>
      </c>
      <c r="P28" s="88" t="s">
        <v>157</v>
      </c>
      <c r="Q28" s="88" t="s">
        <v>157</v>
      </c>
      <c r="R28" s="88" t="s">
        <v>157</v>
      </c>
      <c r="S28" s="87"/>
      <c r="T28" s="87"/>
      <c r="U28" s="88" t="s">
        <v>227</v>
      </c>
      <c r="V28" s="88" t="s">
        <v>149</v>
      </c>
      <c r="W28" s="88" t="s">
        <v>149</v>
      </c>
      <c r="X28" s="88" t="s">
        <v>149</v>
      </c>
      <c r="Y28" s="88" t="s">
        <v>149</v>
      </c>
      <c r="Z28" s="87"/>
      <c r="AA28" s="313" t="s">
        <v>253</v>
      </c>
      <c r="AB28" s="88" t="s">
        <v>149</v>
      </c>
      <c r="AC28" s="88" t="s">
        <v>149</v>
      </c>
      <c r="AD28" s="88" t="s">
        <v>149</v>
      </c>
      <c r="AE28" s="88" t="s">
        <v>149</v>
      </c>
      <c r="AF28" s="88" t="s">
        <v>149</v>
      </c>
      <c r="AG28" s="87"/>
      <c r="AH28" s="87"/>
      <c r="AI28" s="88" t="s">
        <v>149</v>
      </c>
      <c r="AJ28" s="88" t="s">
        <v>161</v>
      </c>
      <c r="AK28" s="88" t="s">
        <v>271</v>
      </c>
      <c r="AL28" s="88" t="s">
        <v>87</v>
      </c>
      <c r="AM28" s="87"/>
      <c r="AN28" s="87"/>
      <c r="AO28" s="90"/>
    </row>
    <row r="29" spans="1:41" ht="18.75" customHeight="1">
      <c r="A29" s="431" t="s">
        <v>174</v>
      </c>
      <c r="B29" s="431"/>
      <c r="C29" s="431"/>
      <c r="D29" s="431"/>
      <c r="E29" s="431"/>
      <c r="F29" s="255" t="s">
        <v>244</v>
      </c>
      <c r="G29" s="268" t="s">
        <v>245</v>
      </c>
      <c r="H29" s="134" t="s">
        <v>272</v>
      </c>
      <c r="I29" s="134" t="s">
        <v>272</v>
      </c>
      <c r="J29" s="134" t="s">
        <v>272</v>
      </c>
      <c r="K29" s="134" t="s">
        <v>272</v>
      </c>
      <c r="L29" s="116"/>
      <c r="M29" s="116"/>
      <c r="N29" s="314"/>
      <c r="O29" s="134" t="s">
        <v>272</v>
      </c>
      <c r="P29" s="134" t="s">
        <v>272</v>
      </c>
      <c r="Q29" s="134" t="s">
        <v>272</v>
      </c>
      <c r="R29" s="134" t="s">
        <v>272</v>
      </c>
      <c r="S29" s="116"/>
      <c r="T29" s="116"/>
      <c r="U29" s="134" t="s">
        <v>272</v>
      </c>
      <c r="V29" s="134" t="s">
        <v>272</v>
      </c>
      <c r="W29" s="134" t="s">
        <v>272</v>
      </c>
      <c r="X29" s="134" t="s">
        <v>272</v>
      </c>
      <c r="Y29" s="134" t="s">
        <v>272</v>
      </c>
      <c r="Z29" s="432" t="s">
        <v>273</v>
      </c>
      <c r="AA29" s="432"/>
      <c r="AB29" s="114"/>
      <c r="AC29" s="114">
        <v>8022</v>
      </c>
      <c r="AD29" s="114">
        <v>8022</v>
      </c>
      <c r="AE29" s="114"/>
      <c r="AF29" s="114"/>
      <c r="AG29" s="116"/>
      <c r="AH29" s="116"/>
      <c r="AI29" s="114"/>
      <c r="AJ29" s="114"/>
      <c r="AK29" s="114"/>
      <c r="AL29" s="114"/>
      <c r="AM29" s="116"/>
      <c r="AN29" s="116"/>
      <c r="AO29" s="117"/>
    </row>
    <row r="30" spans="1:41" ht="18.75" customHeight="1">
      <c r="A30" s="431"/>
      <c r="B30" s="431"/>
      <c r="C30" s="431"/>
      <c r="D30" s="431"/>
      <c r="E30" s="431"/>
      <c r="F30" s="259">
        <v>1</v>
      </c>
      <c r="G30" s="260"/>
      <c r="H30" s="136"/>
      <c r="I30" s="136"/>
      <c r="J30" s="136"/>
      <c r="K30" s="136"/>
      <c r="L30" s="137"/>
      <c r="M30" s="137"/>
      <c r="N30" s="137"/>
      <c r="O30" s="136"/>
      <c r="P30" s="136"/>
      <c r="Q30" s="136"/>
      <c r="R30" s="136"/>
      <c r="S30" s="137"/>
      <c r="T30" s="137"/>
      <c r="U30" s="210"/>
      <c r="V30" s="210"/>
      <c r="W30" s="210"/>
      <c r="X30" s="210"/>
      <c r="Y30" s="210"/>
      <c r="Z30" s="137"/>
      <c r="AA30" s="137"/>
      <c r="AB30" s="136"/>
      <c r="AC30" s="136"/>
      <c r="AD30" s="210"/>
      <c r="AE30" s="210"/>
      <c r="AF30" s="210"/>
      <c r="AG30" s="137"/>
      <c r="AH30" s="137"/>
      <c r="AI30" s="58"/>
      <c r="AJ30" s="58"/>
      <c r="AK30" s="58"/>
      <c r="AL30" s="58"/>
      <c r="AM30" s="70"/>
      <c r="AN30" s="70"/>
      <c r="AO30" s="72"/>
    </row>
    <row r="31" spans="1:41" ht="18.75" customHeight="1">
      <c r="A31" s="431"/>
      <c r="B31" s="431"/>
      <c r="C31" s="431"/>
      <c r="D31" s="431"/>
      <c r="E31" s="431"/>
      <c r="F31" s="315">
        <v>1</v>
      </c>
      <c r="G31" s="266"/>
      <c r="H31" s="88"/>
      <c r="I31" s="88"/>
      <c r="J31" s="88"/>
      <c r="K31" s="88"/>
      <c r="L31" s="87"/>
      <c r="M31" s="87"/>
      <c r="N31" s="87"/>
      <c r="O31" s="88"/>
      <c r="P31" s="88"/>
      <c r="Q31" s="88"/>
      <c r="R31" s="88"/>
      <c r="S31" s="87"/>
      <c r="T31" s="87"/>
      <c r="U31" s="88"/>
      <c r="V31" s="88"/>
      <c r="W31" s="88"/>
      <c r="X31" s="88"/>
      <c r="Y31" s="88"/>
      <c r="Z31" s="87"/>
      <c r="AA31" s="87"/>
      <c r="AB31" s="88"/>
      <c r="AC31" s="88"/>
      <c r="AD31" s="88"/>
      <c r="AE31" s="88"/>
      <c r="AF31" s="88"/>
      <c r="AG31" s="87"/>
      <c r="AH31" s="87"/>
      <c r="AI31" s="92"/>
      <c r="AJ31" s="92"/>
      <c r="AK31" s="92"/>
      <c r="AL31" s="92"/>
      <c r="AM31" s="87"/>
      <c r="AN31" s="87"/>
      <c r="AO31" s="90"/>
    </row>
    <row r="32" spans="1:41" ht="24" customHeight="1">
      <c r="F32" s="143"/>
      <c r="G32" s="316">
        <f>COUNTA(G29:G31)</f>
        <v>1</v>
      </c>
      <c r="H32" s="316">
        <f>COUNTA(H29:H31)</f>
        <v>1</v>
      </c>
      <c r="I32" s="316">
        <f>COUNTA(I29:I31)</f>
        <v>1</v>
      </c>
      <c r="J32" s="316">
        <f>COUNTA(J29:J31)</f>
        <v>1</v>
      </c>
      <c r="K32" s="316">
        <f>COUNTA(K29:K31)</f>
        <v>1</v>
      </c>
      <c r="L32" s="317"/>
      <c r="M32" s="317"/>
      <c r="N32" s="317"/>
      <c r="O32" s="316">
        <f>COUNTA(O29:O31)</f>
        <v>1</v>
      </c>
      <c r="P32" s="316">
        <f>COUNTA(P29:P31)</f>
        <v>1</v>
      </c>
      <c r="Q32" s="316">
        <f>COUNTA(Q29:Q31)</f>
        <v>1</v>
      </c>
      <c r="R32" s="316">
        <f>COUNTA(R29:R31)</f>
        <v>1</v>
      </c>
      <c r="S32" s="318"/>
      <c r="T32" s="318"/>
      <c r="U32" s="316">
        <f>COUNTA(U29:U31)</f>
        <v>1</v>
      </c>
      <c r="V32" s="316">
        <f>COUNTA(V29:V31)</f>
        <v>1</v>
      </c>
      <c r="W32" s="316">
        <f>COUNTA(W29:W31)</f>
        <v>1</v>
      </c>
      <c r="X32" s="316">
        <f>COUNTA(X29:X31)</f>
        <v>1</v>
      </c>
      <c r="Y32" s="316">
        <f>COUNTA(Y29:Y31)</f>
        <v>1</v>
      </c>
      <c r="Z32" s="318"/>
      <c r="AA32" s="318"/>
      <c r="AB32" s="316">
        <f>COUNTA(AB29:AB31)</f>
        <v>0</v>
      </c>
      <c r="AC32" s="316">
        <f>COUNTA(AC29:AC31)</f>
        <v>1</v>
      </c>
      <c r="AD32" s="316">
        <f>COUNTA(AD29:AD31)</f>
        <v>1</v>
      </c>
      <c r="AE32" s="316">
        <f>COUNTA(AE29:AE31)</f>
        <v>0</v>
      </c>
      <c r="AF32" s="316">
        <f>COUNTA(AF29:AF31)</f>
        <v>0</v>
      </c>
      <c r="AG32" s="318"/>
      <c r="AH32" s="318"/>
      <c r="AI32" s="316">
        <f>COUNTA(AI29:AI31)</f>
        <v>0</v>
      </c>
      <c r="AJ32" s="316">
        <f>COUNTA(AJ29:AJ31)</f>
        <v>0</v>
      </c>
      <c r="AK32" s="316">
        <f>COUNTA(AK29:AK31)</f>
        <v>0</v>
      </c>
      <c r="AL32" s="316">
        <f>COUNTA(AL29:AL31)</f>
        <v>0</v>
      </c>
      <c r="AM32" s="316">
        <f>COUNTA(AM29:AM31)</f>
        <v>0</v>
      </c>
      <c r="AN32" s="318"/>
      <c r="AO32" s="319"/>
    </row>
    <row r="33" spans="4:41" ht="24" customHeight="1">
      <c r="D33" s="86" t="s">
        <v>176</v>
      </c>
      <c r="E33" s="86">
        <f t="shared" ref="E33:E38" si="0">SUM(L33,S33,Z33,AG33,AN33)</f>
        <v>10</v>
      </c>
      <c r="F33" s="86" t="s">
        <v>23</v>
      </c>
      <c r="G33" s="148">
        <f>COUNTIF(G8:G31,"TP")</f>
        <v>0</v>
      </c>
      <c r="H33" s="148">
        <f>COUNTIF(H8:H31,"TP")</f>
        <v>0</v>
      </c>
      <c r="I33" s="148">
        <f>COUNTIF(I8:I31,"TP")</f>
        <v>0</v>
      </c>
      <c r="J33" s="148">
        <f>COUNTIF(J8:J31,"TP")</f>
        <v>0</v>
      </c>
      <c r="K33" s="148">
        <f>COUNTIF(K8:K31,"TP")</f>
        <v>0</v>
      </c>
      <c r="L33" s="149">
        <f t="shared" ref="L33:L38" si="1">SUM(G33:K33)</f>
        <v>0</v>
      </c>
      <c r="M33" s="149"/>
      <c r="N33" s="149"/>
      <c r="O33" s="148">
        <f>COUNTIF(O8:O31,"TP")</f>
        <v>0</v>
      </c>
      <c r="P33" s="148">
        <f>COUNTIF(P8:P31,"TP")</f>
        <v>0</v>
      </c>
      <c r="Q33" s="148">
        <f>COUNTIF(Q8:Q31,"TP")</f>
        <v>0</v>
      </c>
      <c r="R33" s="148">
        <f>COUNTIF(R8:R31,"TP")</f>
        <v>0</v>
      </c>
      <c r="S33" s="150">
        <f t="shared" ref="S33:S38" si="2">SUM(N33:R33)</f>
        <v>0</v>
      </c>
      <c r="T33" s="150"/>
      <c r="U33" s="148">
        <f>COUNTIF(U8:U31,"TP")</f>
        <v>1</v>
      </c>
      <c r="V33" s="148">
        <f>COUNTIF(V8:V31,"TP")</f>
        <v>1</v>
      </c>
      <c r="W33" s="148">
        <f>COUNTIF(W8:W31,"TP")</f>
        <v>1</v>
      </c>
      <c r="X33" s="148">
        <f>COUNTIF(X8:X31,"TP")</f>
        <v>1</v>
      </c>
      <c r="Y33" s="148">
        <f>COUNTIF(Y8:Y31,"TP")</f>
        <v>1</v>
      </c>
      <c r="Z33" s="150">
        <f t="shared" ref="Z33:Z38" si="3">SUM(U33:Y33)</f>
        <v>5</v>
      </c>
      <c r="AA33" s="150"/>
      <c r="AB33" s="148">
        <f>COUNTIF(AB8:AB31,"TP")</f>
        <v>1</v>
      </c>
      <c r="AC33" s="148">
        <f>COUNTIF(AC8:AC31,"TP")</f>
        <v>1</v>
      </c>
      <c r="AD33" s="148">
        <f>COUNTIF(AD8:AD31,"TP")</f>
        <v>1</v>
      </c>
      <c r="AE33" s="148">
        <f>COUNTIF(AE8:AE31,"TP")</f>
        <v>1</v>
      </c>
      <c r="AF33" s="148">
        <f>COUNTIF(AF8:AF31,"TP")</f>
        <v>1</v>
      </c>
      <c r="AG33" s="150">
        <f t="shared" ref="AG33:AG38" si="4">SUM(AB33:AF33)</f>
        <v>5</v>
      </c>
      <c r="AH33" s="150"/>
      <c r="AI33" s="148">
        <f>COUNTIF(AI8:AI31,"TP")</f>
        <v>0</v>
      </c>
      <c r="AJ33" s="148">
        <f>COUNTIF(AJ8:AJ31,"TP")</f>
        <v>0</v>
      </c>
      <c r="AK33" s="148">
        <f>COUNTIF(AK8:AK31,"TP")</f>
        <v>0</v>
      </c>
      <c r="AL33" s="148">
        <f>COUNTIF(AL8:AL31,"TP")</f>
        <v>0</v>
      </c>
      <c r="AM33" s="148">
        <f>COUNTIF(AM8:AM31,"TP")</f>
        <v>0</v>
      </c>
      <c r="AN33" s="150">
        <f t="shared" ref="AN33:AN38" si="5">SUM(AI33:AM33)</f>
        <v>0</v>
      </c>
      <c r="AO33" s="151"/>
    </row>
    <row r="34" spans="4:41" ht="24" customHeight="1">
      <c r="D34" s="152" t="s">
        <v>176</v>
      </c>
      <c r="E34" s="152">
        <f t="shared" si="0"/>
        <v>8</v>
      </c>
      <c r="F34" s="152" t="s">
        <v>24</v>
      </c>
      <c r="G34" s="148">
        <f>COUNTIF(G8:G31,"CSE") + COUNTIF(G8:G31,"RPX")</f>
        <v>0</v>
      </c>
      <c r="H34" s="148">
        <f>COUNTIF(H8:H31,"CSE") + COUNTIF(H8:H31,"RPX")</f>
        <v>0</v>
      </c>
      <c r="I34" s="148">
        <f>COUNTIF(I8:I31,"CSE") + COUNTIF(I8:I31,"RPX")</f>
        <v>0</v>
      </c>
      <c r="J34" s="148">
        <f>COUNTIF(J8:J31,"CSE") + COUNTIF(J8:J31,"RPX")</f>
        <v>0</v>
      </c>
      <c r="K34" s="148">
        <f>COUNTIF(K8:K31,"CSE") + COUNTIF(K8:K31,"RPX")</f>
        <v>0</v>
      </c>
      <c r="L34" s="149">
        <f t="shared" si="1"/>
        <v>0</v>
      </c>
      <c r="M34" s="149"/>
      <c r="N34" s="149"/>
      <c r="O34" s="148">
        <f>COUNTIF(N8:N31,"CSE") + COUNTIF(N8:N31,"RPX")</f>
        <v>0</v>
      </c>
      <c r="P34" s="148">
        <f>COUNTIF(O8:O31,"CSE") + COUNTIF(O8:O31,"RPX")</f>
        <v>0</v>
      </c>
      <c r="Q34" s="148">
        <f>COUNTIF(P8:P31,"CSE") + COUNTIF(P8:P31,"RPX")</f>
        <v>0</v>
      </c>
      <c r="R34" s="148">
        <f>COUNTIF(Q8:Q31,"CSE") + COUNTIF(Q8:Q31,"RPX")</f>
        <v>0</v>
      </c>
      <c r="S34" s="150">
        <f t="shared" si="2"/>
        <v>0</v>
      </c>
      <c r="T34" s="150"/>
      <c r="U34" s="148">
        <f>COUNTIF(U9:U31,"CSE") + COUNTIF(U9:U31,"RPX")</f>
        <v>1</v>
      </c>
      <c r="V34" s="148">
        <f>COUNTIF(V9:V31,"CSE") + COUNTIF(V9:V31,"RPX")</f>
        <v>1</v>
      </c>
      <c r="W34" s="148">
        <f>COUNTIF(W9:W31,"CSE") + COUNTIF(W9:W31,"RPX")</f>
        <v>1</v>
      </c>
      <c r="X34" s="148">
        <f>COUNTIF(X9:X31,"CSE") + COUNTIF(X9:X31,"RPX")</f>
        <v>1</v>
      </c>
      <c r="Y34" s="148">
        <f>COUNTIF(Y9:Y31,"CSE") + COUNTIF(Y9:Y31,"RPX")</f>
        <v>1</v>
      </c>
      <c r="Z34" s="150">
        <f t="shared" si="3"/>
        <v>5</v>
      </c>
      <c r="AA34" s="150"/>
      <c r="AB34" s="148">
        <f>COUNTIF(AB8:AB31,"CSE") + COUNTIF(AB8:AB31,"RPX")</f>
        <v>0</v>
      </c>
      <c r="AC34" s="148">
        <f>COUNTIF(AC8:AC31,"CSE") + COUNTIF(AC8:AC31,"RPX")</f>
        <v>0</v>
      </c>
      <c r="AD34" s="148">
        <f>COUNTIF(AD8:AD31,"CSE") + COUNTIF(AD8:AD31,"RPX")</f>
        <v>0</v>
      </c>
      <c r="AE34" s="148">
        <f>COUNTIF(AE8:AE31,"CSE") + COUNTIF(AE8:AE31,"RPX")</f>
        <v>0</v>
      </c>
      <c r="AF34" s="148">
        <f>COUNTIF(AF8:AF31,"CSE") + COUNTIF(AF8:AF31,"RPX")</f>
        <v>1</v>
      </c>
      <c r="AG34" s="150">
        <f t="shared" si="4"/>
        <v>1</v>
      </c>
      <c r="AH34" s="150"/>
      <c r="AI34" s="148">
        <f>COUNTIF(AI8:AI31,"CSE") + COUNTIF(AI8:AI31,"RPX")</f>
        <v>1</v>
      </c>
      <c r="AJ34" s="148">
        <f>COUNTIF(AJ8:AJ31,"CSE") + COUNTIF(AJ8:AJ31,"RPX")</f>
        <v>1</v>
      </c>
      <c r="AK34" s="148">
        <f>COUNTIF(AK8:AK31,"CSE") + COUNTIF(AK8:AK31,"RPX")</f>
        <v>0</v>
      </c>
      <c r="AL34" s="148">
        <f>COUNTIF(AL8:AL31,"CSE") + COUNTIF(AL8:AL31,"RPX")</f>
        <v>0</v>
      </c>
      <c r="AM34" s="148">
        <f>COUNTIF(AM8:AM31,"CSE") + COUNTIF(AM8:AM31,"RPX")</f>
        <v>0</v>
      </c>
      <c r="AN34" s="150">
        <f t="shared" si="5"/>
        <v>2</v>
      </c>
      <c r="AO34" s="151"/>
    </row>
    <row r="35" spans="4:41" ht="24" customHeight="1">
      <c r="D35" s="153" t="s">
        <v>176</v>
      </c>
      <c r="E35" s="153">
        <f t="shared" si="0"/>
        <v>66</v>
      </c>
      <c r="F35" s="153" t="s">
        <v>25</v>
      </c>
      <c r="G35" s="148">
        <f>COUNTIF(G8:G31,"CA/RC")</f>
        <v>4</v>
      </c>
      <c r="H35" s="148">
        <f>COUNTIF(H8:H31,"CA/RC")</f>
        <v>4</v>
      </c>
      <c r="I35" s="148">
        <f>COUNTIF(I8:I31,"CA/RC")</f>
        <v>4</v>
      </c>
      <c r="J35" s="148">
        <f>COUNTIF(J8:J31,"CA/RC")</f>
        <v>4</v>
      </c>
      <c r="K35" s="148">
        <f>COUNTIF(K8:K31,"CA/RC")</f>
        <v>3</v>
      </c>
      <c r="L35" s="149">
        <f t="shared" si="1"/>
        <v>19</v>
      </c>
      <c r="M35" s="149"/>
      <c r="N35" s="149"/>
      <c r="O35" s="148">
        <f>COUNTIF(O8:O31,"CA/RC")</f>
        <v>5</v>
      </c>
      <c r="P35" s="148">
        <f>COUNTIF(P8:P31,"CA/RC")</f>
        <v>5</v>
      </c>
      <c r="Q35" s="148">
        <f>COUNTIF(Q8:Q31,"CA/RC")</f>
        <v>5</v>
      </c>
      <c r="R35" s="148">
        <f>COUNTIF(R8:R31,"CA/RC")</f>
        <v>4</v>
      </c>
      <c r="S35" s="150">
        <f t="shared" si="2"/>
        <v>19</v>
      </c>
      <c r="T35" s="150"/>
      <c r="U35" s="148">
        <f>COUNTIF(U8:U31,"CA/RC")</f>
        <v>3</v>
      </c>
      <c r="V35" s="148">
        <f>COUNTIF(V8:V31,"CA/RC")</f>
        <v>2</v>
      </c>
      <c r="W35" s="148">
        <f>COUNTIF(W8:W31,"CA/RC")</f>
        <v>2</v>
      </c>
      <c r="X35" s="148">
        <f>COUNTIF(X8:X31,"CA/RC")</f>
        <v>2</v>
      </c>
      <c r="Y35" s="148">
        <f>COUNTIF(Y8:Y31,"CA/RC")</f>
        <v>2</v>
      </c>
      <c r="Z35" s="150">
        <f t="shared" si="3"/>
        <v>11</v>
      </c>
      <c r="AA35" s="150"/>
      <c r="AB35" s="148">
        <f>COUNTIF(AB8:AB31,"CA/RC")</f>
        <v>2</v>
      </c>
      <c r="AC35" s="148">
        <f>COUNTIF(AC8:AC31,"CA/RC")</f>
        <v>2</v>
      </c>
      <c r="AD35" s="148">
        <f>COUNTIF(AD8:AD31,"CA/RC")</f>
        <v>2</v>
      </c>
      <c r="AE35" s="148">
        <f>COUNTIF(AE8:AE31,"CA/RC")</f>
        <v>1</v>
      </c>
      <c r="AF35" s="148">
        <f>COUNTIF(AF8:AF31,"CA/RC")</f>
        <v>1</v>
      </c>
      <c r="AG35" s="150">
        <f t="shared" si="4"/>
        <v>8</v>
      </c>
      <c r="AH35" s="150"/>
      <c r="AI35" s="148">
        <f>COUNTIF(AI8:AI31,"CA/RC")</f>
        <v>2</v>
      </c>
      <c r="AJ35" s="148">
        <f>COUNTIF(AJ8:AJ31,"CA/RC")</f>
        <v>2</v>
      </c>
      <c r="AK35" s="148">
        <f>COUNTIF(AK8:AK31,"CA/RC")</f>
        <v>2</v>
      </c>
      <c r="AL35" s="148">
        <f>COUNTIF(AL8:AL31,"CA/RC")</f>
        <v>3</v>
      </c>
      <c r="AM35" s="148">
        <f>COUNTIF(AM8:AM31,"CA/RC")</f>
        <v>0</v>
      </c>
      <c r="AN35" s="150">
        <f t="shared" si="5"/>
        <v>9</v>
      </c>
      <c r="AO35" s="151"/>
    </row>
    <row r="36" spans="4:41" ht="24" customHeight="1">
      <c r="D36" s="154" t="s">
        <v>176</v>
      </c>
      <c r="E36" s="154">
        <f t="shared" si="0"/>
        <v>26</v>
      </c>
      <c r="F36" s="154" t="s">
        <v>26</v>
      </c>
      <c r="G36" s="148">
        <f>COUNTIF(G8:G31,"ATM/ATA")</f>
        <v>1</v>
      </c>
      <c r="H36" s="148">
        <f>COUNTIF(H8:H31,"ATM/ATA")</f>
        <v>1</v>
      </c>
      <c r="I36" s="148">
        <f>COUNTIF(I8:I31,"ATM/ATA")</f>
        <v>1</v>
      </c>
      <c r="J36" s="148">
        <f>COUNTIF(J8:J31,"ATM/ATA")</f>
        <v>1</v>
      </c>
      <c r="K36" s="148">
        <f>COUNTIF(K8:K31,"ATM/ATA")</f>
        <v>1</v>
      </c>
      <c r="L36" s="149">
        <f t="shared" si="1"/>
        <v>5</v>
      </c>
      <c r="M36" s="149"/>
      <c r="N36" s="149"/>
      <c r="O36" s="148">
        <f>COUNTIF(O8:O31,"ATM/ATA")</f>
        <v>1</v>
      </c>
      <c r="P36" s="148">
        <f>COUNTIF(P8:P31,"ATM/ATA")</f>
        <v>1</v>
      </c>
      <c r="Q36" s="148">
        <f>COUNTIF(Q8:Q31,"ATM/ATA")</f>
        <v>1</v>
      </c>
      <c r="R36" s="148">
        <f>COUNTIF(R8:R31,"ATM/ATA")</f>
        <v>1</v>
      </c>
      <c r="S36" s="150">
        <f t="shared" si="2"/>
        <v>4</v>
      </c>
      <c r="T36" s="150"/>
      <c r="U36" s="148">
        <f>COUNTIF(U8:U31,"ATM/ATA")</f>
        <v>1</v>
      </c>
      <c r="V36" s="148">
        <f>COUNTIF(V8:V31,"ATM/ATA")</f>
        <v>1</v>
      </c>
      <c r="W36" s="148">
        <f>COUNTIF(W8:W31,"ATM/ATA")</f>
        <v>2</v>
      </c>
      <c r="X36" s="148">
        <f>COUNTIF(X8:X31,"ATM/ATA")</f>
        <v>2</v>
      </c>
      <c r="Y36" s="148">
        <f>COUNTIF(Y8:Y31,"ATM/ATA")</f>
        <v>2</v>
      </c>
      <c r="Z36" s="150">
        <f t="shared" si="3"/>
        <v>8</v>
      </c>
      <c r="AA36" s="150"/>
      <c r="AB36" s="148">
        <f>COUNTIF(AB8:AB31,"ATM/ATA")</f>
        <v>1</v>
      </c>
      <c r="AC36" s="148">
        <f>COUNTIF(AC8:AC31,"ATM/ATA")</f>
        <v>1</v>
      </c>
      <c r="AD36" s="148">
        <f>COUNTIF(AD8:AD31,"ATM/ATA")</f>
        <v>1</v>
      </c>
      <c r="AE36" s="148">
        <f>COUNTIF(AE8:AE31,"ATM/ATA")</f>
        <v>1</v>
      </c>
      <c r="AF36" s="148">
        <f>COUNTIF(AF8:AF31,"ATM/ATA")</f>
        <v>1</v>
      </c>
      <c r="AG36" s="150">
        <f t="shared" si="4"/>
        <v>5</v>
      </c>
      <c r="AH36" s="150"/>
      <c r="AI36" s="148">
        <f>COUNTIF(AI8:AI31,"ATM/ATA")</f>
        <v>1</v>
      </c>
      <c r="AJ36" s="148">
        <f>COUNTIF(AJ8:AJ31,"ATM/ATA")</f>
        <v>1</v>
      </c>
      <c r="AK36" s="148">
        <f>COUNTIF(AK8:AK31,"ATM/ATA")</f>
        <v>1</v>
      </c>
      <c r="AL36" s="148">
        <f>COUNTIF(AL8:AL31,"ATM/ATA")</f>
        <v>1</v>
      </c>
      <c r="AM36" s="148">
        <f>COUNTIF(AM8:AM31,"ATM/ATA")</f>
        <v>0</v>
      </c>
      <c r="AN36" s="150">
        <f t="shared" si="5"/>
        <v>4</v>
      </c>
      <c r="AO36" s="151"/>
    </row>
    <row r="37" spans="4:41" ht="24" customHeight="1">
      <c r="D37" s="122" t="s">
        <v>176</v>
      </c>
      <c r="E37" s="122">
        <f t="shared" si="0"/>
        <v>0</v>
      </c>
      <c r="F37" s="122" t="s">
        <v>27</v>
      </c>
      <c r="G37" s="148">
        <f>COUNTIF(G8:G31,"ASA")</f>
        <v>0</v>
      </c>
      <c r="H37" s="148">
        <f>COUNTIF(H8:H31,"ASA")</f>
        <v>0</v>
      </c>
      <c r="I37" s="148">
        <f>COUNTIF(I8:I31,"ASA")</f>
        <v>0</v>
      </c>
      <c r="J37" s="148">
        <f>COUNTIF(J8:J31,"ASA")</f>
        <v>0</v>
      </c>
      <c r="K37" s="148">
        <f>COUNTIF(K8:K31,"ASA")</f>
        <v>0</v>
      </c>
      <c r="L37" s="149">
        <f t="shared" si="1"/>
        <v>0</v>
      </c>
      <c r="M37" s="149"/>
      <c r="N37" s="149"/>
      <c r="O37" s="148">
        <f>COUNTIF(O8:O31,"ASA")</f>
        <v>0</v>
      </c>
      <c r="P37" s="148">
        <f>COUNTIF(P8:P31,"ASA")</f>
        <v>0</v>
      </c>
      <c r="Q37" s="148">
        <f>COUNTIF(Q8:Q31,"ASA")</f>
        <v>0</v>
      </c>
      <c r="R37" s="148">
        <f>COUNTIF(R8:R31,"ASA")</f>
        <v>0</v>
      </c>
      <c r="S37" s="150">
        <f t="shared" si="2"/>
        <v>0</v>
      </c>
      <c r="T37" s="150"/>
      <c r="U37" s="148">
        <f>COUNTIF(U8:U31,"ASA")</f>
        <v>0</v>
      </c>
      <c r="V37" s="148">
        <f>COUNTIF(V8:V31,"ASA")</f>
        <v>0</v>
      </c>
      <c r="W37" s="148">
        <f>COUNTIF(W8:W31,"ASA")</f>
        <v>0</v>
      </c>
      <c r="X37" s="148">
        <f>COUNTIF(X8:X31,"ASA")</f>
        <v>0</v>
      </c>
      <c r="Y37" s="148">
        <f>COUNTIF(Y8:Y31,"ASA")</f>
        <v>0</v>
      </c>
      <c r="Z37" s="150">
        <f t="shared" si="3"/>
        <v>0</v>
      </c>
      <c r="AA37" s="150"/>
      <c r="AB37" s="148">
        <f>COUNTIF(AB8:AB31,"ASA")</f>
        <v>0</v>
      </c>
      <c r="AC37" s="148">
        <f>COUNTIF(AC8:AC31,"ASA")</f>
        <v>0</v>
      </c>
      <c r="AD37" s="148">
        <f>COUNTIF(AD8:AD31,"ASA")</f>
        <v>0</v>
      </c>
      <c r="AE37" s="148">
        <f>COUNTIF(AE8:AE31,"ASA")</f>
        <v>0</v>
      </c>
      <c r="AF37" s="148">
        <f>COUNTIF(AF8:AF31,"ASA")</f>
        <v>0</v>
      </c>
      <c r="AG37" s="150">
        <f t="shared" si="4"/>
        <v>0</v>
      </c>
      <c r="AH37" s="150"/>
      <c r="AI37" s="148">
        <f>COUNTIF(AI8:AI31,"ASA")</f>
        <v>0</v>
      </c>
      <c r="AJ37" s="148">
        <f>COUNTIF(AJ8:AJ31,"ASA")</f>
        <v>0</v>
      </c>
      <c r="AK37" s="148">
        <f>COUNTIF(AK8:AK31,"ASA")</f>
        <v>0</v>
      </c>
      <c r="AL37" s="148">
        <f>COUNTIF(AL8:AL31,"ASA")</f>
        <v>0</v>
      </c>
      <c r="AM37" s="148">
        <f>COUNTIF(AM8:AM31,"ASA")</f>
        <v>0</v>
      </c>
      <c r="AN37" s="150">
        <f t="shared" si="5"/>
        <v>0</v>
      </c>
      <c r="AO37" s="151"/>
    </row>
    <row r="38" spans="4:41" ht="24" customHeight="1">
      <c r="D38" s="155" t="s">
        <v>176</v>
      </c>
      <c r="E38" s="155">
        <f t="shared" si="0"/>
        <v>1</v>
      </c>
      <c r="F38" s="155" t="s">
        <v>28</v>
      </c>
      <c r="G38" s="148">
        <f>COUNTIF(G8:G31,"FORM")</f>
        <v>0</v>
      </c>
      <c r="H38" s="148">
        <f>COUNTIF(H8:H31,"FORM")</f>
        <v>0</v>
      </c>
      <c r="I38" s="148">
        <f>COUNTIF(I8:I31,"FORM")</f>
        <v>0</v>
      </c>
      <c r="J38" s="148">
        <f>COUNTIF(J8:J31,"FORM")</f>
        <v>0</v>
      </c>
      <c r="K38" s="148">
        <f>COUNTIF(K8:K31,"FORM")</f>
        <v>0</v>
      </c>
      <c r="L38" s="149">
        <f t="shared" si="1"/>
        <v>0</v>
      </c>
      <c r="M38" s="149"/>
      <c r="N38" s="149"/>
      <c r="O38" s="148">
        <f>COUNTIF(O8:O31,"FORM")</f>
        <v>0</v>
      </c>
      <c r="P38" s="148">
        <f>COUNTIF(P8:P31,"FORM")</f>
        <v>0</v>
      </c>
      <c r="Q38" s="148">
        <f>COUNTIF(Q8:Q31,"FORM")</f>
        <v>0</v>
      </c>
      <c r="R38" s="148">
        <f>COUNTIF(R8:R31,"FORM")</f>
        <v>0</v>
      </c>
      <c r="S38" s="150">
        <f t="shared" si="2"/>
        <v>0</v>
      </c>
      <c r="T38" s="150"/>
      <c r="U38" s="148">
        <f>COUNTIF(U8:U31,"FORM")</f>
        <v>0</v>
      </c>
      <c r="V38" s="148">
        <f>COUNTIF(V8:V31,"FORM")</f>
        <v>0</v>
      </c>
      <c r="W38" s="148">
        <f>COUNTIF(W8:W31,"FORM")</f>
        <v>0</v>
      </c>
      <c r="X38" s="148">
        <f>COUNTIF(X8:X31,"FORM")</f>
        <v>0</v>
      </c>
      <c r="Y38" s="148">
        <f>COUNTIF(Y8:Y31,"FORM")</f>
        <v>0</v>
      </c>
      <c r="Z38" s="150">
        <f t="shared" si="3"/>
        <v>0</v>
      </c>
      <c r="AA38" s="150"/>
      <c r="AB38" s="148">
        <f>COUNTIF(AB8:AB31,"FORM")</f>
        <v>0</v>
      </c>
      <c r="AC38" s="148">
        <f>COUNTIF(AC8:AC31,"FORM")</f>
        <v>0</v>
      </c>
      <c r="AD38" s="148">
        <f>COUNTIF(AD8:AD31,"FORM")</f>
        <v>1</v>
      </c>
      <c r="AE38" s="148">
        <f>COUNTIF(AE8:AE31,"FORM")</f>
        <v>0</v>
      </c>
      <c r="AF38" s="148">
        <f>COUNTIF(AF8:AF31,"FORM")</f>
        <v>0</v>
      </c>
      <c r="AG38" s="150">
        <f t="shared" si="4"/>
        <v>1</v>
      </c>
      <c r="AH38" s="150"/>
      <c r="AI38" s="148">
        <f>COUNTIF(AI8:AI31,"FORM")</f>
        <v>0</v>
      </c>
      <c r="AJ38" s="148">
        <f>COUNTIF(AJ8:AJ31,"FORM")</f>
        <v>0</v>
      </c>
      <c r="AK38" s="148">
        <f>COUNTIF(AK8:AK31,"FORM")</f>
        <v>0</v>
      </c>
      <c r="AL38" s="148">
        <f>COUNTIF(AL8:AL31,"FORM")</f>
        <v>0</v>
      </c>
      <c r="AM38" s="148">
        <f>COUNTIF(AM8:AM31,"FORM")</f>
        <v>0</v>
      </c>
      <c r="AN38" s="150">
        <f t="shared" si="5"/>
        <v>0</v>
      </c>
      <c r="AO38" s="151"/>
    </row>
    <row r="39" spans="4:41" ht="24" customHeight="1">
      <c r="D39" s="156" t="s">
        <v>177</v>
      </c>
      <c r="E39" s="156">
        <f>AVERAGE(G39:AM39)</f>
        <v>4.625</v>
      </c>
      <c r="F39" s="215" t="s">
        <v>178</v>
      </c>
      <c r="G39" s="158">
        <f>SUM(G33:G38)</f>
        <v>5</v>
      </c>
      <c r="H39" s="158">
        <f>SUM(H33:H38)</f>
        <v>5</v>
      </c>
      <c r="I39" s="158">
        <f>SUM(I33:I38)</f>
        <v>5</v>
      </c>
      <c r="J39" s="158">
        <f>SUM(J33:J38)</f>
        <v>5</v>
      </c>
      <c r="K39" s="158">
        <f>SUM(K33:K38)</f>
        <v>4</v>
      </c>
      <c r="L39" s="158"/>
      <c r="M39" s="158"/>
      <c r="N39" s="158"/>
      <c r="O39" s="158">
        <f>SUM(O33:O38)</f>
        <v>6</v>
      </c>
      <c r="P39" s="158">
        <f>SUM(P33:P38)</f>
        <v>6</v>
      </c>
      <c r="Q39" s="158">
        <f>SUM(Q33:Q38)</f>
        <v>6</v>
      </c>
      <c r="R39" s="158">
        <f>SUM(R33:R38)</f>
        <v>5</v>
      </c>
      <c r="S39" s="158"/>
      <c r="T39" s="158"/>
      <c r="U39" s="158">
        <f>SUM(U33:U38)</f>
        <v>6</v>
      </c>
      <c r="V39" s="158">
        <f>SUM(V33:V38)</f>
        <v>5</v>
      </c>
      <c r="W39" s="158">
        <f>SUM(W33:W38)</f>
        <v>6</v>
      </c>
      <c r="X39" s="158">
        <f>SUM(X33:X38)</f>
        <v>6</v>
      </c>
      <c r="Y39" s="158">
        <f>SUM(Y33:Y38)</f>
        <v>6</v>
      </c>
      <c r="Z39" s="158"/>
      <c r="AA39" s="158"/>
      <c r="AB39" s="158">
        <f>SUM(AB33:AB38)</f>
        <v>4</v>
      </c>
      <c r="AC39" s="158">
        <f>SUM(AC33:AC38)</f>
        <v>4</v>
      </c>
      <c r="AD39" s="158">
        <f>SUM(AD33:AD38)</f>
        <v>5</v>
      </c>
      <c r="AE39" s="158">
        <f>SUM(AE33:AE38)</f>
        <v>3</v>
      </c>
      <c r="AF39" s="158">
        <f>SUM(AF33:AF38)</f>
        <v>4</v>
      </c>
      <c r="AG39" s="158"/>
      <c r="AH39" s="158"/>
      <c r="AI39" s="158">
        <f>SUM(AI33:AI38)</f>
        <v>4</v>
      </c>
      <c r="AJ39" s="158">
        <f>SUM(AJ33:AJ38)</f>
        <v>4</v>
      </c>
      <c r="AK39" s="158">
        <f>SUM(AK33:AK38)</f>
        <v>3</v>
      </c>
      <c r="AL39" s="158">
        <f>SUM(AL33:AL38)</f>
        <v>4</v>
      </c>
      <c r="AM39" s="158">
        <f>SUM(AM33:AM38)</f>
        <v>0</v>
      </c>
      <c r="AN39" s="158"/>
      <c r="AO39" s="159"/>
    </row>
    <row r="40" spans="4:41" ht="24" customHeight="1">
      <c r="D40" s="156" t="s">
        <v>177</v>
      </c>
      <c r="E40" s="156">
        <f>AVERAGE(G40:AM40)</f>
        <v>16.041666666666668</v>
      </c>
      <c r="F40" s="215" t="s">
        <v>179</v>
      </c>
      <c r="G40" s="158">
        <f>(20+G32)-G39</f>
        <v>16</v>
      </c>
      <c r="H40" s="158">
        <f>(20+H32)-H39</f>
        <v>16</v>
      </c>
      <c r="I40" s="158">
        <f>(20+I32)-I39</f>
        <v>16</v>
      </c>
      <c r="J40" s="158">
        <f>(20+J32)-J39</f>
        <v>16</v>
      </c>
      <c r="K40" s="158">
        <f>(20+K32)-K39</f>
        <v>17</v>
      </c>
      <c r="L40" s="158"/>
      <c r="M40" s="158"/>
      <c r="N40" s="158"/>
      <c r="O40" s="158">
        <f>(20+O32)-O39</f>
        <v>15</v>
      </c>
      <c r="P40" s="158">
        <f>(20+P32)-P39</f>
        <v>15</v>
      </c>
      <c r="Q40" s="158">
        <f>(20+Q32)-Q39</f>
        <v>15</v>
      </c>
      <c r="R40" s="158">
        <f>(20+R32)-R39</f>
        <v>16</v>
      </c>
      <c r="S40" s="158"/>
      <c r="T40" s="158"/>
      <c r="U40" s="158">
        <f>(20+U32)-U39</f>
        <v>15</v>
      </c>
      <c r="V40" s="158">
        <f>(20+V32)-V39</f>
        <v>16</v>
      </c>
      <c r="W40" s="158">
        <f>(20+W32)-W39</f>
        <v>15</v>
      </c>
      <c r="X40" s="158">
        <f>(20+X32)-X39</f>
        <v>15</v>
      </c>
      <c r="Y40" s="158">
        <f>(20+Y32)-Y39</f>
        <v>15</v>
      </c>
      <c r="Z40" s="158"/>
      <c r="AA40" s="158"/>
      <c r="AB40" s="158">
        <f>(20+AB32)-AB39</f>
        <v>16</v>
      </c>
      <c r="AC40" s="158">
        <f>(20+AC32)-AC39</f>
        <v>17</v>
      </c>
      <c r="AD40" s="158">
        <f>(20+AD32)-AD39</f>
        <v>16</v>
      </c>
      <c r="AE40" s="158">
        <f>(20+AE32)-AE39</f>
        <v>17</v>
      </c>
      <c r="AF40" s="158">
        <f>(20+AF32)-AF39</f>
        <v>16</v>
      </c>
      <c r="AG40" s="158"/>
      <c r="AH40" s="158"/>
      <c r="AI40" s="158">
        <f>(20+AI32)-AI39</f>
        <v>16</v>
      </c>
      <c r="AJ40" s="158">
        <f>(20+AJ32)-AJ39</f>
        <v>16</v>
      </c>
      <c r="AK40" s="158">
        <f>(20+AK32)-AK39</f>
        <v>17</v>
      </c>
      <c r="AL40" s="158">
        <f>(20+AL32)-AL39</f>
        <v>16</v>
      </c>
      <c r="AM40" s="158">
        <f>(20+AM32)-AM39</f>
        <v>20</v>
      </c>
      <c r="AN40" s="158"/>
      <c r="AO40" s="159"/>
    </row>
    <row r="41" spans="4:41" ht="24" customHeight="1">
      <c r="D41" s="156" t="s">
        <v>177</v>
      </c>
      <c r="E41" s="156">
        <f>AVERAGE(G41:AM41)</f>
        <v>16</v>
      </c>
      <c r="F41" s="216" t="s">
        <v>180</v>
      </c>
      <c r="G41" s="161">
        <v>16</v>
      </c>
      <c r="H41" s="161">
        <v>16</v>
      </c>
      <c r="I41" s="161">
        <v>16</v>
      </c>
      <c r="J41" s="161">
        <v>16</v>
      </c>
      <c r="K41" s="161">
        <v>16</v>
      </c>
      <c r="L41" s="161"/>
      <c r="M41" s="161"/>
      <c r="N41" s="161"/>
      <c r="O41" s="161">
        <v>16</v>
      </c>
      <c r="P41" s="161">
        <v>16</v>
      </c>
      <c r="Q41" s="161">
        <v>16</v>
      </c>
      <c r="R41" s="161">
        <v>16</v>
      </c>
      <c r="S41" s="162"/>
      <c r="T41" s="162"/>
      <c r="U41" s="161">
        <v>16</v>
      </c>
      <c r="V41" s="161">
        <v>16</v>
      </c>
      <c r="W41" s="161">
        <v>16</v>
      </c>
      <c r="X41" s="161">
        <v>16</v>
      </c>
      <c r="Y41" s="161">
        <v>16</v>
      </c>
      <c r="Z41" s="162"/>
      <c r="AA41" s="162"/>
      <c r="AB41" s="161">
        <v>16</v>
      </c>
      <c r="AC41" s="161">
        <v>16</v>
      </c>
      <c r="AD41" s="161">
        <v>16</v>
      </c>
      <c r="AE41" s="161">
        <v>16</v>
      </c>
      <c r="AF41" s="161">
        <v>16</v>
      </c>
      <c r="AG41" s="162"/>
      <c r="AH41" s="162"/>
      <c r="AI41" s="161">
        <v>16</v>
      </c>
      <c r="AJ41" s="161">
        <v>16</v>
      </c>
      <c r="AK41" s="161">
        <v>16</v>
      </c>
      <c r="AL41" s="161">
        <v>16</v>
      </c>
      <c r="AM41" s="161">
        <v>16</v>
      </c>
      <c r="AN41" s="162"/>
      <c r="AO41" s="163"/>
    </row>
    <row r="42" spans="4:41" ht="24" customHeight="1">
      <c r="D42" s="156" t="s">
        <v>177</v>
      </c>
      <c r="E42" s="156">
        <f>AVERAGE(G42:AM42)</f>
        <v>4.1666666666666664E-2</v>
      </c>
      <c r="F42" s="217" t="s">
        <v>181</v>
      </c>
      <c r="G42" s="166">
        <f>G40-G41</f>
        <v>0</v>
      </c>
      <c r="H42" s="166">
        <f>H40-H41</f>
        <v>0</v>
      </c>
      <c r="I42" s="166">
        <f>I40-I41</f>
        <v>0</v>
      </c>
      <c r="J42" s="166">
        <f>J40-J41</f>
        <v>0</v>
      </c>
      <c r="K42" s="166">
        <f>K40-K41</f>
        <v>1</v>
      </c>
      <c r="L42" s="166"/>
      <c r="M42" s="166"/>
      <c r="N42" s="166"/>
      <c r="O42" s="166">
        <f>O40-O41</f>
        <v>-1</v>
      </c>
      <c r="P42" s="166">
        <f>P40-P41</f>
        <v>-1</v>
      </c>
      <c r="Q42" s="166">
        <f>Q40-Q41</f>
        <v>-1</v>
      </c>
      <c r="R42" s="166">
        <f>R40-R41</f>
        <v>0</v>
      </c>
      <c r="S42" s="166"/>
      <c r="T42" s="166"/>
      <c r="U42" s="166">
        <f>U40-U41</f>
        <v>-1</v>
      </c>
      <c r="V42" s="166">
        <f>V40-V41</f>
        <v>0</v>
      </c>
      <c r="W42" s="166">
        <f>W40-W41</f>
        <v>-1</v>
      </c>
      <c r="X42" s="166">
        <f>X40-X41</f>
        <v>-1</v>
      </c>
      <c r="Y42" s="166">
        <f>Y40-Y41</f>
        <v>-1</v>
      </c>
      <c r="Z42" s="166"/>
      <c r="AA42" s="166"/>
      <c r="AB42" s="166">
        <f>AB40-AB41</f>
        <v>0</v>
      </c>
      <c r="AC42" s="166">
        <f>AC40-AC41</f>
        <v>1</v>
      </c>
      <c r="AD42" s="166">
        <f>AD40-AD41</f>
        <v>0</v>
      </c>
      <c r="AE42" s="166">
        <f>AE40-AE41</f>
        <v>1</v>
      </c>
      <c r="AF42" s="166">
        <f>AF40-AF41</f>
        <v>0</v>
      </c>
      <c r="AG42" s="166"/>
      <c r="AH42" s="166"/>
      <c r="AI42" s="166">
        <f>AI40-AI41</f>
        <v>0</v>
      </c>
      <c r="AJ42" s="166">
        <f>AJ40-AJ41</f>
        <v>0</v>
      </c>
      <c r="AK42" s="166">
        <f>AK40-AK41</f>
        <v>1</v>
      </c>
      <c r="AL42" s="166">
        <f>AL40-AL41</f>
        <v>0</v>
      </c>
      <c r="AM42" s="166">
        <f>AM40-AM41</f>
        <v>4</v>
      </c>
      <c r="AN42" s="166"/>
      <c r="AO42" s="167"/>
    </row>
    <row r="43" spans="4:41" ht="18.75" customHeight="1">
      <c r="F43" s="13"/>
      <c r="G43" s="14"/>
      <c r="H43" s="14"/>
      <c r="I43" s="218">
        <v>8021</v>
      </c>
      <c r="J43" s="14"/>
      <c r="K43" s="14"/>
      <c r="L43" s="14"/>
      <c r="M43" s="14"/>
      <c r="N43" s="14"/>
      <c r="O43" s="218" t="s">
        <v>272</v>
      </c>
      <c r="P43" s="218" t="s">
        <v>272</v>
      </c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 spans="4:41" ht="18.75" customHeight="1">
      <c r="F44" s="13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 spans="4:41" ht="18.75" customHeight="1">
      <c r="F45" s="13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 spans="4:41" ht="18.75" customHeight="1">
      <c r="F46" s="13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</row>
    <row r="47" spans="4:41" ht="18.75" customHeight="1">
      <c r="F47" s="13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 spans="4:41" ht="18.75" customHeight="1">
      <c r="F48" s="13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 spans="6:37" ht="18.75" customHeight="1">
      <c r="F49" s="13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 spans="6:37" ht="18.75" customHeight="1">
      <c r="F50" s="13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 spans="6:37" ht="18.75" customHeight="1">
      <c r="F51" s="13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 spans="6:37" ht="18.75" customHeight="1">
      <c r="F52" s="13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 spans="6:37" ht="18.75" customHeight="1">
      <c r="F53" s="13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 spans="6:37" ht="18.75" customHeight="1">
      <c r="F54" s="13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 spans="6:37" ht="18.75" customHeight="1">
      <c r="F55" s="13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</row>
    <row r="56" spans="6:37" ht="18.75" customHeight="1">
      <c r="F56" s="13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 spans="6:37" ht="18.75" customHeight="1">
      <c r="F57" s="13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 spans="6:37" ht="18.75" customHeight="1">
      <c r="F58" s="13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</row>
    <row r="59" spans="6:37" ht="18.75" customHeight="1">
      <c r="F59" s="13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</row>
    <row r="60" spans="6:37" ht="18.75" customHeight="1">
      <c r="F60" s="13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 spans="6:37" ht="18.75" customHeight="1">
      <c r="F61" s="13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</row>
    <row r="62" spans="6:37" ht="18.75" customHeight="1">
      <c r="F62" s="13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 spans="6:37" ht="18.75" customHeight="1">
      <c r="F63" s="13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</row>
    <row r="64" spans="6:37" ht="18.75" customHeight="1">
      <c r="F64" s="13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</row>
    <row r="65" spans="6:37" ht="18.75" customHeight="1">
      <c r="F65" s="13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 spans="6:37" ht="18.75" customHeight="1">
      <c r="F66" s="13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</row>
    <row r="67" spans="6:37" ht="18.75" customHeight="1">
      <c r="F67" s="13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</row>
    <row r="68" spans="6:37" ht="18.75" customHeight="1">
      <c r="F68" s="13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</row>
    <row r="69" spans="6:37" ht="18.75" customHeight="1">
      <c r="F69" s="13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</row>
    <row r="70" spans="6:37" ht="18.75" customHeight="1">
      <c r="F70" s="13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</row>
    <row r="71" spans="6:37" ht="18.75" customHeight="1">
      <c r="F71" s="13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</row>
    <row r="72" spans="6:37" ht="18.75" customHeight="1">
      <c r="F72" s="13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 spans="6:37" ht="18.75" customHeight="1">
      <c r="F73" s="13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</row>
    <row r="74" spans="6:37" ht="18.75" customHeight="1">
      <c r="F74" s="13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</row>
    <row r="75" spans="6:37" ht="18.75" customHeight="1">
      <c r="F75" s="13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 spans="6:37" ht="18.75" customHeight="1">
      <c r="F76" s="13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</row>
    <row r="77" spans="6:37" ht="18.75" customHeight="1">
      <c r="F77" s="13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</row>
    <row r="78" spans="6:37" ht="18.75" customHeight="1">
      <c r="F78" s="13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 spans="6:37" ht="18.75" customHeight="1">
      <c r="F79" s="13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 spans="6:37" ht="18.75" customHeight="1">
      <c r="F80" s="13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</row>
    <row r="81" spans="6:37" ht="18.75" customHeight="1">
      <c r="F81" s="13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</row>
    <row r="82" spans="6:37" ht="18.75" customHeight="1">
      <c r="F82" s="13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</row>
    <row r="83" spans="6:37" ht="18.75" customHeight="1">
      <c r="F83" s="13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  <row r="84" spans="6:37" ht="18.75" customHeight="1">
      <c r="F84" s="13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</row>
    <row r="85" spans="6:37" ht="18.75" customHeight="1">
      <c r="F85" s="13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</row>
    <row r="86" spans="6:37" ht="18.75" customHeight="1">
      <c r="F86" s="13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</row>
    <row r="87" spans="6:37" ht="18.75" customHeight="1">
      <c r="F87" s="13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</row>
    <row r="88" spans="6:37" ht="18.75" customHeight="1">
      <c r="F88" s="13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</row>
    <row r="89" spans="6:37" ht="18.75" customHeight="1">
      <c r="F89" s="13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</row>
    <row r="90" spans="6:37" ht="18.75" customHeight="1">
      <c r="F90" s="13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</row>
    <row r="91" spans="6:37" ht="18.75" customHeight="1">
      <c r="F91" s="13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</row>
    <row r="92" spans="6:37" ht="18.75" customHeight="1">
      <c r="F92" s="13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</row>
    <row r="93" spans="6:37" ht="18.75" customHeight="1">
      <c r="F93" s="13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</row>
    <row r="94" spans="6:37" ht="18.75" customHeight="1">
      <c r="F94" s="13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</row>
    <row r="95" spans="6:37" ht="18.75" customHeight="1">
      <c r="F95" s="13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</row>
    <row r="96" spans="6:37" ht="18.75" customHeight="1">
      <c r="F96" s="13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</row>
    <row r="97" spans="6:37" ht="18.75" customHeight="1">
      <c r="F97" s="13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</row>
    <row r="98" spans="6:37" ht="18.75" customHeight="1">
      <c r="F98" s="13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</row>
    <row r="99" spans="6:37" ht="18.75" customHeight="1">
      <c r="F99" s="13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</row>
    <row r="100" spans="6:37" ht="18.75" customHeight="1">
      <c r="F100" s="13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</row>
    <row r="101" spans="6:37" ht="18.75" customHeight="1">
      <c r="F101" s="13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 spans="6:37" ht="18.75" customHeight="1">
      <c r="F102" s="13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</row>
    <row r="103" spans="6:37" ht="18.75" customHeight="1">
      <c r="F103" s="13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</row>
    <row r="104" spans="6:37" ht="18.75" customHeight="1">
      <c r="F104" s="13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</row>
    <row r="105" spans="6:37" ht="18.75" customHeight="1">
      <c r="F105" s="13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</row>
    <row r="106" spans="6:37" ht="18.75" customHeight="1">
      <c r="F106" s="13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</row>
    <row r="107" spans="6:37" ht="18.75" customHeight="1">
      <c r="F107" s="13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</row>
    <row r="108" spans="6:37" ht="18.75" customHeight="1">
      <c r="F108" s="13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</row>
    <row r="109" spans="6:37" ht="18.75" customHeight="1">
      <c r="F109" s="13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</row>
    <row r="110" spans="6:37" ht="18.75" customHeight="1">
      <c r="F110" s="13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</row>
    <row r="111" spans="6:37" ht="18.75" customHeight="1">
      <c r="F111" s="13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</row>
    <row r="112" spans="6:37" ht="18.75" customHeight="1">
      <c r="F112" s="13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</row>
    <row r="113" spans="6:37" ht="18.75" customHeight="1">
      <c r="F113" s="13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</row>
    <row r="114" spans="6:37" ht="18.75" customHeight="1">
      <c r="F114" s="13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</row>
    <row r="115" spans="6:37" ht="18.75" customHeight="1">
      <c r="F115" s="13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</row>
    <row r="116" spans="6:37" ht="18.75" customHeight="1">
      <c r="F116" s="13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</row>
    <row r="117" spans="6:37" ht="18.75" customHeight="1">
      <c r="F117" s="13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</row>
    <row r="118" spans="6:37" ht="18.75" customHeight="1">
      <c r="F118" s="13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</row>
    <row r="119" spans="6:37" ht="18.75" customHeight="1">
      <c r="F119" s="13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</row>
    <row r="120" spans="6:37" ht="18.75" customHeight="1">
      <c r="F120" s="13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 spans="6:37" ht="18.75" customHeight="1">
      <c r="F121" s="13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</row>
    <row r="122" spans="6:37" ht="18.75" customHeight="1">
      <c r="F122" s="13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</row>
    <row r="123" spans="6:37" ht="18.75" customHeight="1">
      <c r="F123" s="13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</row>
    <row r="124" spans="6:37" ht="18.75" customHeight="1">
      <c r="F124" s="13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</row>
    <row r="125" spans="6:37" ht="18.75" customHeight="1">
      <c r="F125" s="13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</row>
    <row r="126" spans="6:37" ht="18.75" customHeight="1">
      <c r="F126" s="13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</row>
    <row r="127" spans="6:37" ht="18.75" customHeight="1">
      <c r="F127" s="13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</row>
    <row r="128" spans="6:37" ht="18.75" customHeight="1">
      <c r="F128" s="13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</row>
    <row r="129" spans="6:37" ht="18.75" customHeight="1">
      <c r="F129" s="13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</row>
    <row r="130" spans="6:37" ht="18.75" customHeight="1">
      <c r="F130" s="13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</row>
    <row r="131" spans="6:37" ht="18.75" customHeight="1">
      <c r="F131" s="13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</row>
    <row r="132" spans="6:37" ht="18.75" customHeight="1">
      <c r="F132" s="13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</row>
    <row r="133" spans="6:37" ht="18.75" customHeight="1">
      <c r="F133" s="13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</row>
    <row r="134" spans="6:37" ht="18.75" customHeight="1">
      <c r="F134" s="13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</row>
    <row r="135" spans="6:37" ht="18.75" customHeight="1">
      <c r="F135" s="13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</row>
    <row r="136" spans="6:37" ht="18.75" customHeight="1">
      <c r="F136" s="13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</row>
    <row r="137" spans="6:37" ht="18.75" customHeight="1">
      <c r="F137" s="13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</row>
    <row r="138" spans="6:37" ht="18.75" customHeight="1">
      <c r="F138" s="13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</row>
    <row r="139" spans="6:37" ht="18.75" customHeight="1">
      <c r="F139" s="13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</row>
    <row r="140" spans="6:37" ht="18.75" customHeight="1">
      <c r="F140" s="13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</row>
    <row r="141" spans="6:37" ht="18.75" customHeight="1">
      <c r="F141" s="13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</row>
    <row r="142" spans="6:37" ht="18.75" customHeight="1">
      <c r="F142" s="13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</row>
    <row r="143" spans="6:37" ht="18.75" customHeight="1">
      <c r="F143" s="13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</row>
    <row r="144" spans="6:37" ht="18.75" customHeight="1">
      <c r="F144" s="13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</row>
    <row r="145" spans="6:37" ht="18.75" customHeight="1">
      <c r="F145" s="13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</row>
    <row r="146" spans="6:37" ht="18.75" customHeight="1">
      <c r="F146" s="13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</row>
    <row r="147" spans="6:37" ht="18.75" customHeight="1">
      <c r="F147" s="13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</row>
    <row r="148" spans="6:37" ht="18.75" customHeight="1">
      <c r="F148" s="13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</row>
    <row r="149" spans="6:37" ht="18.75" customHeight="1">
      <c r="F149" s="13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</row>
    <row r="150" spans="6:37" ht="18.75" customHeight="1">
      <c r="F150" s="13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</row>
    <row r="151" spans="6:37" ht="18.75" customHeight="1">
      <c r="F151" s="13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</row>
    <row r="152" spans="6:37" ht="18.75" customHeight="1">
      <c r="F152" s="13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</row>
    <row r="153" spans="6:37" ht="18.75" customHeight="1">
      <c r="F153" s="13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</row>
    <row r="154" spans="6:37" ht="18.75" customHeight="1">
      <c r="F154" s="13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</row>
    <row r="155" spans="6:37" ht="18.75" customHeight="1">
      <c r="F155" s="13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</row>
    <row r="156" spans="6:37" ht="18.75" customHeight="1">
      <c r="F156" s="13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</row>
    <row r="157" spans="6:37" ht="18.75" customHeight="1">
      <c r="F157" s="13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</row>
    <row r="158" spans="6:37" ht="18.75" customHeight="1">
      <c r="F158" s="13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</row>
    <row r="159" spans="6:37" ht="18.75" customHeight="1">
      <c r="F159" s="13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</row>
    <row r="160" spans="6:37" ht="18.75" customHeight="1">
      <c r="F160" s="13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</row>
    <row r="161" spans="6:37" ht="18.75" customHeight="1">
      <c r="F161" s="13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</row>
    <row r="162" spans="6:37" ht="18.75" customHeight="1">
      <c r="F162" s="13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</row>
    <row r="163" spans="6:37" ht="18.75" customHeight="1">
      <c r="F163" s="13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</row>
    <row r="164" spans="6:37" ht="18.75" customHeight="1">
      <c r="F164" s="13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</row>
    <row r="165" spans="6:37" ht="18.75" customHeight="1">
      <c r="F165" s="13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</row>
    <row r="166" spans="6:37" ht="18.75" customHeight="1">
      <c r="F166" s="13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</row>
    <row r="167" spans="6:37" ht="18.75" customHeight="1">
      <c r="F167" s="13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</row>
    <row r="168" spans="6:37" ht="18.75" customHeight="1">
      <c r="F168" s="13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</row>
    <row r="169" spans="6:37" ht="18.75" customHeight="1">
      <c r="F169" s="13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</row>
    <row r="170" spans="6:37" ht="18.75" customHeight="1">
      <c r="F170" s="13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</row>
    <row r="171" spans="6:37" ht="18.75" customHeight="1">
      <c r="F171" s="13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</row>
    <row r="172" spans="6:37" ht="18.75" customHeight="1">
      <c r="F172" s="13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</row>
    <row r="173" spans="6:37" ht="18.75" customHeight="1">
      <c r="F173" s="13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</row>
    <row r="174" spans="6:37" ht="18.75" customHeight="1">
      <c r="F174" s="13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</row>
    <row r="175" spans="6:37" ht="18.75" customHeight="1">
      <c r="F175" s="13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</row>
    <row r="176" spans="6:37" ht="18.75" customHeight="1">
      <c r="F176" s="13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</row>
    <row r="177" spans="6:37" ht="18.75" customHeight="1">
      <c r="F177" s="13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</row>
    <row r="178" spans="6:37" ht="18.75" customHeight="1">
      <c r="F178" s="13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</row>
    <row r="179" spans="6:37" ht="18.75" customHeight="1">
      <c r="F179" s="13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</row>
    <row r="180" spans="6:37" ht="18.75" customHeight="1">
      <c r="F180" s="13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</row>
    <row r="181" spans="6:37" ht="18.75" customHeight="1">
      <c r="F181" s="13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</row>
    <row r="182" spans="6:37" ht="18.75" customHeight="1">
      <c r="F182" s="13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</row>
    <row r="183" spans="6:37" ht="18.75" customHeight="1">
      <c r="F183" s="13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</row>
    <row r="184" spans="6:37" ht="18.75" customHeight="1">
      <c r="F184" s="13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</row>
    <row r="185" spans="6:37" ht="18.75" customHeight="1">
      <c r="F185" s="13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</row>
    <row r="186" spans="6:37" ht="18.75" customHeight="1">
      <c r="F186" s="13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</row>
    <row r="187" spans="6:37" ht="18.75" customHeight="1">
      <c r="F187" s="13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</row>
    <row r="188" spans="6:37" ht="18.75" customHeight="1">
      <c r="F188" s="13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</row>
    <row r="189" spans="6:37" ht="18.75" customHeight="1">
      <c r="F189" s="13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</row>
    <row r="190" spans="6:37" ht="18.75" customHeight="1">
      <c r="F190" s="13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</row>
    <row r="191" spans="6:37" ht="18.75" customHeight="1">
      <c r="F191" s="13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</row>
    <row r="192" spans="6:37" ht="18.75" customHeight="1">
      <c r="F192" s="13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</row>
    <row r="193" spans="6:37" ht="18.75" customHeight="1">
      <c r="F193" s="13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</row>
    <row r="194" spans="6:37" ht="18.75" customHeight="1">
      <c r="F194" s="13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</row>
    <row r="195" spans="6:37" ht="18.75" customHeight="1">
      <c r="F195" s="13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</row>
    <row r="196" spans="6:37" ht="18.75" customHeight="1">
      <c r="F196" s="13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</row>
    <row r="197" spans="6:37" ht="18.75" customHeight="1">
      <c r="F197" s="13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</row>
    <row r="198" spans="6:37" ht="18.75" customHeight="1">
      <c r="F198" s="13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</row>
    <row r="199" spans="6:37" ht="18.75" customHeight="1">
      <c r="F199" s="13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</row>
    <row r="200" spans="6:37" ht="18.75" customHeight="1">
      <c r="F200" s="13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</row>
    <row r="201" spans="6:37" ht="18.75" customHeight="1">
      <c r="F201" s="13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</row>
    <row r="202" spans="6:37" ht="18.75" customHeight="1">
      <c r="F202" s="13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</row>
    <row r="203" spans="6:37" ht="18.75" customHeight="1">
      <c r="F203" s="13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</row>
    <row r="204" spans="6:37" ht="18.75" customHeight="1">
      <c r="F204" s="13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</row>
    <row r="205" spans="6:37" ht="18.75" customHeight="1">
      <c r="F205" s="13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</row>
    <row r="206" spans="6:37" ht="18.75" customHeight="1">
      <c r="F206" s="13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</row>
    <row r="207" spans="6:37" ht="18.75" customHeight="1">
      <c r="F207" s="13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</row>
    <row r="208" spans="6:37" ht="18.75" customHeight="1">
      <c r="F208" s="13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</row>
    <row r="209" spans="6:37" ht="18.75" customHeight="1">
      <c r="F209" s="13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</row>
    <row r="210" spans="6:37" ht="18.75" customHeight="1">
      <c r="F210" s="13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</row>
    <row r="211" spans="6:37" ht="18.75" customHeight="1">
      <c r="F211" s="13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</row>
    <row r="212" spans="6:37" ht="18.75" customHeight="1">
      <c r="F212" s="13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</row>
    <row r="213" spans="6:37" ht="18.75" customHeight="1">
      <c r="F213" s="13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</row>
    <row r="214" spans="6:37" ht="18.75" customHeight="1">
      <c r="F214" s="13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</row>
    <row r="215" spans="6:37" ht="18.75" customHeight="1">
      <c r="F215" s="13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</row>
    <row r="216" spans="6:37" ht="18.75" customHeight="1">
      <c r="F216" s="13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</row>
    <row r="217" spans="6:37" ht="18.75" customHeight="1">
      <c r="F217" s="13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</row>
    <row r="218" spans="6:37" ht="18.75" customHeight="1">
      <c r="F218" s="13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</row>
    <row r="219" spans="6:37" ht="18.75" customHeight="1">
      <c r="F219" s="13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</row>
    <row r="220" spans="6:37" ht="18.75" customHeight="1">
      <c r="F220" s="13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</row>
    <row r="221" spans="6:37" ht="18.75" customHeight="1">
      <c r="F221" s="13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</row>
    <row r="222" spans="6:37" ht="18.75" customHeight="1">
      <c r="F222" s="13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</row>
    <row r="223" spans="6:37" ht="18.75" customHeight="1">
      <c r="F223" s="13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</row>
    <row r="224" spans="6:37" ht="18.75" customHeight="1">
      <c r="F224" s="13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</row>
    <row r="225" spans="6:37" ht="18.75" customHeight="1">
      <c r="F225" s="13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</row>
    <row r="226" spans="6:37" ht="18.75" customHeight="1">
      <c r="F226" s="13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</row>
    <row r="227" spans="6:37" ht="18.75" customHeight="1">
      <c r="F227" s="13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</row>
    <row r="228" spans="6:37" ht="18.75" customHeight="1">
      <c r="F228" s="13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</row>
    <row r="229" spans="6:37" ht="18.75" customHeight="1">
      <c r="F229" s="13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</row>
    <row r="230" spans="6:37" ht="18.75" customHeight="1">
      <c r="F230" s="13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</row>
    <row r="231" spans="6:37" ht="18.75" customHeight="1">
      <c r="F231" s="13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</row>
    <row r="232" spans="6:37" ht="18.75" customHeight="1">
      <c r="F232" s="13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</row>
    <row r="233" spans="6:37" ht="18.75" customHeight="1">
      <c r="F233" s="13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</row>
    <row r="234" spans="6:37" ht="18.75" customHeight="1">
      <c r="F234" s="13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</row>
    <row r="235" spans="6:37" ht="18.75" customHeight="1">
      <c r="F235" s="13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</row>
    <row r="236" spans="6:37" ht="18.75" customHeight="1">
      <c r="F236" s="13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</row>
    <row r="237" spans="6:37" ht="18.75" customHeight="1">
      <c r="F237" s="13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</row>
    <row r="238" spans="6:37" ht="18.75" customHeight="1">
      <c r="F238" s="13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</row>
    <row r="239" spans="6:37" ht="18.75" customHeight="1">
      <c r="F239" s="13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</row>
    <row r="240" spans="6:37" ht="18.75" customHeight="1">
      <c r="F240" s="13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</row>
    <row r="241" spans="6:37" ht="18.75" customHeight="1">
      <c r="F241" s="13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</row>
    <row r="242" spans="6:37" ht="18.75" customHeight="1">
      <c r="F242" s="13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</row>
    <row r="243" spans="6:37" ht="18.75" customHeight="1">
      <c r="F243" s="13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</row>
    <row r="244" spans="6:37" ht="18.75" customHeight="1">
      <c r="F244" s="13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</row>
    <row r="245" spans="6:37" ht="18.75" customHeight="1">
      <c r="F245" s="13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</row>
    <row r="246" spans="6:37" ht="18.75" customHeight="1">
      <c r="F246" s="13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</row>
    <row r="247" spans="6:37" ht="18.75" customHeight="1">
      <c r="F247" s="13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</row>
    <row r="248" spans="6:37" ht="18.75" customHeight="1">
      <c r="F248" s="13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</row>
    <row r="249" spans="6:37" ht="18.75" customHeight="1">
      <c r="F249" s="13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</row>
    <row r="250" spans="6:37" ht="18.75" customHeight="1">
      <c r="F250" s="13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</row>
    <row r="251" spans="6:37" ht="18.75" customHeight="1">
      <c r="F251" s="13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</row>
    <row r="252" spans="6:37" ht="18.75" customHeight="1">
      <c r="F252" s="13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</row>
    <row r="253" spans="6:37" ht="18.75" customHeight="1">
      <c r="F253" s="13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</row>
    <row r="254" spans="6:37" ht="18.75" customHeight="1">
      <c r="F254" s="13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</row>
    <row r="255" spans="6:37" ht="18.75" customHeight="1">
      <c r="F255" s="13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</row>
    <row r="256" spans="6:37" ht="18.75" customHeight="1">
      <c r="F256" s="13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</row>
    <row r="257" spans="6:37" ht="18.75" customHeight="1">
      <c r="F257" s="13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</row>
    <row r="258" spans="6:37" ht="18.75" customHeight="1">
      <c r="F258" s="13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</row>
    <row r="259" spans="6:37" ht="18.75" customHeight="1">
      <c r="F259" s="13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</row>
    <row r="260" spans="6:37" ht="18.75" customHeight="1">
      <c r="F260" s="13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</row>
    <row r="261" spans="6:37" ht="18.75" customHeight="1">
      <c r="F261" s="13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</row>
    <row r="262" spans="6:37" ht="18.75" customHeight="1">
      <c r="F262" s="13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</row>
    <row r="263" spans="6:37" ht="18.75" customHeight="1">
      <c r="F263" s="13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</row>
    <row r="264" spans="6:37" ht="18.75" customHeight="1">
      <c r="F264" s="13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</row>
    <row r="265" spans="6:37" ht="18.75" customHeight="1">
      <c r="F265" s="13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</row>
    <row r="266" spans="6:37" ht="18.75" customHeight="1">
      <c r="F266" s="13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</row>
    <row r="267" spans="6:37" ht="18.75" customHeight="1">
      <c r="F267" s="13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</row>
    <row r="268" spans="6:37" ht="18.75" customHeight="1">
      <c r="F268" s="13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</row>
    <row r="269" spans="6:37" ht="18.75" customHeight="1">
      <c r="F269" s="13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</row>
    <row r="270" spans="6:37" ht="18.75" customHeight="1">
      <c r="F270" s="13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</row>
    <row r="271" spans="6:37" ht="18.75" customHeight="1">
      <c r="F271" s="13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</row>
    <row r="272" spans="6:37" ht="18.75" customHeight="1">
      <c r="F272" s="13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</row>
    <row r="273" spans="6:37" ht="18.75" customHeight="1">
      <c r="F273" s="13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</row>
    <row r="274" spans="6:37" ht="18.75" customHeight="1">
      <c r="F274" s="13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</row>
    <row r="275" spans="6:37" ht="18.75" customHeight="1">
      <c r="F275" s="13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</row>
    <row r="276" spans="6:37" ht="18.75" customHeight="1">
      <c r="F276" s="13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</row>
    <row r="277" spans="6:37" ht="18.75" customHeight="1">
      <c r="F277" s="13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</row>
    <row r="278" spans="6:37" ht="18.75" customHeight="1">
      <c r="F278" s="13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</row>
    <row r="279" spans="6:37" ht="18.75" customHeight="1">
      <c r="F279" s="13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</row>
    <row r="280" spans="6:37" ht="18.75" customHeight="1">
      <c r="F280" s="13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</row>
    <row r="281" spans="6:37" ht="18.75" customHeight="1">
      <c r="F281" s="13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</row>
    <row r="282" spans="6:37" ht="18.75" customHeight="1">
      <c r="F282" s="13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</row>
    <row r="283" spans="6:37" ht="18.75" customHeight="1">
      <c r="F283" s="13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</row>
    <row r="284" spans="6:37" ht="18.75" customHeight="1">
      <c r="F284" s="13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</row>
    <row r="285" spans="6:37" ht="18.75" customHeight="1">
      <c r="F285" s="13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</row>
    <row r="286" spans="6:37" ht="18.75" customHeight="1">
      <c r="F286" s="13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</row>
    <row r="287" spans="6:37" ht="18.75" customHeight="1">
      <c r="F287" s="13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</row>
    <row r="288" spans="6:37" ht="18.75" customHeight="1">
      <c r="F288" s="13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</row>
    <row r="289" spans="6:37" ht="18.75" customHeight="1">
      <c r="F289" s="13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</row>
    <row r="290" spans="6:37" ht="18.75" customHeight="1">
      <c r="F290" s="13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</row>
    <row r="291" spans="6:37" ht="18.75" customHeight="1">
      <c r="F291" s="13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</row>
    <row r="292" spans="6:37" ht="18.75" customHeight="1">
      <c r="F292" s="13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</row>
    <row r="293" spans="6:37" ht="18.75" customHeight="1">
      <c r="F293" s="13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</row>
    <row r="294" spans="6:37" ht="18.75" customHeight="1">
      <c r="F294" s="13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</row>
    <row r="295" spans="6:37" ht="18.75" customHeight="1">
      <c r="F295" s="13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</row>
    <row r="296" spans="6:37" ht="18.75" customHeight="1">
      <c r="F296" s="13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</row>
    <row r="297" spans="6:37" ht="18.75" customHeight="1">
      <c r="F297" s="13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</row>
    <row r="298" spans="6:37" ht="18.75" customHeight="1">
      <c r="F298" s="13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</row>
    <row r="299" spans="6:37" ht="18.75" customHeight="1">
      <c r="F299" s="13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</row>
    <row r="300" spans="6:37" ht="18.75" customHeight="1">
      <c r="F300" s="13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</row>
    <row r="301" spans="6:37" ht="18.75" customHeight="1">
      <c r="F301" s="13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</row>
    <row r="302" spans="6:37" ht="18.75" customHeight="1">
      <c r="F302" s="13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</row>
    <row r="303" spans="6:37" ht="18.75" customHeight="1">
      <c r="F303" s="13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</row>
    <row r="304" spans="6:37" ht="18.75" customHeight="1">
      <c r="F304" s="13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</row>
    <row r="305" spans="6:37" ht="18.75" customHeight="1">
      <c r="F305" s="13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</row>
    <row r="306" spans="6:37" ht="18.75" customHeight="1">
      <c r="F306" s="13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</row>
    <row r="307" spans="6:37" ht="18.75" customHeight="1">
      <c r="F307" s="13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</row>
    <row r="308" spans="6:37" ht="18.75" customHeight="1">
      <c r="F308" s="13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</row>
    <row r="309" spans="6:37" ht="18.75" customHeight="1">
      <c r="F309" s="13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</row>
    <row r="310" spans="6:37" ht="18.75" customHeight="1">
      <c r="F310" s="13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</row>
    <row r="311" spans="6:37" ht="18.75" customHeight="1">
      <c r="F311" s="13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</row>
    <row r="312" spans="6:37" ht="18.75" customHeight="1">
      <c r="F312" s="13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</row>
    <row r="313" spans="6:37" ht="18.75" customHeight="1">
      <c r="F313" s="13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</row>
    <row r="314" spans="6:37" ht="18.75" customHeight="1">
      <c r="F314" s="13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</row>
    <row r="315" spans="6:37" ht="18.75" customHeight="1">
      <c r="F315" s="13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</row>
    <row r="316" spans="6:37" ht="18.75" customHeight="1">
      <c r="F316" s="13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</row>
    <row r="317" spans="6:37" ht="18.75" customHeight="1">
      <c r="F317" s="13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</row>
    <row r="318" spans="6:37" ht="18.75" customHeight="1">
      <c r="F318" s="13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</row>
    <row r="319" spans="6:37" ht="18.75" customHeight="1">
      <c r="F319" s="13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</row>
    <row r="320" spans="6:37" ht="18.75" customHeight="1">
      <c r="F320" s="13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</row>
    <row r="321" spans="6:37" ht="18.75" customHeight="1">
      <c r="F321" s="13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</row>
    <row r="322" spans="6:37" ht="18.75" customHeight="1">
      <c r="F322" s="13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</row>
    <row r="323" spans="6:37" ht="18.75" customHeight="1">
      <c r="F323" s="13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</row>
    <row r="324" spans="6:37" ht="18.75" customHeight="1">
      <c r="F324" s="13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</row>
    <row r="325" spans="6:37" ht="18.75" customHeight="1">
      <c r="F325" s="13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</row>
    <row r="326" spans="6:37" ht="18.75" customHeight="1">
      <c r="F326" s="13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</row>
    <row r="327" spans="6:37" ht="18.75" customHeight="1">
      <c r="F327" s="13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</row>
    <row r="328" spans="6:37" ht="18.75" customHeight="1">
      <c r="F328" s="13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</row>
    <row r="329" spans="6:37" ht="18.75" customHeight="1">
      <c r="F329" s="13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</row>
    <row r="330" spans="6:37" ht="18.75" customHeight="1">
      <c r="F330" s="13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</row>
    <row r="331" spans="6:37" ht="18.75" customHeight="1">
      <c r="F331" s="13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</row>
    <row r="332" spans="6:37" ht="18.75" customHeight="1">
      <c r="F332" s="13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</row>
    <row r="333" spans="6:37" ht="18.75" customHeight="1">
      <c r="F333" s="13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</row>
    <row r="334" spans="6:37" ht="18.75" customHeight="1">
      <c r="F334" s="13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</row>
    <row r="335" spans="6:37" ht="18.75" customHeight="1">
      <c r="F335" s="13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</row>
    <row r="336" spans="6:37" ht="18.75" customHeight="1">
      <c r="F336" s="13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</row>
    <row r="337" spans="6:37" ht="18.75" customHeight="1">
      <c r="F337" s="13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</row>
    <row r="338" spans="6:37" ht="18.75" customHeight="1">
      <c r="F338" s="13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</row>
    <row r="339" spans="6:37" ht="18.75" customHeight="1">
      <c r="F339" s="13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</row>
    <row r="340" spans="6:37" ht="18.75" customHeight="1">
      <c r="F340" s="13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</row>
    <row r="341" spans="6:37" ht="18.75" customHeight="1">
      <c r="F341" s="13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</row>
    <row r="342" spans="6:37" ht="18.75" customHeight="1">
      <c r="F342" s="13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</row>
    <row r="343" spans="6:37" ht="18.75" customHeight="1">
      <c r="F343" s="13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</row>
    <row r="344" spans="6:37" ht="18.75" customHeight="1">
      <c r="F344" s="13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</row>
    <row r="345" spans="6:37" ht="18.75" customHeight="1">
      <c r="F345" s="13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</row>
    <row r="346" spans="6:37" ht="18.75" customHeight="1">
      <c r="F346" s="13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</row>
    <row r="347" spans="6:37" ht="18.75" customHeight="1">
      <c r="F347" s="13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</row>
    <row r="348" spans="6:37" ht="18.75" customHeight="1">
      <c r="F348" s="13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</row>
    <row r="349" spans="6:37" ht="18.75" customHeight="1">
      <c r="F349" s="13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</row>
    <row r="350" spans="6:37" ht="18.75" customHeight="1">
      <c r="F350" s="13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</row>
    <row r="351" spans="6:37" ht="18.75" customHeight="1">
      <c r="F351" s="13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</row>
    <row r="352" spans="6:37" ht="18.75" customHeight="1">
      <c r="F352" s="13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</row>
    <row r="353" spans="6:37" ht="18.75" customHeight="1">
      <c r="F353" s="13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</row>
    <row r="354" spans="6:37" ht="18.75" customHeight="1">
      <c r="F354" s="13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</row>
    <row r="355" spans="6:37" ht="18.75" customHeight="1">
      <c r="F355" s="13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</row>
    <row r="356" spans="6:37" ht="18.75" customHeight="1">
      <c r="F356" s="13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</row>
    <row r="357" spans="6:37" ht="18.75" customHeight="1">
      <c r="F357" s="13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</row>
    <row r="358" spans="6:37" ht="18.75" customHeight="1">
      <c r="F358" s="13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</row>
    <row r="359" spans="6:37" ht="18.75" customHeight="1">
      <c r="F359" s="13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</row>
    <row r="360" spans="6:37" ht="18.75" customHeight="1">
      <c r="F360" s="13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</row>
    <row r="361" spans="6:37" ht="18.75" customHeight="1">
      <c r="F361" s="13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</row>
    <row r="362" spans="6:37" ht="18.75" customHeight="1">
      <c r="F362" s="13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</row>
    <row r="363" spans="6:37" ht="18.75" customHeight="1">
      <c r="F363" s="13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</row>
    <row r="364" spans="6:37" ht="18.75" customHeight="1">
      <c r="F364" s="13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</row>
    <row r="365" spans="6:37" ht="18.75" customHeight="1">
      <c r="F365" s="13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</row>
    <row r="366" spans="6:37" ht="18.75" customHeight="1">
      <c r="F366" s="13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</row>
    <row r="367" spans="6:37" ht="18.75" customHeight="1">
      <c r="F367" s="13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</row>
    <row r="368" spans="6:37" ht="18.75" customHeight="1">
      <c r="F368" s="13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</row>
    <row r="369" spans="6:37" ht="18.75" customHeight="1">
      <c r="F369" s="13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</row>
    <row r="370" spans="6:37" ht="18.75" customHeight="1">
      <c r="F370" s="13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</row>
    <row r="371" spans="6:37" ht="18.75" customHeight="1">
      <c r="F371" s="13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</row>
    <row r="372" spans="6:37" ht="18.75" customHeight="1">
      <c r="F372" s="13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</row>
    <row r="373" spans="6:37" ht="18.75" customHeight="1">
      <c r="F373" s="13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</row>
    <row r="374" spans="6:37" ht="18.75" customHeight="1">
      <c r="F374" s="13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</row>
    <row r="375" spans="6:37" ht="18.75" customHeight="1">
      <c r="F375" s="13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</row>
    <row r="376" spans="6:37" ht="18.75" customHeight="1">
      <c r="F376" s="13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</row>
    <row r="377" spans="6:37" ht="18.75" customHeight="1">
      <c r="F377" s="13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</row>
    <row r="378" spans="6:37" ht="18.75" customHeight="1">
      <c r="F378" s="13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</row>
    <row r="379" spans="6:37" ht="18.75" customHeight="1">
      <c r="F379" s="13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</row>
    <row r="380" spans="6:37" ht="18.75" customHeight="1">
      <c r="F380" s="13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</row>
    <row r="381" spans="6:37" ht="18.75" customHeight="1">
      <c r="F381" s="13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</row>
    <row r="382" spans="6:37" ht="18.75" customHeight="1">
      <c r="F382" s="13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</row>
    <row r="383" spans="6:37" ht="18.75" customHeight="1">
      <c r="F383" s="13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</row>
    <row r="384" spans="6:37" ht="18.75" customHeight="1">
      <c r="F384" s="13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</row>
    <row r="385" spans="6:37" ht="18.75" customHeight="1">
      <c r="F385" s="13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</row>
    <row r="386" spans="6:37" ht="18.75" customHeight="1">
      <c r="F386" s="13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</row>
    <row r="387" spans="6:37" ht="18.75" customHeight="1">
      <c r="F387" s="13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</row>
    <row r="388" spans="6:37" ht="18.75" customHeight="1">
      <c r="F388" s="13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</row>
    <row r="389" spans="6:37" ht="18.75" customHeight="1">
      <c r="F389" s="13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</row>
    <row r="390" spans="6:37" ht="18.75" customHeight="1">
      <c r="F390" s="13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</row>
    <row r="391" spans="6:37" ht="18.75" customHeight="1">
      <c r="F391" s="13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</row>
    <row r="392" spans="6:37" ht="18.75" customHeight="1">
      <c r="F392" s="13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</row>
    <row r="393" spans="6:37" ht="18.75" customHeight="1">
      <c r="F393" s="13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</row>
    <row r="394" spans="6:37" ht="18.75" customHeight="1">
      <c r="F394" s="13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</row>
    <row r="395" spans="6:37" ht="18.75" customHeight="1">
      <c r="F395" s="13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</row>
    <row r="396" spans="6:37" ht="18.75" customHeight="1">
      <c r="F396" s="13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</row>
    <row r="397" spans="6:37" ht="18.75" customHeight="1">
      <c r="F397" s="13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</row>
    <row r="398" spans="6:37" ht="18.75" customHeight="1">
      <c r="F398" s="13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</row>
    <row r="399" spans="6:37" ht="18.75" customHeight="1">
      <c r="F399" s="13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</row>
    <row r="400" spans="6:37" ht="18.75" customHeight="1">
      <c r="F400" s="13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</row>
    <row r="401" spans="6:37" ht="18.75" customHeight="1">
      <c r="F401" s="13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</row>
    <row r="402" spans="6:37" ht="18.75" customHeight="1">
      <c r="F402" s="13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</row>
    <row r="403" spans="6:37" ht="18.75" customHeight="1">
      <c r="F403" s="13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</row>
    <row r="404" spans="6:37" ht="18.75" customHeight="1">
      <c r="F404" s="13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</row>
    <row r="405" spans="6:37" ht="18.75" customHeight="1">
      <c r="F405" s="13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</row>
    <row r="406" spans="6:37" ht="18.75" customHeight="1">
      <c r="F406" s="13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</row>
    <row r="407" spans="6:37" ht="18.75" customHeight="1">
      <c r="F407" s="13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</row>
    <row r="408" spans="6:37" ht="18.75" customHeight="1">
      <c r="F408" s="13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</row>
    <row r="409" spans="6:37" ht="18.75" customHeight="1">
      <c r="F409" s="13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</row>
    <row r="410" spans="6:37" ht="18.75" customHeight="1">
      <c r="F410" s="13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</row>
    <row r="411" spans="6:37" ht="18.75" customHeight="1">
      <c r="F411" s="13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</row>
    <row r="412" spans="6:37" ht="18.75" customHeight="1">
      <c r="F412" s="13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</row>
    <row r="413" spans="6:37" ht="18.75" customHeight="1">
      <c r="F413" s="13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</row>
    <row r="414" spans="6:37" ht="18.75" customHeight="1">
      <c r="F414" s="13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</row>
    <row r="415" spans="6:37" ht="18.75" customHeight="1">
      <c r="F415" s="13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</row>
    <row r="416" spans="6:37" ht="18.75" customHeight="1">
      <c r="F416" s="13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</row>
    <row r="417" spans="6:37" ht="18.75" customHeight="1">
      <c r="F417" s="13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</row>
    <row r="418" spans="6:37" ht="18.75" customHeight="1">
      <c r="F418" s="13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</row>
    <row r="419" spans="6:37" ht="18.75" customHeight="1">
      <c r="F419" s="13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</row>
    <row r="420" spans="6:37" ht="18.75" customHeight="1">
      <c r="F420" s="13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</row>
    <row r="421" spans="6:37" ht="18.75" customHeight="1">
      <c r="F421" s="13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</row>
    <row r="422" spans="6:37" ht="18.75" customHeight="1">
      <c r="F422" s="13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</row>
    <row r="423" spans="6:37" ht="18.75" customHeight="1">
      <c r="F423" s="13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</row>
    <row r="424" spans="6:37" ht="18.75" customHeight="1">
      <c r="F424" s="13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</row>
    <row r="425" spans="6:37" ht="18.75" customHeight="1">
      <c r="F425" s="13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</row>
    <row r="426" spans="6:37" ht="18.75" customHeight="1">
      <c r="F426" s="13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</row>
    <row r="427" spans="6:37" ht="18.75" customHeight="1">
      <c r="F427" s="13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</row>
    <row r="428" spans="6:37" ht="18.75" customHeight="1">
      <c r="F428" s="13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</row>
    <row r="429" spans="6:37" ht="18.75" customHeight="1">
      <c r="F429" s="13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</row>
    <row r="430" spans="6:37" ht="18.75" customHeight="1">
      <c r="F430" s="13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</row>
    <row r="431" spans="6:37" ht="18.75" customHeight="1">
      <c r="F431" s="13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</row>
    <row r="432" spans="6:37" ht="18.75" customHeight="1">
      <c r="F432" s="13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</row>
    <row r="433" spans="6:37" ht="18.75" customHeight="1">
      <c r="F433" s="13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</row>
    <row r="434" spans="6:37" ht="18.75" customHeight="1">
      <c r="F434" s="13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</row>
    <row r="435" spans="6:37" ht="18.75" customHeight="1">
      <c r="F435" s="13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</row>
    <row r="436" spans="6:37" ht="18.75" customHeight="1">
      <c r="F436" s="13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</row>
    <row r="437" spans="6:37" ht="18.75" customHeight="1">
      <c r="F437" s="13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</row>
    <row r="438" spans="6:37" ht="18.75" customHeight="1">
      <c r="F438" s="13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</row>
    <row r="439" spans="6:37" ht="18.75" customHeight="1">
      <c r="F439" s="13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</row>
    <row r="440" spans="6:37" ht="18.75" customHeight="1">
      <c r="F440" s="13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</row>
    <row r="441" spans="6:37" ht="18.75" customHeight="1">
      <c r="F441" s="13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</row>
    <row r="442" spans="6:37" ht="18.75" customHeight="1">
      <c r="F442" s="13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</row>
    <row r="443" spans="6:37" ht="18.75" customHeight="1">
      <c r="F443" s="13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</row>
    <row r="444" spans="6:37" ht="18.75" customHeight="1">
      <c r="F444" s="13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</row>
    <row r="445" spans="6:37" ht="18.75" customHeight="1">
      <c r="F445" s="13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</row>
    <row r="446" spans="6:37" ht="18.75" customHeight="1">
      <c r="F446" s="13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</row>
    <row r="447" spans="6:37" ht="18.75" customHeight="1">
      <c r="F447" s="13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</row>
    <row r="448" spans="6:37" ht="18.75" customHeight="1">
      <c r="F448" s="13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</row>
    <row r="449" spans="6:37" ht="18.75" customHeight="1">
      <c r="F449" s="13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</row>
    <row r="450" spans="6:37" ht="18.75" customHeight="1">
      <c r="F450" s="13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</row>
    <row r="451" spans="6:37" ht="18.75" customHeight="1">
      <c r="F451" s="13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</row>
    <row r="452" spans="6:37" ht="18.75" customHeight="1">
      <c r="F452" s="13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</row>
    <row r="453" spans="6:37" ht="18.75" customHeight="1">
      <c r="F453" s="13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</row>
    <row r="454" spans="6:37" ht="18.75" customHeight="1">
      <c r="F454" s="13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</row>
    <row r="455" spans="6:37" ht="18.75" customHeight="1">
      <c r="F455" s="13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</row>
    <row r="456" spans="6:37" ht="18.75" customHeight="1">
      <c r="F456" s="13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</row>
    <row r="457" spans="6:37" ht="18.75" customHeight="1">
      <c r="F457" s="13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</row>
    <row r="458" spans="6:37" ht="18.75" customHeight="1">
      <c r="F458" s="13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</row>
    <row r="459" spans="6:37" ht="18.75" customHeight="1">
      <c r="F459" s="13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</row>
    <row r="460" spans="6:37" ht="18.75" customHeight="1">
      <c r="F460" s="13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</row>
    <row r="461" spans="6:37" ht="18.75" customHeight="1">
      <c r="F461" s="13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</row>
    <row r="462" spans="6:37" ht="18.75" customHeight="1">
      <c r="F462" s="13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</row>
    <row r="463" spans="6:37" ht="18.75" customHeight="1">
      <c r="F463" s="13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</row>
    <row r="464" spans="6:37" ht="18.75" customHeight="1">
      <c r="F464" s="13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</row>
    <row r="465" spans="6:37" ht="18.75" customHeight="1">
      <c r="F465" s="13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</row>
    <row r="466" spans="6:37" ht="18.75" customHeight="1">
      <c r="F466" s="13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</row>
    <row r="467" spans="6:37" ht="18.75" customHeight="1">
      <c r="F467" s="13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</row>
    <row r="468" spans="6:37" ht="18.75" customHeight="1">
      <c r="F468" s="13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</row>
    <row r="469" spans="6:37" ht="18.75" customHeight="1">
      <c r="F469" s="13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</row>
    <row r="470" spans="6:37" ht="18.75" customHeight="1">
      <c r="F470" s="13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</row>
    <row r="471" spans="6:37" ht="18.75" customHeight="1">
      <c r="F471" s="13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</row>
    <row r="472" spans="6:37" ht="18.75" customHeight="1">
      <c r="F472" s="13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</row>
    <row r="473" spans="6:37" ht="18.75" customHeight="1">
      <c r="F473" s="13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</row>
    <row r="474" spans="6:37" ht="18.75" customHeight="1">
      <c r="F474" s="13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</row>
    <row r="475" spans="6:37" ht="18.75" customHeight="1">
      <c r="F475" s="13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</row>
    <row r="476" spans="6:37" ht="18.75" customHeight="1">
      <c r="F476" s="13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</row>
    <row r="477" spans="6:37" ht="18.75" customHeight="1">
      <c r="F477" s="13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</row>
    <row r="478" spans="6:37" ht="18.75" customHeight="1">
      <c r="F478" s="13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</row>
    <row r="479" spans="6:37" ht="18.75" customHeight="1">
      <c r="F479" s="13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</row>
    <row r="480" spans="6:37" ht="18.75" customHeight="1">
      <c r="F480" s="13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</row>
    <row r="481" spans="6:37" ht="18.75" customHeight="1">
      <c r="F481" s="13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</row>
    <row r="482" spans="6:37" ht="18.75" customHeight="1">
      <c r="F482" s="13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</row>
    <row r="483" spans="6:37" ht="18.75" customHeight="1">
      <c r="F483" s="13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</row>
    <row r="484" spans="6:37" ht="18.75" customHeight="1">
      <c r="F484" s="13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</row>
    <row r="485" spans="6:37" ht="18.75" customHeight="1">
      <c r="F485" s="13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</row>
    <row r="486" spans="6:37" ht="18.75" customHeight="1">
      <c r="F486" s="13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</row>
    <row r="487" spans="6:37" ht="18.75" customHeight="1">
      <c r="F487" s="13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</row>
    <row r="488" spans="6:37" ht="18.75" customHeight="1">
      <c r="F488" s="13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</row>
    <row r="489" spans="6:37" ht="18.75" customHeight="1">
      <c r="F489" s="13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</row>
    <row r="490" spans="6:37" ht="18.75" customHeight="1">
      <c r="F490" s="13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</row>
    <row r="491" spans="6:37" ht="18.75" customHeight="1">
      <c r="F491" s="13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</row>
    <row r="492" spans="6:37" ht="18.75" customHeight="1">
      <c r="F492" s="13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</row>
    <row r="493" spans="6:37" ht="18.75" customHeight="1">
      <c r="F493" s="13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</row>
    <row r="494" spans="6:37" ht="18.75" customHeight="1">
      <c r="F494" s="13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</row>
    <row r="495" spans="6:37" ht="18.75" customHeight="1">
      <c r="F495" s="13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</row>
    <row r="496" spans="6:37" ht="18.75" customHeight="1">
      <c r="F496" s="13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</row>
    <row r="497" spans="6:37" ht="18.75" customHeight="1">
      <c r="F497" s="13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</row>
    <row r="498" spans="6:37" ht="18.75" customHeight="1">
      <c r="F498" s="13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</row>
    <row r="499" spans="6:37" ht="18.75" customHeight="1">
      <c r="F499" s="13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</row>
    <row r="500" spans="6:37" ht="18.75" customHeight="1">
      <c r="F500" s="13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</row>
    <row r="501" spans="6:37" ht="18.75" customHeight="1">
      <c r="F501" s="13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</row>
    <row r="502" spans="6:37" ht="18.75" customHeight="1">
      <c r="F502" s="13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</row>
    <row r="503" spans="6:37" ht="18.75" customHeight="1">
      <c r="F503" s="13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</row>
    <row r="504" spans="6:37" ht="18.75" customHeight="1">
      <c r="F504" s="13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</row>
    <row r="505" spans="6:37" ht="18.75" customHeight="1">
      <c r="F505" s="13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</row>
    <row r="506" spans="6:37" ht="18.75" customHeight="1">
      <c r="F506" s="13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</row>
    <row r="507" spans="6:37" ht="18.75" customHeight="1">
      <c r="F507" s="13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</row>
    <row r="508" spans="6:37" ht="18.75" customHeight="1">
      <c r="F508" s="13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</row>
    <row r="509" spans="6:37" ht="18.75" customHeight="1">
      <c r="F509" s="13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</row>
    <row r="510" spans="6:37" ht="18.75" customHeight="1">
      <c r="F510" s="13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</row>
    <row r="511" spans="6:37" ht="18.75" customHeight="1">
      <c r="F511" s="13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</row>
    <row r="512" spans="6:37" ht="18.75" customHeight="1">
      <c r="F512" s="13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</row>
    <row r="513" spans="6:37" ht="18.75" customHeight="1">
      <c r="F513" s="13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</row>
    <row r="514" spans="6:37" ht="18.75" customHeight="1">
      <c r="F514" s="13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</row>
    <row r="515" spans="6:37" ht="18.75" customHeight="1">
      <c r="F515" s="13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</row>
    <row r="516" spans="6:37" ht="18.75" customHeight="1">
      <c r="F516" s="13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</row>
    <row r="517" spans="6:37" ht="18.75" customHeight="1">
      <c r="F517" s="13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</row>
    <row r="518" spans="6:37" ht="18.75" customHeight="1">
      <c r="F518" s="13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</row>
    <row r="519" spans="6:37" ht="18.75" customHeight="1">
      <c r="F519" s="13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</row>
    <row r="520" spans="6:37" ht="18.75" customHeight="1">
      <c r="F520" s="13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</row>
    <row r="521" spans="6:37" ht="18.75" customHeight="1">
      <c r="F521" s="13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</row>
    <row r="522" spans="6:37" ht="18.75" customHeight="1">
      <c r="F522" s="13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</row>
    <row r="523" spans="6:37" ht="18.75" customHeight="1">
      <c r="F523" s="13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</row>
    <row r="524" spans="6:37" ht="18.75" customHeight="1">
      <c r="F524" s="13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</row>
    <row r="525" spans="6:37" ht="18.75" customHeight="1">
      <c r="F525" s="13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</row>
    <row r="526" spans="6:37" ht="18.75" customHeight="1">
      <c r="F526" s="13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</row>
    <row r="527" spans="6:37" ht="18.75" customHeight="1">
      <c r="F527" s="13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</row>
    <row r="528" spans="6:37" ht="18.75" customHeight="1">
      <c r="F528" s="13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</row>
    <row r="529" spans="6:37" ht="18.75" customHeight="1">
      <c r="F529" s="13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</row>
    <row r="530" spans="6:37" ht="18.75" customHeight="1">
      <c r="F530" s="13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</row>
    <row r="531" spans="6:37" ht="18.75" customHeight="1">
      <c r="F531" s="13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</row>
    <row r="532" spans="6:37" ht="18.75" customHeight="1">
      <c r="F532" s="13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</row>
    <row r="533" spans="6:37" ht="18.75" customHeight="1">
      <c r="F533" s="13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</row>
    <row r="534" spans="6:37" ht="18.75" customHeight="1">
      <c r="F534" s="13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</row>
    <row r="535" spans="6:37" ht="18.75" customHeight="1">
      <c r="F535" s="13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</row>
    <row r="536" spans="6:37" ht="18.75" customHeight="1">
      <c r="F536" s="13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</row>
    <row r="537" spans="6:37" ht="18.75" customHeight="1">
      <c r="F537" s="13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</row>
    <row r="538" spans="6:37" ht="18.75" customHeight="1">
      <c r="F538" s="13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</row>
    <row r="539" spans="6:37" ht="18.75" customHeight="1">
      <c r="F539" s="13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</row>
    <row r="540" spans="6:37" ht="18.75" customHeight="1">
      <c r="F540" s="13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</row>
    <row r="541" spans="6:37" ht="18.75" customHeight="1">
      <c r="F541" s="13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</row>
    <row r="542" spans="6:37" ht="18.75" customHeight="1">
      <c r="F542" s="13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</row>
    <row r="543" spans="6:37" ht="18.75" customHeight="1">
      <c r="F543" s="13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</row>
    <row r="544" spans="6:37" ht="18.75" customHeight="1">
      <c r="F544" s="13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</row>
    <row r="545" spans="6:37" ht="18.75" customHeight="1">
      <c r="F545" s="13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</row>
    <row r="546" spans="6:37" ht="18.75" customHeight="1">
      <c r="F546" s="13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</row>
    <row r="547" spans="6:37" ht="18.75" customHeight="1">
      <c r="F547" s="13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</row>
    <row r="548" spans="6:37" ht="18.75" customHeight="1">
      <c r="F548" s="13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</row>
    <row r="549" spans="6:37" ht="18.75" customHeight="1">
      <c r="F549" s="13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</row>
    <row r="550" spans="6:37" ht="18.75" customHeight="1">
      <c r="F550" s="13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</row>
    <row r="551" spans="6:37" ht="18.75" customHeight="1">
      <c r="F551" s="13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</row>
    <row r="552" spans="6:37" ht="18.75" customHeight="1">
      <c r="F552" s="13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</row>
    <row r="553" spans="6:37" ht="18.75" customHeight="1">
      <c r="F553" s="13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</row>
    <row r="554" spans="6:37" ht="18.75" customHeight="1">
      <c r="F554" s="13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</row>
    <row r="555" spans="6:37" ht="18.75" customHeight="1">
      <c r="F555" s="13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</row>
    <row r="556" spans="6:37" ht="18.75" customHeight="1">
      <c r="F556" s="13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</row>
    <row r="557" spans="6:37" ht="18.75" customHeight="1">
      <c r="F557" s="13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</row>
    <row r="558" spans="6:37" ht="18.75" customHeight="1">
      <c r="F558" s="13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</row>
    <row r="559" spans="6:37" ht="18.75" customHeight="1">
      <c r="F559" s="13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</row>
    <row r="560" spans="6:37" ht="18.75" customHeight="1">
      <c r="F560" s="13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</row>
    <row r="561" spans="6:37" ht="18.75" customHeight="1">
      <c r="F561" s="13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</row>
    <row r="562" spans="6:37" ht="18.75" customHeight="1">
      <c r="F562" s="13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</row>
    <row r="563" spans="6:37" ht="18.75" customHeight="1">
      <c r="F563" s="13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</row>
    <row r="564" spans="6:37" ht="18.75" customHeight="1">
      <c r="F564" s="13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</row>
    <row r="565" spans="6:37" ht="18.75" customHeight="1">
      <c r="F565" s="13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</row>
    <row r="566" spans="6:37" ht="18.75" customHeight="1">
      <c r="F566" s="13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</row>
    <row r="567" spans="6:37" ht="18.75" customHeight="1">
      <c r="F567" s="13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</row>
    <row r="568" spans="6:37" ht="18.75" customHeight="1">
      <c r="F568" s="13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</row>
    <row r="569" spans="6:37" ht="18.75" customHeight="1">
      <c r="F569" s="13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</row>
    <row r="570" spans="6:37" ht="18.75" customHeight="1">
      <c r="F570" s="13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</row>
    <row r="571" spans="6:37" ht="18.75" customHeight="1">
      <c r="F571" s="13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</row>
    <row r="572" spans="6:37" ht="18.75" customHeight="1">
      <c r="F572" s="13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</row>
    <row r="573" spans="6:37" ht="18.75" customHeight="1">
      <c r="F573" s="13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</row>
    <row r="574" spans="6:37" ht="18.75" customHeight="1">
      <c r="F574" s="13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</row>
    <row r="575" spans="6:37" ht="18.75" customHeight="1">
      <c r="F575" s="13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</row>
    <row r="576" spans="6:37" ht="18.75" customHeight="1">
      <c r="F576" s="13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</row>
    <row r="577" spans="6:37" ht="18.75" customHeight="1">
      <c r="F577" s="13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</row>
    <row r="578" spans="6:37" ht="18.75" customHeight="1">
      <c r="F578" s="13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</row>
    <row r="579" spans="6:37" ht="18.75" customHeight="1">
      <c r="F579" s="13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</row>
    <row r="580" spans="6:37" ht="18.75" customHeight="1">
      <c r="F580" s="13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</row>
    <row r="581" spans="6:37" ht="18.75" customHeight="1">
      <c r="F581" s="13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</row>
    <row r="582" spans="6:37" ht="18.75" customHeight="1">
      <c r="F582" s="13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</row>
    <row r="583" spans="6:37" ht="18.75" customHeight="1">
      <c r="F583" s="13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</row>
    <row r="584" spans="6:37" ht="18.75" customHeight="1">
      <c r="F584" s="13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</row>
    <row r="585" spans="6:37" ht="18.75" customHeight="1">
      <c r="F585" s="13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</row>
    <row r="586" spans="6:37" ht="18.75" customHeight="1">
      <c r="F586" s="13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</row>
    <row r="587" spans="6:37" ht="18.75" customHeight="1">
      <c r="F587" s="13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</row>
    <row r="588" spans="6:37" ht="18.75" customHeight="1">
      <c r="F588" s="13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</row>
    <row r="589" spans="6:37" ht="18.75" customHeight="1">
      <c r="F589" s="13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</row>
    <row r="590" spans="6:37" ht="18.75" customHeight="1">
      <c r="F590" s="13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</row>
    <row r="591" spans="6:37" ht="18.75" customHeight="1">
      <c r="F591" s="13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</row>
    <row r="592" spans="6:37" ht="18.75" customHeight="1">
      <c r="F592" s="13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</row>
    <row r="593" spans="6:37" ht="18.75" customHeight="1">
      <c r="F593" s="13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</row>
    <row r="594" spans="6:37" ht="18.75" customHeight="1">
      <c r="F594" s="13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</row>
    <row r="595" spans="6:37" ht="18.75" customHeight="1">
      <c r="F595" s="13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</row>
  </sheetData>
  <mergeCells count="14">
    <mergeCell ref="A25:A28"/>
    <mergeCell ref="A29:E31"/>
    <mergeCell ref="Z29:AA29"/>
    <mergeCell ref="AB4:AH4"/>
    <mergeCell ref="AI4:AO4"/>
    <mergeCell ref="B6:E6"/>
    <mergeCell ref="B8:C8"/>
    <mergeCell ref="A10:A24"/>
    <mergeCell ref="AG12:AH12"/>
    <mergeCell ref="B4:E5"/>
    <mergeCell ref="F4:F7"/>
    <mergeCell ref="G4:M4"/>
    <mergeCell ref="N4:T4"/>
    <mergeCell ref="U4:AA4"/>
  </mergeCells>
  <conditionalFormatting sqref="A4:AO4 B5:AO5 A6:AO7 A8:B8 D8:AO8 A9:AO11 A12:AG12 AI12:AO12 A23:A28 F23:AO28 A29:Z29 AB29:AO29 A30:AO31 A13:AO22">
    <cfRule type="expression" dxfId="2189" priority="101">
      <formula>OR(ISNUMBER(SEARCH("PPP 1",A4)),ISNUMBER(SEARCH("PPP 2",A4)))</formula>
    </cfRule>
    <cfRule type="expression" dxfId="2188" priority="102">
      <formula>ISNUMBER(SEARCH("FORM",A4))</formula>
    </cfRule>
    <cfRule type="expression" dxfId="2187" priority="103">
      <formula>ISNUMBER(SEARCH("ASA",A4))</formula>
    </cfRule>
    <cfRule type="expression" dxfId="2186" priority="104">
      <formula>OR(ISNUMBER(SEARCH("ATM",A4)),ISNUMBER(SEARCH("ATA",A4)))</formula>
    </cfRule>
    <cfRule type="expression" dxfId="2185" priority="105">
      <formula>ISNUMBER(SEARCH("TP",A4))</formula>
    </cfRule>
    <cfRule type="expression" dxfId="2184" priority="106">
      <formula>ISNUMBER(SEARCH("CSE",A4))</formula>
    </cfRule>
    <cfRule type="expression" dxfId="2183" priority="107">
      <formula>ISNUMBER(SEARCH("JOK",A4))</formula>
    </cfRule>
  </conditionalFormatting>
  <conditionalFormatting sqref="A4:AO4 B5:AO5 A6:AO7 D8:AO8 A9:AO11 A12:AG12 AI12:AO12 F23:AO28 A29:Z29 AB29:AO29 A30:AO31 A8:B8 A23:A28 A13:AO22">
    <cfRule type="expression" dxfId="2182" priority="100">
      <formula>ISNUMBER(SEARCH("JOK",A4))</formula>
    </cfRule>
  </conditionalFormatting>
  <conditionalFormatting sqref="B8 D8:E8 B9:E22">
    <cfRule type="expression" dxfId="2181" priority="199">
      <formula>ISNUMBER(SEARCH("MRP",$B8))</formula>
    </cfRule>
  </conditionalFormatting>
  <conditionalFormatting sqref="B23:E28">
    <cfRule type="expression" dxfId="2180" priority="96">
      <formula>ISNUMBER(SEARCH("MRP",$B23))</formula>
    </cfRule>
  </conditionalFormatting>
  <conditionalFormatting sqref="F25:AH28 F29:Z29 N6:N24 O8:AH11 F8:M24 AM21:AO24 AI23:AL24 O13:AH24">
    <cfRule type="expression" dxfId="2179" priority="242">
      <formula>ISNUMBER(SEARCH("JOK",F6))</formula>
    </cfRule>
  </conditionalFormatting>
  <conditionalFormatting sqref="G27:K27">
    <cfRule type="expression" dxfId="2178" priority="257">
      <formula>OR(ISNUMBER(SEARCH("PPP 1",G27)),ISNUMBER(SEARCH("PPP 2",G27)))</formula>
    </cfRule>
    <cfRule type="expression" dxfId="2177" priority="258">
      <formula>ISNUMBER(SEARCH("FORM",G27))</formula>
    </cfRule>
    <cfRule type="expression" dxfId="2176" priority="259">
      <formula>ISNUMBER(SEARCH("ASA",G27))</formula>
    </cfRule>
    <cfRule type="expression" dxfId="2175" priority="260">
      <formula>OR(ISNUMBER(SEARCH("ATM",G27)),ISNUMBER(SEARCH("ATA",G27)))</formula>
    </cfRule>
    <cfRule type="expression" dxfId="2174" priority="261">
      <formula>ISNUMBER(SEARCH("TP",G27))</formula>
    </cfRule>
    <cfRule type="expression" dxfId="2173" priority="262">
      <formula>ISNUMBER(SEARCH("CSE",G27))</formula>
    </cfRule>
    <cfRule type="expression" dxfId="2172" priority="263">
      <formula>OR(ISNUMBER(SEARCH("CA",G27)),ISNUMBER(SEARCH("RC",G27)))</formula>
    </cfRule>
  </conditionalFormatting>
  <conditionalFormatting sqref="G25:AH28 N6:N24 O8:AH11 F8:M24 O12:AG12 AM21:AO24 AI23:AL24 L29:M29 S29:T29 O13:AH24">
    <cfRule type="expression" dxfId="2171" priority="270">
      <formula>OR(ISNUMBER(SEARCH("PPP 1",F6)),ISNUMBER(SEARCH("PPP 2",F6)))</formula>
    </cfRule>
  </conditionalFormatting>
  <conditionalFormatting sqref="G4:AO11 G12:AG12 AI12:AO12 G29:Z29 AB29:AO29 G30:AO31 G13:AO28">
    <cfRule type="expression" dxfId="2170" priority="98">
      <formula>OR(ISNUMBER(SEARCH("CA",G4)),ISNUMBER(SEARCH("RC",G4)))</formula>
    </cfRule>
  </conditionalFormatting>
  <conditionalFormatting sqref="G4:AO11 G12:AG12 AI12:AO12 G29:Z29 AB29:AO29 G30:AO31 G13:AO28">
    <cfRule type="expression" dxfId="2169" priority="97">
      <formula>ISNUMBER(SEARCH("CA/RC ?",G4))</formula>
    </cfRule>
  </conditionalFormatting>
  <conditionalFormatting sqref="G40:AO40">
    <cfRule type="iconSet" priority="99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L7">
    <cfRule type="expression" dxfId="2168" priority="108">
      <formula>OR(ISNUMBER(SEARCH("PPP 1",L7)),ISNUMBER(SEARCH("PPP 2",L7)))</formula>
    </cfRule>
    <cfRule type="expression" dxfId="2167" priority="109">
      <formula>ISNUMBER(SEARCH("FORM",L7))</formula>
    </cfRule>
    <cfRule type="expression" dxfId="2166" priority="110">
      <formula>ISNUMBER(SEARCH("ASA",L7))</formula>
    </cfRule>
    <cfRule type="expression" dxfId="2165" priority="111">
      <formula>OR(ISNUMBER(SEARCH("ATM",L7)),ISNUMBER(SEARCH("ATA",L7)))</formula>
    </cfRule>
    <cfRule type="expression" dxfId="2164" priority="112">
      <formula>ISNUMBER(SEARCH("TP",L7))</formula>
    </cfRule>
    <cfRule type="expression" dxfId="2163" priority="113">
      <formula>ISNUMBER(SEARCH("CSE",L7))</formula>
    </cfRule>
    <cfRule type="expression" dxfId="2162" priority="114">
      <formula>OR(ISNUMBER(SEARCH("CA",L7)),ISNUMBER(SEARCH("RC",L7)))</formula>
    </cfRule>
    <cfRule type="expression" dxfId="2161" priority="115">
      <formula>OR(ISNUMBER(SEARCH("PPP 1",L7)),ISNUMBER(SEARCH("PPP 2",L7)))</formula>
    </cfRule>
    <cfRule type="expression" dxfId="2160" priority="116">
      <formula>ISNUMBER(SEARCH("FORM",L7))</formula>
    </cfRule>
    <cfRule type="expression" dxfId="2159" priority="117">
      <formula>ISNUMBER(SEARCH("ASA",L7))</formula>
    </cfRule>
    <cfRule type="expression" dxfId="2158" priority="118">
      <formula>OR(ISNUMBER(SEARCH("ATM",L7)),ISNUMBER(SEARCH("ATA",L7)))</formula>
    </cfRule>
    <cfRule type="expression" dxfId="2157" priority="119">
      <formula>ISNUMBER(SEARCH("TP",L7))</formula>
    </cfRule>
    <cfRule type="expression" dxfId="2156" priority="120">
      <formula>ISNUMBER(SEARCH("CSE",L7))</formula>
    </cfRule>
    <cfRule type="expression" dxfId="2155" priority="121">
      <formula>OR(ISNUMBER(SEARCH("CA",L7)),ISNUMBER(SEARCH("RC",L7)))</formula>
    </cfRule>
  </conditionalFormatting>
  <conditionalFormatting sqref="L25:M25 L29:M29">
    <cfRule type="expression" dxfId="2154" priority="129">
      <formula>OR(ISNUMBER(SEARCH("PPP 1",L25)),ISNUMBER(SEARCH("PPP 2",L25)))</formula>
    </cfRule>
    <cfRule type="expression" dxfId="2153" priority="130">
      <formula>ISNUMBER(SEARCH("FORM",L25))</formula>
    </cfRule>
    <cfRule type="expression" dxfId="2152" priority="131">
      <formula>ISNUMBER(SEARCH("ASA",L25))</formula>
    </cfRule>
    <cfRule type="expression" dxfId="2151" priority="132">
      <formula>OR(ISNUMBER(SEARCH("ATM",L25)),ISNUMBER(SEARCH("ATA",L25)))</formula>
    </cfRule>
    <cfRule type="expression" dxfId="2150" priority="133">
      <formula>ISNUMBER(SEARCH("TP",L25))</formula>
    </cfRule>
    <cfRule type="expression" dxfId="2149" priority="134">
      <formula>ISNUMBER(SEARCH("CSE",L25))</formula>
    </cfRule>
    <cfRule type="expression" dxfId="2148" priority="135">
      <formula>OR(ISNUMBER(SEARCH("CA",L25)),ISNUMBER(SEARCH("RC",L25)))</formula>
    </cfRule>
  </conditionalFormatting>
  <conditionalFormatting sqref="L27:M27">
    <cfRule type="expression" dxfId="2147" priority="178">
      <formula>OR(ISNUMBER(SEARCH("PPP 1",L27)),ISNUMBER(SEARCH("PPP 2",L27)))</formula>
    </cfRule>
    <cfRule type="expression" dxfId="2146" priority="179">
      <formula>ISNUMBER(SEARCH("FORM",L27))</formula>
    </cfRule>
    <cfRule type="expression" dxfId="2145" priority="180">
      <formula>ISNUMBER(SEARCH("ASA",L27))</formula>
    </cfRule>
    <cfRule type="expression" dxfId="2144" priority="181">
      <formula>OR(ISNUMBER(SEARCH("ATM",L27)),ISNUMBER(SEARCH("ATA",L27)))</formula>
    </cfRule>
    <cfRule type="expression" dxfId="2143" priority="182">
      <formula>ISNUMBER(SEARCH("TP",L27))</formula>
    </cfRule>
    <cfRule type="expression" dxfId="2142" priority="183">
      <formula>ISNUMBER(SEARCH("CSE",L27))</formula>
    </cfRule>
    <cfRule type="expression" dxfId="2141" priority="184">
      <formula>OR(ISNUMBER(SEARCH("CA",L27)),ISNUMBER(SEARCH("RC",L27)))</formula>
    </cfRule>
  </conditionalFormatting>
  <conditionalFormatting sqref="L28:M28">
    <cfRule type="expression" dxfId="2140" priority="143">
      <formula>OR(ISNUMBER(SEARCH("PPP 1",L28)),ISNUMBER(SEARCH("PPP 2",L28)))</formula>
    </cfRule>
    <cfRule type="expression" dxfId="2139" priority="144">
      <formula>ISNUMBER(SEARCH("FORM",L28))</formula>
    </cfRule>
    <cfRule type="expression" dxfId="2138" priority="145">
      <formula>ISNUMBER(SEARCH("ASA",L28))</formula>
    </cfRule>
    <cfRule type="expression" dxfId="2137" priority="146">
      <formula>OR(ISNUMBER(SEARCH("ATM",L28)),ISNUMBER(SEARCH("ATA",L28)))</formula>
    </cfRule>
    <cfRule type="expression" dxfId="2136" priority="147">
      <formula>ISNUMBER(SEARCH("TP",L28))</formula>
    </cfRule>
    <cfRule type="expression" dxfId="2135" priority="148">
      <formula>ISNUMBER(SEARCH("CSE",L28))</formula>
    </cfRule>
    <cfRule type="expression" dxfId="2134" priority="149">
      <formula>OR(ISNUMBER(SEARCH("CA",L28)),ISNUMBER(SEARCH("RC",L28)))</formula>
    </cfRule>
  </conditionalFormatting>
  <conditionalFormatting sqref="L25:R25">
    <cfRule type="expression" dxfId="2133" priority="235">
      <formula>OR(ISNUMBER(SEARCH("PPP 1",L25)),ISNUMBER(SEARCH("PPP 2",L25)))</formula>
    </cfRule>
    <cfRule type="expression" dxfId="2132" priority="236">
      <formula>ISNUMBER(SEARCH("FORM",L25))</formula>
    </cfRule>
    <cfRule type="expression" dxfId="2131" priority="237">
      <formula>ISNUMBER(SEARCH("ASA",L25))</formula>
    </cfRule>
    <cfRule type="expression" dxfId="2130" priority="238">
      <formula>OR(ISNUMBER(SEARCH("ATM",L25)),ISNUMBER(SEARCH("ATA",L25)))</formula>
    </cfRule>
    <cfRule type="expression" dxfId="2129" priority="239">
      <formula>ISNUMBER(SEARCH("TP",L25))</formula>
    </cfRule>
    <cfRule type="expression" dxfId="2128" priority="240">
      <formula>ISNUMBER(SEARCH("CSE",L25))</formula>
    </cfRule>
    <cfRule type="expression" dxfId="2127" priority="241">
      <formula>OR(ISNUMBER(SEARCH("CA",L25)),ISNUMBER(SEARCH("RC",L25)))</formula>
    </cfRule>
  </conditionalFormatting>
  <conditionalFormatting sqref="M25:M26 L26 M29">
    <cfRule type="expression" dxfId="2126" priority="122">
      <formula>OR(ISNUMBER(SEARCH("PPP 1",L25)),ISNUMBER(SEARCH("PPP 2",L25)))</formula>
    </cfRule>
    <cfRule type="expression" dxfId="2125" priority="123">
      <formula>ISNUMBER(SEARCH("FORM",L25))</formula>
    </cfRule>
    <cfRule type="expression" dxfId="2124" priority="124">
      <formula>ISNUMBER(SEARCH("ASA",L25))</formula>
    </cfRule>
    <cfRule type="expression" dxfId="2123" priority="125">
      <formula>OR(ISNUMBER(SEARCH("ATM",L25)),ISNUMBER(SEARCH("ATA",L25)))</formula>
    </cfRule>
    <cfRule type="expression" dxfId="2122" priority="126">
      <formula>ISNUMBER(SEARCH("TP",L25))</formula>
    </cfRule>
    <cfRule type="expression" dxfId="2121" priority="127">
      <formula>ISNUMBER(SEARCH("CSE",L25))</formula>
    </cfRule>
    <cfRule type="expression" dxfId="2120" priority="128">
      <formula>OR(ISNUMBER(SEARCH("CA",L25)),ISNUMBER(SEARCH("RC",L25)))</formula>
    </cfRule>
  </conditionalFormatting>
  <conditionalFormatting sqref="M25:M27 L26">
    <cfRule type="expression" dxfId="2119" priority="214">
      <formula>OR(ISNUMBER(SEARCH("PPP 1",L25)),ISNUMBER(SEARCH("PPP 2",L25)))</formula>
    </cfRule>
    <cfRule type="expression" dxfId="2118" priority="215">
      <formula>ISNUMBER(SEARCH("FORM",L25))</formula>
    </cfRule>
    <cfRule type="expression" dxfId="2117" priority="216">
      <formula>ISNUMBER(SEARCH("ASA",L25))</formula>
    </cfRule>
    <cfRule type="expression" dxfId="2116" priority="217">
      <formula>OR(ISNUMBER(SEARCH("ATM",L25)),ISNUMBER(SEARCH("ATA",L25)))</formula>
    </cfRule>
    <cfRule type="expression" dxfId="2115" priority="218">
      <formula>ISNUMBER(SEARCH("TP",L25))</formula>
    </cfRule>
    <cfRule type="expression" dxfId="2114" priority="219">
      <formula>ISNUMBER(SEARCH("CSE",L25))</formula>
    </cfRule>
    <cfRule type="expression" dxfId="2113" priority="220">
      <formula>OR(ISNUMBER(SEARCH("CA",L25)),ISNUMBER(SEARCH("RC",L25)))</formula>
    </cfRule>
  </conditionalFormatting>
  <conditionalFormatting sqref="M27:M28">
    <cfRule type="expression" dxfId="2112" priority="171">
      <formula>OR(ISNUMBER(SEARCH("PPP 1",M27)),ISNUMBER(SEARCH("PPP 2",M27)))</formula>
    </cfRule>
    <cfRule type="expression" dxfId="2111" priority="172">
      <formula>ISNUMBER(SEARCH("FORM",M27))</formula>
    </cfRule>
    <cfRule type="expression" dxfId="2110" priority="173">
      <formula>ISNUMBER(SEARCH("ASA",M27))</formula>
    </cfRule>
    <cfRule type="expression" dxfId="2109" priority="174">
      <formula>OR(ISNUMBER(SEARCH("ATM",M27)),ISNUMBER(SEARCH("ATA",M27)))</formula>
    </cfRule>
    <cfRule type="expression" dxfId="2108" priority="175">
      <formula>ISNUMBER(SEARCH("TP",M27))</formula>
    </cfRule>
    <cfRule type="expression" dxfId="2107" priority="176">
      <formula>ISNUMBER(SEARCH("CSE",M27))</formula>
    </cfRule>
    <cfRule type="expression" dxfId="2106" priority="177">
      <formula>OR(ISNUMBER(SEARCH("CA",M27)),ISNUMBER(SEARCH("RC",M27)))</formula>
    </cfRule>
  </conditionalFormatting>
  <conditionalFormatting sqref="M28:M29">
    <cfRule type="expression" dxfId="2105" priority="136">
      <formula>OR(ISNUMBER(SEARCH("PPP 1",M28)),ISNUMBER(SEARCH("PPP 2",M28)))</formula>
    </cfRule>
    <cfRule type="expression" dxfId="2104" priority="137">
      <formula>ISNUMBER(SEARCH("FORM",M28))</formula>
    </cfRule>
    <cfRule type="expression" dxfId="2103" priority="138">
      <formula>ISNUMBER(SEARCH("ASA",M28))</formula>
    </cfRule>
    <cfRule type="expression" dxfId="2102" priority="139">
      <formula>OR(ISNUMBER(SEARCH("ATM",M28)),ISNUMBER(SEARCH("ATA",M28)))</formula>
    </cfRule>
    <cfRule type="expression" dxfId="2101" priority="140">
      <formula>ISNUMBER(SEARCH("TP",M28))</formula>
    </cfRule>
    <cfRule type="expression" dxfId="2100" priority="141">
      <formula>ISNUMBER(SEARCH("CSE",M28))</formula>
    </cfRule>
    <cfRule type="expression" dxfId="2099" priority="142">
      <formula>OR(ISNUMBER(SEARCH("CA",M28)),ISNUMBER(SEARCH("RC",M28)))</formula>
    </cfRule>
  </conditionalFormatting>
  <conditionalFormatting sqref="N6:N24 O8:AH11 F8:M24 O12:AG12 AM21:AO24 AI23:AL24 F25:AH28 F29:Z29 AB29:AH29 F30:AH31 O13:AH24">
    <cfRule type="expression" dxfId="2098" priority="244">
      <formula>ISNUMBER(SEARCH("FORM",F6))</formula>
    </cfRule>
    <cfRule type="expression" dxfId="2097" priority="245">
      <formula>ISNUMBER(SEARCH("ASA",F6))</formula>
    </cfRule>
    <cfRule type="expression" dxfId="2096" priority="246">
      <formula>OR(ISNUMBER(SEARCH("ATM",F6)),ISNUMBER(SEARCH("ATA",F6)))</formula>
    </cfRule>
    <cfRule type="expression" dxfId="2095" priority="247">
      <formula>ISNUMBER(SEARCH("TP",F6))</formula>
    </cfRule>
    <cfRule type="expression" dxfId="2094" priority="248">
      <formula>ISNUMBER(SEARCH("CSE",F6))</formula>
    </cfRule>
    <cfRule type="expression" dxfId="2093" priority="249">
      <formula>OR(ISNUMBER(SEARCH("CA",F6)),ISNUMBER(SEARCH("RC",F6)))</formula>
    </cfRule>
  </conditionalFormatting>
  <conditionalFormatting sqref="N6:N24 O8:AH11 F8:M24 O12:AG12 AM21:AO24 AI23:AL24 G25:AH28 L29:M29 S29:T29 O13:AH24">
    <cfRule type="expression" dxfId="2092" priority="271">
      <formula>ISNUMBER(SEARCH("FORM",F6))</formula>
    </cfRule>
    <cfRule type="expression" dxfId="2091" priority="272">
      <formula>ISNUMBER(SEARCH("ASA",F6))</formula>
    </cfRule>
    <cfRule type="expression" dxfId="2090" priority="273">
      <formula>OR(ISNUMBER(SEARCH("ATM",F6)),ISNUMBER(SEARCH("ATA",F6)))</formula>
    </cfRule>
    <cfRule type="expression" dxfId="2089" priority="274">
      <formula>ISNUMBER(SEARCH("TP",F6))</formula>
    </cfRule>
    <cfRule type="expression" dxfId="2088" priority="275">
      <formula>ISNUMBER(SEARCH("CSE",F6))</formula>
    </cfRule>
    <cfRule type="expression" dxfId="2087" priority="276">
      <formula>OR(ISNUMBER(SEARCH("CA",F6)),ISNUMBER(SEARCH("RC",F6)))</formula>
    </cfRule>
  </conditionalFormatting>
  <conditionalFormatting sqref="N6:N24 O8:AH11 F8:M24 AM21:AO24 AI23:AL24 F25:AH28 F29:Z29 O12:AG12 AB29:AH29 F30:AH31 O13:AH24">
    <cfRule type="expression" dxfId="2086" priority="243">
      <formula>OR(ISNUMBER(SEARCH("PPP 1",F6)),ISNUMBER(SEARCH("PPP 2",F6)))</formula>
    </cfRule>
  </conditionalFormatting>
  <conditionalFormatting sqref="O26">
    <cfRule type="expression" dxfId="2085" priority="207">
      <formula>OR(ISNUMBER(SEARCH("PPP 1",O26)),ISNUMBER(SEARCH("PPP 2",O26)))</formula>
    </cfRule>
    <cfRule type="expression" dxfId="2084" priority="208">
      <formula>ISNUMBER(SEARCH("FORM",O26))</formula>
    </cfRule>
    <cfRule type="expression" dxfId="2083" priority="209">
      <formula>ISNUMBER(SEARCH("ASA",O26))</formula>
    </cfRule>
    <cfRule type="expression" dxfId="2082" priority="210">
      <formula>OR(ISNUMBER(SEARCH("ATM",O26)),ISNUMBER(SEARCH("ATA",O26)))</formula>
    </cfRule>
    <cfRule type="expression" dxfId="2081" priority="211">
      <formula>ISNUMBER(SEARCH("TP",O26))</formula>
    </cfRule>
    <cfRule type="expression" dxfId="2080" priority="212">
      <formula>ISNUMBER(SEARCH("CSE",O26))</formula>
    </cfRule>
    <cfRule type="expression" dxfId="2079" priority="213">
      <formula>OR(ISNUMBER(SEARCH("CA",O26)),ISNUMBER(SEARCH("RC",O26)))</formula>
    </cfRule>
  </conditionalFormatting>
  <conditionalFormatting sqref="O8:R8">
    <cfRule type="expression" dxfId="2078" priority="17">
      <formula>OR(ISNUMBER(SEARCH("PPP 1",O8)),ISNUMBER(SEARCH("PPP 2",O8)))</formula>
    </cfRule>
    <cfRule type="expression" dxfId="2077" priority="18">
      <formula>ISNUMBER(SEARCH("FORM",O8))</formula>
    </cfRule>
    <cfRule type="expression" dxfId="2076" priority="19">
      <formula>ISNUMBER(SEARCH("ASA",O8))</formula>
    </cfRule>
    <cfRule type="expression" dxfId="2075" priority="20">
      <formula>OR(ISNUMBER(SEARCH("ATM",O8)),ISNUMBER(SEARCH("ATA",O8)))</formula>
    </cfRule>
    <cfRule type="expression" dxfId="2074" priority="21">
      <formula>ISNUMBER(SEARCH("TP",O8))</formula>
    </cfRule>
    <cfRule type="expression" dxfId="2073" priority="22">
      <formula>ISNUMBER(SEARCH("CSE",O8))</formula>
    </cfRule>
    <cfRule type="expression" dxfId="2072" priority="23">
      <formula>OR(ISNUMBER(SEARCH("CA",O8)),ISNUMBER(SEARCH("RC",O8)))</formula>
    </cfRule>
  </conditionalFormatting>
  <conditionalFormatting sqref="S27:T27">
    <cfRule type="expression" dxfId="2071" priority="192">
      <formula>OR(ISNUMBER(SEARCH("PPP 1",S27)),ISNUMBER(SEARCH("PPP 2",S27)))</formula>
    </cfRule>
    <cfRule type="expression" dxfId="2070" priority="193">
      <formula>ISNUMBER(SEARCH("FORM",S27))</formula>
    </cfRule>
    <cfRule type="expression" dxfId="2069" priority="194">
      <formula>ISNUMBER(SEARCH("ASA",S27))</formula>
    </cfRule>
    <cfRule type="expression" dxfId="2068" priority="195">
      <formula>OR(ISNUMBER(SEARCH("ATM",S27)),ISNUMBER(SEARCH("ATA",S27)))</formula>
    </cfRule>
    <cfRule type="expression" dxfId="2067" priority="196">
      <formula>ISNUMBER(SEARCH("TP",S27))</formula>
    </cfRule>
    <cfRule type="expression" dxfId="2066" priority="197">
      <formula>ISNUMBER(SEARCH("CSE",S27))</formula>
    </cfRule>
    <cfRule type="expression" dxfId="2065" priority="198">
      <formula>OR(ISNUMBER(SEARCH("CA",S27)),ISNUMBER(SEARCH("RC",S27)))</formula>
    </cfRule>
  </conditionalFormatting>
  <conditionalFormatting sqref="S28:T28">
    <cfRule type="expression" dxfId="2064" priority="164">
      <formula>OR(ISNUMBER(SEARCH("PPP 1",S28)),ISNUMBER(SEARCH("PPP 2",S28)))</formula>
    </cfRule>
    <cfRule type="expression" dxfId="2063" priority="165">
      <formula>ISNUMBER(SEARCH("FORM",S28))</formula>
    </cfRule>
    <cfRule type="expression" dxfId="2062" priority="166">
      <formula>ISNUMBER(SEARCH("ASA",S28))</formula>
    </cfRule>
    <cfRule type="expression" dxfId="2061" priority="167">
      <formula>OR(ISNUMBER(SEARCH("ATM",S28)),ISNUMBER(SEARCH("ATA",S28)))</formula>
    </cfRule>
    <cfRule type="expression" dxfId="2060" priority="168">
      <formula>ISNUMBER(SEARCH("TP",S28))</formula>
    </cfRule>
    <cfRule type="expression" dxfId="2059" priority="169">
      <formula>ISNUMBER(SEARCH("CSE",S28))</formula>
    </cfRule>
    <cfRule type="expression" dxfId="2058" priority="170">
      <formula>OR(ISNUMBER(SEARCH("CA",S28)),ISNUMBER(SEARCH("RC",S28)))</formula>
    </cfRule>
  </conditionalFormatting>
  <conditionalFormatting sqref="T25">
    <cfRule type="expression" dxfId="2057" priority="157">
      <formula>OR(ISNUMBER(SEARCH("PPP 1",T25)),ISNUMBER(SEARCH("PPP 2",T25)))</formula>
    </cfRule>
    <cfRule type="expression" dxfId="2056" priority="158">
      <formula>ISNUMBER(SEARCH("FORM",T25))</formula>
    </cfRule>
    <cfRule type="expression" dxfId="2055" priority="159">
      <formula>ISNUMBER(SEARCH("ASA",T25))</formula>
    </cfRule>
    <cfRule type="expression" dxfId="2054" priority="160">
      <formula>OR(ISNUMBER(SEARCH("ATM",T25)),ISNUMBER(SEARCH("ATA",T25)))</formula>
    </cfRule>
    <cfRule type="expression" dxfId="2053" priority="161">
      <formula>ISNUMBER(SEARCH("TP",T25))</formula>
    </cfRule>
    <cfRule type="expression" dxfId="2052" priority="162">
      <formula>ISNUMBER(SEARCH("CSE",T25))</formula>
    </cfRule>
    <cfRule type="expression" dxfId="2051" priority="163">
      <formula>OR(ISNUMBER(SEARCH("CA",T25)),ISNUMBER(SEARCH("RC",T25)))</formula>
    </cfRule>
  </conditionalFormatting>
  <conditionalFormatting sqref="T27:T28">
    <cfRule type="expression" dxfId="2050" priority="185">
      <formula>OR(ISNUMBER(SEARCH("PPP 1",T27)),ISNUMBER(SEARCH("PPP 2",T27)))</formula>
    </cfRule>
    <cfRule type="expression" dxfId="2049" priority="186">
      <formula>ISNUMBER(SEARCH("FORM",T27))</formula>
    </cfRule>
    <cfRule type="expression" dxfId="2048" priority="187">
      <formula>ISNUMBER(SEARCH("ASA",T27))</formula>
    </cfRule>
    <cfRule type="expression" dxfId="2047" priority="188">
      <formula>OR(ISNUMBER(SEARCH("ATM",T27)),ISNUMBER(SEARCH("ATA",T27)))</formula>
    </cfRule>
    <cfRule type="expression" dxfId="2046" priority="189">
      <formula>ISNUMBER(SEARCH("TP",T27))</formula>
    </cfRule>
    <cfRule type="expression" dxfId="2045" priority="190">
      <formula>ISNUMBER(SEARCH("CSE",T27))</formula>
    </cfRule>
    <cfRule type="expression" dxfId="2044" priority="191">
      <formula>OR(ISNUMBER(SEARCH("CA",T27)),ISNUMBER(SEARCH("RC",T27)))</formula>
    </cfRule>
  </conditionalFormatting>
  <conditionalFormatting sqref="T28:T29">
    <cfRule type="expression" dxfId="2043" priority="150">
      <formula>OR(ISNUMBER(SEARCH("PPP 1",T28)),ISNUMBER(SEARCH("PPP 2",T28)))</formula>
    </cfRule>
    <cfRule type="expression" dxfId="2042" priority="151">
      <formula>ISNUMBER(SEARCH("FORM",T28))</formula>
    </cfRule>
    <cfRule type="expression" dxfId="2041" priority="152">
      <formula>ISNUMBER(SEARCH("ASA",T28))</formula>
    </cfRule>
    <cfRule type="expression" dxfId="2040" priority="153">
      <formula>OR(ISNUMBER(SEARCH("ATM",T28)),ISNUMBER(SEARCH("ATA",T28)))</formula>
    </cfRule>
    <cfRule type="expression" dxfId="2039" priority="154">
      <formula>ISNUMBER(SEARCH("TP",T28))</formula>
    </cfRule>
    <cfRule type="expression" dxfId="2038" priority="155">
      <formula>ISNUMBER(SEARCH("CSE",T28))</formula>
    </cfRule>
    <cfRule type="expression" dxfId="2037" priority="156">
      <formula>OR(ISNUMBER(SEARCH("CA",T28)),ISNUMBER(SEARCH("RC",T28)))</formula>
    </cfRule>
  </conditionalFormatting>
  <conditionalFormatting sqref="V23:Y23">
    <cfRule type="expression" dxfId="2036" priority="67">
      <formula>OR(ISNUMBER(SEARCH("PPP 1",V23)),ISNUMBER(SEARCH("PPP 2",V23)))</formula>
    </cfRule>
    <cfRule type="expression" dxfId="2035" priority="68">
      <formula>ISNUMBER(SEARCH("FORM",V23))</formula>
    </cfRule>
    <cfRule type="expression" dxfId="2034" priority="69">
      <formula>ISNUMBER(SEARCH("ASA",V23))</formula>
    </cfRule>
    <cfRule type="expression" dxfId="2033" priority="70">
      <formula>OR(ISNUMBER(SEARCH("ATM",V23)),ISNUMBER(SEARCH("ATA",V23)))</formula>
    </cfRule>
    <cfRule type="expression" dxfId="2032" priority="71">
      <formula>ISNUMBER(SEARCH("TP",V23))</formula>
    </cfRule>
    <cfRule type="expression" dxfId="2031" priority="72">
      <formula>ISNUMBER(SEARCH("CSE",V23))</formula>
    </cfRule>
    <cfRule type="expression" dxfId="2030" priority="73">
      <formula>OR(ISNUMBER(SEARCH("CA",V23)),ISNUMBER(SEARCH("RC",V23)))</formula>
    </cfRule>
  </conditionalFormatting>
  <conditionalFormatting sqref="Z25:AA25">
    <cfRule type="expression" dxfId="2029" priority="228">
      <formula>OR(ISNUMBER(SEARCH("PPP 1",Z25)),ISNUMBER(SEARCH("PPP 2",Z25)))</formula>
    </cfRule>
    <cfRule type="expression" dxfId="2028" priority="229">
      <formula>ISNUMBER(SEARCH("FORM",Z25))</formula>
    </cfRule>
    <cfRule type="expression" dxfId="2027" priority="230">
      <formula>ISNUMBER(SEARCH("ASA",Z25))</formula>
    </cfRule>
    <cfRule type="expression" dxfId="2026" priority="231">
      <formula>OR(ISNUMBER(SEARCH("ATM",Z25)),ISNUMBER(SEARCH("ATA",Z25)))</formula>
    </cfRule>
    <cfRule type="expression" dxfId="2025" priority="232">
      <formula>ISNUMBER(SEARCH("TP",Z25))</formula>
    </cfRule>
    <cfRule type="expression" dxfId="2024" priority="233">
      <formula>ISNUMBER(SEARCH("CSE",Z25))</formula>
    </cfRule>
    <cfRule type="expression" dxfId="2023" priority="234">
      <formula>OR(ISNUMBER(SEARCH("CA",Z25)),ISNUMBER(SEARCH("RC",Z25)))</formula>
    </cfRule>
  </conditionalFormatting>
  <conditionalFormatting sqref="AA25:AA26">
    <cfRule type="expression" dxfId="2022" priority="221">
      <formula>OR(ISNUMBER(SEARCH("PPP 1",AA25)),ISNUMBER(SEARCH("PPP 2",AA25)))</formula>
    </cfRule>
    <cfRule type="expression" dxfId="2021" priority="222">
      <formula>ISNUMBER(SEARCH("FORM",AA25))</formula>
    </cfRule>
    <cfRule type="expression" dxfId="2020" priority="223">
      <formula>ISNUMBER(SEARCH("ASA",AA25))</formula>
    </cfRule>
    <cfRule type="expression" dxfId="2019" priority="224">
      <formula>OR(ISNUMBER(SEARCH("ATM",AA25)),ISNUMBER(SEARCH("ATA",AA25)))</formula>
    </cfRule>
    <cfRule type="expression" dxfId="2018" priority="225">
      <formula>ISNUMBER(SEARCH("TP",AA25))</formula>
    </cfRule>
    <cfRule type="expression" dxfId="2017" priority="226">
      <formula>ISNUMBER(SEARCH("CSE",AA25))</formula>
    </cfRule>
    <cfRule type="expression" dxfId="2016" priority="227">
      <formula>OR(ISNUMBER(SEARCH("CA",AA25)),ISNUMBER(SEARCH("RC",AA25)))</formula>
    </cfRule>
  </conditionalFormatting>
  <conditionalFormatting sqref="AB25:AC25">
    <cfRule type="expression" dxfId="2015" priority="264">
      <formula>OR(ISNUMBER(SEARCH("PPP 1",AB25)),ISNUMBER(SEARCH("PPP 2",AB25)))</formula>
    </cfRule>
    <cfRule type="expression" dxfId="2014" priority="265">
      <formula>ISNUMBER(SEARCH("ASA",AB25))</formula>
    </cfRule>
    <cfRule type="expression" dxfId="2013" priority="266">
      <formula>OR(ISNUMBER(SEARCH("ATM",AB25)),ISNUMBER(SEARCH("ATA",AB25)))</formula>
    </cfRule>
    <cfRule type="expression" dxfId="2012" priority="267">
      <formula>ISNUMBER(SEARCH("TP",AB25))</formula>
    </cfRule>
    <cfRule type="expression" dxfId="2011" priority="268">
      <formula>ISNUMBER(SEARCH("CSE",AB25))</formula>
    </cfRule>
    <cfRule type="expression" dxfId="2010" priority="269">
      <formula>OR(ISNUMBER(SEARCH("CA",AB25)),ISNUMBER(SEARCH("RC",AB25)))</formula>
    </cfRule>
  </conditionalFormatting>
  <conditionalFormatting sqref="AB27:AE27">
    <cfRule type="expression" dxfId="2009" priority="200">
      <formula>OR(ISNUMBER(SEARCH("PPP 1",AB27)),ISNUMBER(SEARCH("PPP 2",AB27)))</formula>
    </cfRule>
    <cfRule type="expression" dxfId="2008" priority="201">
      <formula>ISNUMBER(SEARCH("FORM",AB27))</formula>
    </cfRule>
    <cfRule type="expression" dxfId="2007" priority="202">
      <formula>ISNUMBER(SEARCH("ASA",AB27))</formula>
    </cfRule>
    <cfRule type="expression" dxfId="2006" priority="203">
      <formula>OR(ISNUMBER(SEARCH("ATM",AB27)),ISNUMBER(SEARCH("ATA",AB27)))</formula>
    </cfRule>
    <cfRule type="expression" dxfId="2005" priority="204">
      <formula>ISNUMBER(SEARCH("TP",AB27))</formula>
    </cfRule>
    <cfRule type="expression" dxfId="2004" priority="205">
      <formula>ISNUMBER(SEARCH("CSE",AB27))</formula>
    </cfRule>
    <cfRule type="expression" dxfId="2003" priority="206">
      <formula>OR(ISNUMBER(SEARCH("CA",AB27)),ISNUMBER(SEARCH("RC",AB27)))</formula>
    </cfRule>
  </conditionalFormatting>
  <conditionalFormatting sqref="AD27:AF27">
    <cfRule type="expression" dxfId="2002" priority="250">
      <formula>OR(ISNUMBER(SEARCH("PPP 1",AD27)),ISNUMBER(SEARCH("PPP 2",AD27)))</formula>
    </cfRule>
    <cfRule type="expression" dxfId="2001" priority="251">
      <formula>ISNUMBER(SEARCH("FORM",AD27))</formula>
    </cfRule>
    <cfRule type="expression" dxfId="2000" priority="252">
      <formula>ISNUMBER(SEARCH("ASA",AD27))</formula>
    </cfRule>
    <cfRule type="expression" dxfId="1999" priority="253">
      <formula>OR(ISNUMBER(SEARCH("ATM",AD27)),ISNUMBER(SEARCH("ATA",AD27)))</formula>
    </cfRule>
    <cfRule type="expression" dxfId="1998" priority="254">
      <formula>ISNUMBER(SEARCH("TP",AD27))</formula>
    </cfRule>
    <cfRule type="expression" dxfId="1997" priority="255">
      <formula>ISNUMBER(SEARCH("CSE",AD27))</formula>
    </cfRule>
    <cfRule type="expression" dxfId="1996" priority="256">
      <formula>OR(ISNUMBER(SEARCH("CA",AD27)),ISNUMBER(SEARCH("RC",AD27)))</formula>
    </cfRule>
  </conditionalFormatting>
  <conditionalFormatting sqref="AE27">
    <cfRule type="expression" dxfId="1995" priority="74">
      <formula>OR(ISNUMBER(SEARCH("PPP 1",AE27)),ISNUMBER(SEARCH("PPP 2",AE27)))</formula>
    </cfRule>
    <cfRule type="expression" dxfId="1994" priority="75">
      <formula>ISNUMBER(SEARCH("FORM",AE27))</formula>
    </cfRule>
    <cfRule type="expression" dxfId="1993" priority="76">
      <formula>ISNUMBER(SEARCH("ASA",AE27))</formula>
    </cfRule>
    <cfRule type="expression" dxfId="1992" priority="77">
      <formula>OR(ISNUMBER(SEARCH("ATM",AE27)),ISNUMBER(SEARCH("ATA",AE27)))</formula>
    </cfRule>
    <cfRule type="expression" dxfId="1991" priority="78">
      <formula>ISNUMBER(SEARCH("TP",AE27))</formula>
    </cfRule>
    <cfRule type="expression" dxfId="1990" priority="79">
      <formula>ISNUMBER(SEARCH("CSE",AE27))</formula>
    </cfRule>
    <cfRule type="expression" dxfId="1989" priority="80">
      <formula>OR(ISNUMBER(SEARCH("CA",AE27)),ISNUMBER(SEARCH("RC",AE27)))</formula>
    </cfRule>
  </conditionalFormatting>
  <conditionalFormatting sqref="AN25">
    <cfRule type="expression" dxfId="1988" priority="24">
      <formula>OR(ISNUMBER(SEARCH("PPP 1",AN25)),ISNUMBER(SEARCH("PPP 2",AN25)))</formula>
    </cfRule>
    <cfRule type="expression" dxfId="1987" priority="25">
      <formula>ISNUMBER(SEARCH("FORM",AN25))</formula>
    </cfRule>
    <cfRule type="expression" dxfId="1986" priority="26">
      <formula>ISNUMBER(SEARCH("ASA",AN25))</formula>
    </cfRule>
    <cfRule type="expression" dxfId="1985" priority="27">
      <formula>OR(ISNUMBER(SEARCH("ATM",AN25)),ISNUMBER(SEARCH("ATA",AN25)))</formula>
    </cfRule>
    <cfRule type="expression" dxfId="1984" priority="28">
      <formula>ISNUMBER(SEARCH("TP",AN25))</formula>
    </cfRule>
    <cfRule type="expression" dxfId="1983" priority="29">
      <formula>ISNUMBER(SEARCH("CSE",AN25))</formula>
    </cfRule>
    <cfRule type="expression" dxfId="1982" priority="30">
      <formula>OR(ISNUMBER(SEARCH("CA",AN25)),ISNUMBER(SEARCH("RC",AN25)))</formula>
    </cfRule>
    <cfRule type="expression" dxfId="1981" priority="31">
      <formula>OR(ISNUMBER(SEARCH("PPP 1",AN25)),ISNUMBER(SEARCH("PPP 2",AN25)))</formula>
    </cfRule>
    <cfRule type="expression" dxfId="1980" priority="32">
      <formula>ISNUMBER(SEARCH("FORM",AN25))</formula>
    </cfRule>
    <cfRule type="expression" dxfId="1979" priority="33">
      <formula>ISNUMBER(SEARCH("ASA",AN25))</formula>
    </cfRule>
    <cfRule type="expression" dxfId="1978" priority="34">
      <formula>OR(ISNUMBER(SEARCH("ATM",AN25)),ISNUMBER(SEARCH("ATA",AN25)))</formula>
    </cfRule>
    <cfRule type="expression" dxfId="1977" priority="35">
      <formula>ISNUMBER(SEARCH("TP",AN25))</formula>
    </cfRule>
    <cfRule type="expression" dxfId="1976" priority="36">
      <formula>ISNUMBER(SEARCH("CSE",AN25))</formula>
    </cfRule>
    <cfRule type="expression" dxfId="1975" priority="37">
      <formula>OR(ISNUMBER(SEARCH("CA",AN25)),ISNUMBER(SEARCH("RC",AN25)))</formula>
    </cfRule>
    <cfRule type="expression" dxfId="1974" priority="38">
      <formula>ISNUMBER(SEARCH("JOK",AN25))</formula>
    </cfRule>
    <cfRule type="expression" dxfId="1973" priority="39">
      <formula>OR(ISNUMBER(SEARCH("PPP 1",AN25)),ISNUMBER(SEARCH("PPP 2",AN25)))</formula>
    </cfRule>
    <cfRule type="expression" dxfId="1972" priority="40">
      <formula>ISNUMBER(SEARCH("FORM",AN25))</formula>
    </cfRule>
    <cfRule type="expression" dxfId="1971" priority="41">
      <formula>ISNUMBER(SEARCH("ASA",AN25))</formula>
    </cfRule>
    <cfRule type="expression" dxfId="1970" priority="42">
      <formula>OR(ISNUMBER(SEARCH("ATM",AN25)),ISNUMBER(SEARCH("ATA",AN25)))</formula>
    </cfRule>
    <cfRule type="expression" dxfId="1969" priority="43">
      <formula>ISNUMBER(SEARCH("TP",AN25))</formula>
    </cfRule>
    <cfRule type="expression" dxfId="1968" priority="44">
      <formula>ISNUMBER(SEARCH("CSE",AN25))</formula>
    </cfRule>
    <cfRule type="expression" dxfId="1967" priority="45">
      <formula>OR(ISNUMBER(SEARCH("CA",AN25)),ISNUMBER(SEARCH("RC",AN25)))</formula>
    </cfRule>
    <cfRule type="expression" dxfId="1966" priority="46">
      <formula>OR(ISNUMBER(SEARCH("PPP 1",AN25)),ISNUMBER(SEARCH("PPP 2",AN25)))</formula>
    </cfRule>
    <cfRule type="expression" dxfId="1965" priority="47">
      <formula>ISNUMBER(SEARCH("FORM",AN25))</formula>
    </cfRule>
    <cfRule type="expression" dxfId="1964" priority="48">
      <formula>ISNUMBER(SEARCH("ASA",AN25))</formula>
    </cfRule>
    <cfRule type="expression" dxfId="1963" priority="49">
      <formula>OR(ISNUMBER(SEARCH("ATM",AN25)),ISNUMBER(SEARCH("ATA",AN25)))</formula>
    </cfRule>
    <cfRule type="expression" dxfId="1962" priority="50">
      <formula>ISNUMBER(SEARCH("TP",AN25))</formula>
    </cfRule>
    <cfRule type="expression" dxfId="1961" priority="51">
      <formula>ISNUMBER(SEARCH("CSE",AN25))</formula>
    </cfRule>
    <cfRule type="expression" dxfId="1960" priority="52">
      <formula>OR(ISNUMBER(SEARCH("CA",AN25)),ISNUMBER(SEARCH("RC",AN25)))</formula>
    </cfRule>
    <cfRule type="expression" dxfId="1959" priority="53">
      <formula>OR(ISNUMBER(SEARCH("PPP 1",AN25)),ISNUMBER(SEARCH("PPP 2",AN25)))</formula>
    </cfRule>
    <cfRule type="expression" dxfId="1958" priority="54">
      <formula>ISNUMBER(SEARCH("FORM",AN25))</formula>
    </cfRule>
    <cfRule type="expression" dxfId="1957" priority="55">
      <formula>ISNUMBER(SEARCH("ASA",AN25))</formula>
    </cfRule>
    <cfRule type="expression" dxfId="1956" priority="56">
      <formula>OR(ISNUMBER(SEARCH("ATM",AN25)),ISNUMBER(SEARCH("ATA",AN25)))</formula>
    </cfRule>
    <cfRule type="expression" dxfId="1955" priority="57">
      <formula>ISNUMBER(SEARCH("TP",AN25))</formula>
    </cfRule>
    <cfRule type="expression" dxfId="1954" priority="58">
      <formula>ISNUMBER(SEARCH("CSE",AN25))</formula>
    </cfRule>
    <cfRule type="expression" dxfId="1953" priority="59">
      <formula>OR(ISNUMBER(SEARCH("CA",AN25)),ISNUMBER(SEARCH("RC",AN25)))</formula>
    </cfRule>
    <cfRule type="expression" dxfId="1952" priority="60">
      <formula>OR(ISNUMBER(SEARCH("PPP 1",AN25)),ISNUMBER(SEARCH("PPP 2",AN25)))</formula>
    </cfRule>
    <cfRule type="expression" dxfId="1951" priority="61">
      <formula>ISNUMBER(SEARCH("FORM",AN25))</formula>
    </cfRule>
    <cfRule type="expression" dxfId="1950" priority="62">
      <formula>ISNUMBER(SEARCH("ASA",AN25))</formula>
    </cfRule>
    <cfRule type="expression" dxfId="1949" priority="63">
      <formula>OR(ISNUMBER(SEARCH("ATM",AN25)),ISNUMBER(SEARCH("ATA",AN25)))</formula>
    </cfRule>
    <cfRule type="expression" dxfId="1948" priority="64">
      <formula>ISNUMBER(SEARCH("TP",AN25))</formula>
    </cfRule>
    <cfRule type="expression" dxfId="1947" priority="65">
      <formula>ISNUMBER(SEARCH("CSE",AN25))</formula>
    </cfRule>
    <cfRule type="expression" dxfId="1946" priority="66">
      <formula>OR(ISNUMBER(SEARCH("CA",AN25)),ISNUMBER(SEARCH("RC",AN25)))</formula>
    </cfRule>
  </conditionalFormatting>
  <conditionalFormatting sqref="AN25:AN27">
    <cfRule type="expression" dxfId="1945" priority="81">
      <formula>ISNUMBER(SEARCH("JOK",AN25))</formula>
    </cfRule>
    <cfRule type="expression" dxfId="1944" priority="82">
      <formula>OR(ISNUMBER(SEARCH("PPP 1",AN25)),ISNUMBER(SEARCH("PPP 2",AN25)))</formula>
    </cfRule>
    <cfRule type="expression" dxfId="1943" priority="83">
      <formula>ISNUMBER(SEARCH("FORM",AN25))</formula>
    </cfRule>
    <cfRule type="expression" dxfId="1942" priority="84">
      <formula>ISNUMBER(SEARCH("ASA",AN25))</formula>
    </cfRule>
    <cfRule type="expression" dxfId="1941" priority="85">
      <formula>OR(ISNUMBER(SEARCH("ATM",AN25)),ISNUMBER(SEARCH("ATA",AN25)))</formula>
    </cfRule>
    <cfRule type="expression" dxfId="1940" priority="86">
      <formula>ISNUMBER(SEARCH("TP",AN25))</formula>
    </cfRule>
    <cfRule type="expression" dxfId="1939" priority="87">
      <formula>ISNUMBER(SEARCH("CSE",AN25))</formula>
    </cfRule>
    <cfRule type="expression" dxfId="1938" priority="88">
      <formula>OR(ISNUMBER(SEARCH("CA",AN25)),ISNUMBER(SEARCH("RC",AN25)))</formula>
    </cfRule>
    <cfRule type="expression" dxfId="1937" priority="89">
      <formula>OR(ISNUMBER(SEARCH("PPP 1",AN25)),ISNUMBER(SEARCH("PPP 2",AN25)))</formula>
    </cfRule>
    <cfRule type="expression" dxfId="1936" priority="90">
      <formula>ISNUMBER(SEARCH("FORM",AN25))</formula>
    </cfRule>
    <cfRule type="expression" dxfId="1935" priority="91">
      <formula>ISNUMBER(SEARCH("ASA",AN25))</formula>
    </cfRule>
    <cfRule type="expression" dxfId="1934" priority="92">
      <formula>OR(ISNUMBER(SEARCH("ATM",AN25)),ISNUMBER(SEARCH("ATA",AN25)))</formula>
    </cfRule>
    <cfRule type="expression" dxfId="1933" priority="93">
      <formula>ISNUMBER(SEARCH("TP",AN25))</formula>
    </cfRule>
    <cfRule type="expression" dxfId="1932" priority="94">
      <formula>ISNUMBER(SEARCH("CSE",AN25))</formula>
    </cfRule>
    <cfRule type="expression" dxfId="1931" priority="95">
      <formula>OR(ISNUMBER(SEARCH("CA",AN25)),ISNUMBER(SEARCH("RC",AN25)))</formula>
    </cfRule>
  </conditionalFormatting>
  <conditionalFormatting sqref="AI19:AL19">
    <cfRule type="expression" dxfId="1930" priority="1">
      <formula>ISNUMBER(SEARCH("JOK",AI19))</formula>
    </cfRule>
  </conditionalFormatting>
  <conditionalFormatting sqref="AI19:AL19">
    <cfRule type="expression" dxfId="1929" priority="9">
      <formula>OR(ISNUMBER(SEARCH("PPP 1",AI19)),ISNUMBER(SEARCH("PPP 2",AI19)))</formula>
    </cfRule>
  </conditionalFormatting>
  <conditionalFormatting sqref="AI19:AL19">
    <cfRule type="expression" dxfId="1928" priority="3">
      <formula>ISNUMBER(SEARCH("FORM",AI19))</formula>
    </cfRule>
    <cfRule type="expression" dxfId="1927" priority="4">
      <formula>ISNUMBER(SEARCH("ASA",AI19))</formula>
    </cfRule>
    <cfRule type="expression" dxfId="1926" priority="5">
      <formula>OR(ISNUMBER(SEARCH("ATM",AI19)),ISNUMBER(SEARCH("ATA",AI19)))</formula>
    </cfRule>
    <cfRule type="expression" dxfId="1925" priority="6">
      <formula>ISNUMBER(SEARCH("TP",AI19))</formula>
    </cfRule>
    <cfRule type="expression" dxfId="1924" priority="7">
      <formula>ISNUMBER(SEARCH("CSE",AI19))</formula>
    </cfRule>
    <cfRule type="expression" dxfId="1923" priority="8">
      <formula>OR(ISNUMBER(SEARCH("CA",AI19)),ISNUMBER(SEARCH("RC",AI19)))</formula>
    </cfRule>
  </conditionalFormatting>
  <conditionalFormatting sqref="AI19:AL19">
    <cfRule type="expression" dxfId="1922" priority="10">
      <formula>ISNUMBER(SEARCH("FORM",AI19))</formula>
    </cfRule>
    <cfRule type="expression" dxfId="1921" priority="11">
      <formula>ISNUMBER(SEARCH("ASA",AI19))</formula>
    </cfRule>
    <cfRule type="expression" dxfId="1920" priority="12">
      <formula>OR(ISNUMBER(SEARCH("ATM",AI19)),ISNUMBER(SEARCH("ATA",AI19)))</formula>
    </cfRule>
    <cfRule type="expression" dxfId="1919" priority="13">
      <formula>ISNUMBER(SEARCH("TP",AI19))</formula>
    </cfRule>
    <cfRule type="expression" dxfId="1918" priority="14">
      <formula>ISNUMBER(SEARCH("CSE",AI19))</formula>
    </cfRule>
    <cfRule type="expression" dxfId="1917" priority="15">
      <formula>OR(ISNUMBER(SEARCH("CA",AI19)),ISNUMBER(SEARCH("RC",AI19)))</formula>
    </cfRule>
  </conditionalFormatting>
  <conditionalFormatting sqref="AI19:AL19">
    <cfRule type="expression" dxfId="1916" priority="2">
      <formula>OR(ISNUMBER(SEARCH("PPP 1",AI19)),ISNUMBER(SEARCH("PPP 2",AI19)))</formula>
    </cfRule>
  </conditionalFormatting>
  <dataValidations count="1">
    <dataValidation allowBlank="1" showInputMessage="1" showErrorMessage="1" sqref="G9" xr:uid="{00000000-0002-0000-0400-000000000000}">
      <formula1>0</formula1>
      <formula2>0</formula2>
    </dataValidation>
  </dataValidations>
  <pageMargins left="0.25" right="0.25" top="0.75" bottom="0.75" header="0.511811023622047" footer="0.511811023622047"/>
  <pageSetup paperSize="9" orientation="landscape" horizontalDpi="300" verticalDpi="300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CCFF"/>
  </sheetPr>
  <dimension ref="A1:AH595"/>
  <sheetViews>
    <sheetView tabSelected="1" zoomScale="70" zoomScaleNormal="70" workbookViewId="0">
      <pane xSplit="6" topLeftCell="G5" activePane="topRight" state="frozen"/>
      <selection pane="topRight" activeCell="R12" sqref="R12"/>
    </sheetView>
  </sheetViews>
  <sheetFormatPr defaultColWidth="8.85546875" defaultRowHeight="15"/>
  <cols>
    <col min="1" max="1" width="12.42578125" customWidth="1"/>
    <col min="2" max="2" width="24.42578125" customWidth="1"/>
    <col min="3" max="3" width="23.7109375" customWidth="1"/>
    <col min="4" max="4" width="21.42578125" customWidth="1"/>
    <col min="5" max="5" width="19.28515625" customWidth="1"/>
    <col min="6" max="6" width="13.7109375" customWidth="1"/>
    <col min="7" max="11" width="10.85546875" customWidth="1"/>
    <col min="12" max="12" width="7.42578125" customWidth="1"/>
    <col min="13" max="13" width="6.28515625" customWidth="1"/>
    <col min="14" max="14" width="10.42578125" customWidth="1"/>
    <col min="15" max="18" width="10.85546875" customWidth="1"/>
    <col min="19" max="19" width="8.28515625" customWidth="1"/>
    <col min="20" max="20" width="6.28515625" customWidth="1"/>
    <col min="21" max="25" width="10.85546875" customWidth="1"/>
    <col min="26" max="26" width="8.28515625" customWidth="1"/>
    <col min="27" max="27" width="6.28515625" customWidth="1"/>
    <col min="28" max="32" width="8.42578125" customWidth="1"/>
    <col min="33" max="33" width="6.7109375" customWidth="1"/>
    <col min="34" max="34" width="6.28515625" customWidth="1"/>
  </cols>
  <sheetData>
    <row r="1" spans="1:34" ht="18.75" customHeight="1">
      <c r="F1" s="13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ht="18.75" customHeight="1">
      <c r="F2" s="13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</row>
    <row r="3" spans="1:34" ht="34.5" customHeight="1">
      <c r="A3" s="15"/>
      <c r="B3" s="16"/>
      <c r="C3" s="16"/>
      <c r="D3" s="16"/>
      <c r="E3" s="16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4" spans="1:34" ht="18.75" customHeight="1">
      <c r="A4" s="18" t="s">
        <v>23</v>
      </c>
      <c r="B4" s="422" t="s">
        <v>274</v>
      </c>
      <c r="C4" s="422"/>
      <c r="D4" s="422"/>
      <c r="E4" s="422"/>
      <c r="F4" s="429"/>
      <c r="G4" s="411" t="s">
        <v>275</v>
      </c>
      <c r="H4" s="411"/>
      <c r="I4" s="411"/>
      <c r="J4" s="411"/>
      <c r="K4" s="411"/>
      <c r="L4" s="411"/>
      <c r="M4" s="411"/>
      <c r="N4" s="411" t="s">
        <v>276</v>
      </c>
      <c r="O4" s="411"/>
      <c r="P4" s="411"/>
      <c r="Q4" s="411"/>
      <c r="R4" s="411"/>
      <c r="S4" s="411"/>
      <c r="T4" s="411"/>
      <c r="U4" s="411" t="s">
        <v>277</v>
      </c>
      <c r="V4" s="411"/>
      <c r="W4" s="411"/>
      <c r="X4" s="411"/>
      <c r="Y4" s="411"/>
      <c r="Z4" s="411"/>
      <c r="AA4" s="411"/>
      <c r="AB4" s="411" t="s">
        <v>278</v>
      </c>
      <c r="AC4" s="411"/>
      <c r="AD4" s="411"/>
      <c r="AE4" s="411"/>
      <c r="AF4" s="411"/>
      <c r="AG4" s="411"/>
      <c r="AH4" s="411"/>
    </row>
    <row r="5" spans="1:34" ht="21" customHeight="1">
      <c r="A5" s="152" t="s">
        <v>24</v>
      </c>
      <c r="B5" s="422"/>
      <c r="C5" s="422"/>
      <c r="D5" s="422"/>
      <c r="E5" s="422"/>
      <c r="F5" s="429"/>
      <c r="G5" s="22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168"/>
    </row>
    <row r="6" spans="1:34" ht="19.5" customHeight="1">
      <c r="A6" s="27" t="s">
        <v>25</v>
      </c>
      <c r="B6" s="421" t="s">
        <v>60</v>
      </c>
      <c r="C6" s="421"/>
      <c r="D6" s="421"/>
      <c r="E6" s="421"/>
      <c r="F6" s="429"/>
      <c r="G6" s="169" t="s">
        <v>61</v>
      </c>
      <c r="H6" s="170" t="s">
        <v>62</v>
      </c>
      <c r="I6" s="170" t="s">
        <v>63</v>
      </c>
      <c r="J6" s="170" t="s">
        <v>64</v>
      </c>
      <c r="K6" s="70" t="s">
        <v>65</v>
      </c>
      <c r="L6" s="171" t="s">
        <v>66</v>
      </c>
      <c r="M6" s="171" t="s">
        <v>67</v>
      </c>
      <c r="N6" s="170" t="s">
        <v>68</v>
      </c>
      <c r="O6" s="170" t="s">
        <v>62</v>
      </c>
      <c r="P6" s="170" t="s">
        <v>63</v>
      </c>
      <c r="Q6" s="320" t="s">
        <v>64</v>
      </c>
      <c r="R6" s="320" t="s">
        <v>65</v>
      </c>
      <c r="S6" s="320" t="s">
        <v>66</v>
      </c>
      <c r="T6" s="320" t="s">
        <v>67</v>
      </c>
      <c r="U6" s="170" t="s">
        <v>68</v>
      </c>
      <c r="V6" s="170" t="s">
        <v>62</v>
      </c>
      <c r="W6" s="170" t="s">
        <v>63</v>
      </c>
      <c r="X6" s="170" t="s">
        <v>64</v>
      </c>
      <c r="Y6" s="170" t="s">
        <v>65</v>
      </c>
      <c r="Z6" s="171" t="s">
        <v>66</v>
      </c>
      <c r="AA6" s="171" t="s">
        <v>67</v>
      </c>
      <c r="AB6" s="70" t="s">
        <v>68</v>
      </c>
      <c r="AC6" s="170" t="s">
        <v>62</v>
      </c>
      <c r="AD6" s="170" t="s">
        <v>63</v>
      </c>
      <c r="AE6" s="170" t="s">
        <v>64</v>
      </c>
      <c r="AF6" s="170" t="s">
        <v>65</v>
      </c>
      <c r="AG6" s="171" t="s">
        <v>66</v>
      </c>
      <c r="AH6" s="172" t="s">
        <v>67</v>
      </c>
    </row>
    <row r="7" spans="1:34" ht="36" customHeight="1">
      <c r="A7" s="274" t="s">
        <v>26</v>
      </c>
      <c r="B7" s="275" t="s">
        <v>69</v>
      </c>
      <c r="C7" s="35" t="s">
        <v>70</v>
      </c>
      <c r="D7" s="276" t="s">
        <v>71</v>
      </c>
      <c r="E7" s="277" t="s">
        <v>72</v>
      </c>
      <c r="F7" s="429"/>
      <c r="G7" s="278">
        <v>4</v>
      </c>
      <c r="H7" s="279">
        <v>5</v>
      </c>
      <c r="I7" s="279">
        <v>6</v>
      </c>
      <c r="J7" s="279">
        <v>7</v>
      </c>
      <c r="K7" s="141">
        <v>8</v>
      </c>
      <c r="L7" s="281">
        <v>9</v>
      </c>
      <c r="M7" s="281">
        <v>10</v>
      </c>
      <c r="N7" s="279">
        <v>11</v>
      </c>
      <c r="O7" s="279">
        <v>12</v>
      </c>
      <c r="P7" s="279">
        <v>13</v>
      </c>
      <c r="Q7" s="141">
        <v>14</v>
      </c>
      <c r="R7" s="279">
        <v>15</v>
      </c>
      <c r="S7" s="281">
        <v>16</v>
      </c>
      <c r="T7" s="281">
        <v>17</v>
      </c>
      <c r="U7" s="279">
        <v>18</v>
      </c>
      <c r="V7" s="279">
        <v>19</v>
      </c>
      <c r="W7" s="279">
        <v>20</v>
      </c>
      <c r="X7" s="279">
        <v>21</v>
      </c>
      <c r="Y7" s="279">
        <v>22</v>
      </c>
      <c r="Z7" s="281">
        <v>23</v>
      </c>
      <c r="AA7" s="281">
        <v>24</v>
      </c>
      <c r="AB7" s="141">
        <v>25</v>
      </c>
      <c r="AC7" s="279">
        <v>26</v>
      </c>
      <c r="AD7" s="279">
        <v>27</v>
      </c>
      <c r="AE7" s="279">
        <v>28</v>
      </c>
      <c r="AF7" s="279">
        <v>29</v>
      </c>
      <c r="AG7" s="281">
        <v>30</v>
      </c>
      <c r="AH7" s="282">
        <v>31</v>
      </c>
    </row>
    <row r="8" spans="1:34" ht="29.25" customHeight="1">
      <c r="A8" s="283" t="s">
        <v>27</v>
      </c>
      <c r="B8" s="416" t="s">
        <v>73</v>
      </c>
      <c r="C8" s="416"/>
      <c r="D8" s="185" t="s">
        <v>74</v>
      </c>
      <c r="E8" s="177" t="s">
        <v>75</v>
      </c>
      <c r="F8" s="321">
        <v>1</v>
      </c>
      <c r="G8" s="205">
        <v>8027</v>
      </c>
      <c r="H8" s="205"/>
      <c r="I8" s="322" t="s">
        <v>279</v>
      </c>
      <c r="J8" s="205"/>
      <c r="K8" s="94"/>
      <c r="L8" s="323"/>
      <c r="M8" s="323"/>
      <c r="N8" s="205"/>
      <c r="O8" s="205"/>
      <c r="P8" s="205"/>
      <c r="Q8" s="94"/>
      <c r="R8" s="205" t="s">
        <v>25</v>
      </c>
      <c r="S8" s="323"/>
      <c r="T8" s="323"/>
      <c r="U8" s="205"/>
      <c r="V8" s="205"/>
      <c r="W8" s="205"/>
      <c r="X8" s="205"/>
      <c r="Y8" s="205" t="s">
        <v>25</v>
      </c>
      <c r="Z8" s="323"/>
      <c r="AA8" s="323"/>
      <c r="AB8" s="94"/>
      <c r="AC8" s="205" t="s">
        <v>76</v>
      </c>
      <c r="AD8" s="205"/>
      <c r="AE8" s="205"/>
      <c r="AF8" s="205"/>
      <c r="AG8" s="323"/>
      <c r="AH8" s="324"/>
    </row>
    <row r="9" spans="1:34" ht="42.75" customHeight="1">
      <c r="A9" s="292" t="s">
        <v>28</v>
      </c>
      <c r="B9" s="293" t="s">
        <v>77</v>
      </c>
      <c r="C9" s="294" t="s">
        <v>78</v>
      </c>
      <c r="D9" s="295" t="s">
        <v>79</v>
      </c>
      <c r="E9" s="296" t="s">
        <v>80</v>
      </c>
      <c r="F9" s="325">
        <v>1</v>
      </c>
      <c r="G9" s="309" t="s">
        <v>87</v>
      </c>
      <c r="H9" s="114" t="s">
        <v>83</v>
      </c>
      <c r="I9" s="114" t="s">
        <v>83</v>
      </c>
      <c r="J9" s="114" t="s">
        <v>83</v>
      </c>
      <c r="K9" s="116"/>
      <c r="L9" s="116"/>
      <c r="M9" s="116"/>
      <c r="N9" s="114" t="s">
        <v>83</v>
      </c>
      <c r="O9" s="114" t="s">
        <v>83</v>
      </c>
      <c r="P9" s="114" t="s">
        <v>83</v>
      </c>
      <c r="Q9" s="116"/>
      <c r="R9" s="114" t="s">
        <v>83</v>
      </c>
      <c r="S9" s="116"/>
      <c r="T9" s="116"/>
      <c r="U9" s="114" t="s">
        <v>83</v>
      </c>
      <c r="V9" s="114" t="s">
        <v>83</v>
      </c>
      <c r="W9" s="114" t="s">
        <v>83</v>
      </c>
      <c r="X9" s="114" t="s">
        <v>83</v>
      </c>
      <c r="Y9" s="114" t="s">
        <v>83</v>
      </c>
      <c r="Z9" s="116"/>
      <c r="AA9" s="116"/>
      <c r="AB9" s="116"/>
      <c r="AC9" s="114" t="s">
        <v>84</v>
      </c>
      <c r="AD9" s="114" t="s">
        <v>83</v>
      </c>
      <c r="AE9" s="114" t="s">
        <v>83</v>
      </c>
      <c r="AF9" s="114" t="s">
        <v>83</v>
      </c>
      <c r="AG9" s="116"/>
      <c r="AH9" s="117"/>
    </row>
    <row r="10" spans="1:34" ht="18.75" customHeight="1">
      <c r="A10" s="417" t="s">
        <v>88</v>
      </c>
      <c r="B10" s="64" t="s">
        <v>89</v>
      </c>
      <c r="C10" s="65" t="s">
        <v>90</v>
      </c>
      <c r="D10" s="186" t="s">
        <v>91</v>
      </c>
      <c r="E10" s="187" t="s">
        <v>92</v>
      </c>
      <c r="F10" s="259">
        <v>0.5</v>
      </c>
      <c r="G10" s="326" t="s">
        <v>23</v>
      </c>
      <c r="H10" s="188" t="s">
        <v>23</v>
      </c>
      <c r="I10" s="188" t="s">
        <v>23</v>
      </c>
      <c r="J10" s="188" t="s">
        <v>23</v>
      </c>
      <c r="K10" s="70"/>
      <c r="L10" s="70"/>
      <c r="M10" s="70"/>
      <c r="N10" s="61"/>
      <c r="O10" s="61"/>
      <c r="P10" s="61"/>
      <c r="Q10" s="70"/>
      <c r="R10" s="61"/>
      <c r="S10" s="70"/>
      <c r="T10" s="70"/>
      <c r="U10" s="61"/>
      <c r="V10" s="61"/>
      <c r="W10" s="61"/>
      <c r="X10" s="61"/>
      <c r="Y10" s="61"/>
      <c r="Z10" s="70"/>
      <c r="AA10" s="70"/>
      <c r="AB10" s="70"/>
      <c r="AC10" s="188" t="s">
        <v>23</v>
      </c>
      <c r="AD10" s="188" t="s">
        <v>23</v>
      </c>
      <c r="AE10" s="188" t="s">
        <v>23</v>
      </c>
      <c r="AF10" s="188" t="s">
        <v>23</v>
      </c>
      <c r="AG10" s="70"/>
      <c r="AH10" s="72"/>
    </row>
    <row r="11" spans="1:34" ht="18.75" customHeight="1">
      <c r="A11" s="417"/>
      <c r="B11" s="64" t="s">
        <v>94</v>
      </c>
      <c r="C11" s="65" t="s">
        <v>95</v>
      </c>
      <c r="D11" s="191" t="s">
        <v>96</v>
      </c>
      <c r="E11" s="192" t="s">
        <v>97</v>
      </c>
      <c r="F11" s="259">
        <v>1</v>
      </c>
      <c r="G11" s="327" t="s">
        <v>25</v>
      </c>
      <c r="H11" s="299" t="s">
        <v>25</v>
      </c>
      <c r="I11" s="299" t="s">
        <v>25</v>
      </c>
      <c r="J11" s="299" t="s">
        <v>25</v>
      </c>
      <c r="K11" s="70"/>
      <c r="L11" s="70"/>
      <c r="M11" s="70"/>
      <c r="N11" s="58"/>
      <c r="O11" s="58"/>
      <c r="P11" s="58"/>
      <c r="Q11" s="70"/>
      <c r="R11" s="58"/>
      <c r="S11" s="59"/>
      <c r="T11" s="59"/>
      <c r="U11" s="58"/>
      <c r="V11" s="58"/>
      <c r="W11" s="58"/>
      <c r="X11" s="58"/>
      <c r="Y11" s="58"/>
      <c r="Z11" s="59"/>
      <c r="AA11" s="59"/>
      <c r="AB11" s="70"/>
      <c r="AC11" s="61"/>
      <c r="AD11" s="61"/>
      <c r="AE11" s="61"/>
      <c r="AF11" s="61"/>
      <c r="AG11" s="59"/>
      <c r="AH11" s="63"/>
    </row>
    <row r="12" spans="1:34" ht="18.75" customHeight="1">
      <c r="A12" s="417"/>
      <c r="B12" s="64" t="s">
        <v>98</v>
      </c>
      <c r="C12" s="65" t="s">
        <v>99</v>
      </c>
      <c r="D12" s="193" t="s">
        <v>257</v>
      </c>
      <c r="E12" s="194" t="s">
        <v>193</v>
      </c>
      <c r="F12" s="259">
        <v>1</v>
      </c>
      <c r="G12" s="446"/>
      <c r="H12" s="447"/>
      <c r="I12" s="447"/>
      <c r="J12" s="447"/>
      <c r="K12" s="447"/>
      <c r="L12" s="447"/>
      <c r="M12" s="447"/>
      <c r="N12" s="447"/>
      <c r="O12" s="447"/>
      <c r="P12" s="447"/>
      <c r="Q12" s="70"/>
      <c r="R12" s="450"/>
      <c r="S12" s="59"/>
      <c r="T12" s="59"/>
      <c r="U12" s="61"/>
      <c r="V12" s="61"/>
      <c r="W12" s="58"/>
      <c r="X12" s="58"/>
      <c r="Y12" s="61"/>
      <c r="Z12" s="59"/>
      <c r="AA12" s="70"/>
      <c r="AB12" s="70"/>
      <c r="AC12" s="58"/>
      <c r="AD12" s="61"/>
      <c r="AE12" s="61"/>
      <c r="AF12" s="61"/>
      <c r="AG12" s="59"/>
      <c r="AH12" s="72"/>
    </row>
    <row r="13" spans="1:34" ht="18.75" customHeight="1">
      <c r="A13" s="417"/>
      <c r="B13" s="64" t="s">
        <v>102</v>
      </c>
      <c r="C13" s="65" t="s">
        <v>103</v>
      </c>
      <c r="D13" s="193" t="s">
        <v>104</v>
      </c>
      <c r="E13" s="194" t="s">
        <v>105</v>
      </c>
      <c r="F13" s="259">
        <v>0.8</v>
      </c>
      <c r="G13" s="260"/>
      <c r="H13" s="61"/>
      <c r="I13" s="61"/>
      <c r="J13" s="61"/>
      <c r="K13" s="70"/>
      <c r="L13" s="70"/>
      <c r="M13" s="70"/>
      <c r="N13" s="61"/>
      <c r="O13" s="61"/>
      <c r="P13" s="58"/>
      <c r="Q13" s="70"/>
      <c r="R13" s="58"/>
      <c r="S13" s="59"/>
      <c r="T13" s="59"/>
      <c r="U13" s="61" t="s">
        <v>280</v>
      </c>
      <c r="V13" s="61" t="s">
        <v>280</v>
      </c>
      <c r="W13" s="61" t="s">
        <v>280</v>
      </c>
      <c r="X13" s="62" t="s">
        <v>106</v>
      </c>
      <c r="Y13" s="62" t="s">
        <v>106</v>
      </c>
      <c r="Z13" s="59"/>
      <c r="AA13" s="70"/>
      <c r="AB13" s="70"/>
      <c r="AC13" s="61"/>
      <c r="AD13" s="61"/>
      <c r="AE13" s="61"/>
      <c r="AF13" s="61"/>
      <c r="AG13" s="59"/>
      <c r="AH13" s="72"/>
    </row>
    <row r="14" spans="1:34" ht="18.75" customHeight="1">
      <c r="A14" s="417"/>
      <c r="B14" s="64" t="s">
        <v>107</v>
      </c>
      <c r="C14" s="65" t="s">
        <v>108</v>
      </c>
      <c r="D14" s="193" t="s">
        <v>109</v>
      </c>
      <c r="E14" s="194" t="s">
        <v>110</v>
      </c>
      <c r="F14" s="259">
        <v>1</v>
      </c>
      <c r="G14" s="260"/>
      <c r="H14" s="61"/>
      <c r="I14" s="58"/>
      <c r="J14" s="61"/>
      <c r="K14" s="70"/>
      <c r="L14" s="70"/>
      <c r="M14" s="70"/>
      <c r="N14" s="61"/>
      <c r="O14" s="61"/>
      <c r="P14" s="61"/>
      <c r="Q14" s="70"/>
      <c r="R14" s="58"/>
      <c r="S14" s="59"/>
      <c r="T14" s="59"/>
      <c r="U14" s="61"/>
      <c r="V14" s="61"/>
      <c r="W14" s="61"/>
      <c r="X14" s="58"/>
      <c r="Y14" s="61"/>
      <c r="Z14" s="59"/>
      <c r="AA14" s="70"/>
      <c r="AB14" s="70"/>
      <c r="AC14" s="61"/>
      <c r="AD14" s="58"/>
      <c r="AE14" s="61"/>
      <c r="AF14" s="61"/>
      <c r="AG14" s="59"/>
      <c r="AH14" s="72"/>
    </row>
    <row r="15" spans="1:34" ht="18.75" customHeight="1">
      <c r="A15" s="417"/>
      <c r="B15" s="64" t="s">
        <v>111</v>
      </c>
      <c r="C15" s="65" t="s">
        <v>112</v>
      </c>
      <c r="D15" s="193" t="s">
        <v>113</v>
      </c>
      <c r="E15" s="194" t="s">
        <v>114</v>
      </c>
      <c r="F15" s="259">
        <v>1</v>
      </c>
      <c r="G15" s="260"/>
      <c r="H15" s="61"/>
      <c r="I15" s="61"/>
      <c r="J15" s="61"/>
      <c r="K15" s="70"/>
      <c r="L15" s="70"/>
      <c r="M15" s="70"/>
      <c r="N15" s="61"/>
      <c r="O15" s="61"/>
      <c r="P15" s="61"/>
      <c r="Q15" s="70"/>
      <c r="R15" s="58"/>
      <c r="S15" s="59"/>
      <c r="T15" s="59"/>
      <c r="U15" s="61"/>
      <c r="V15" s="61"/>
      <c r="W15" s="61"/>
      <c r="X15" s="61"/>
      <c r="Y15" s="61"/>
      <c r="Z15" s="59"/>
      <c r="AA15" s="70"/>
      <c r="AB15" s="70"/>
      <c r="AC15" s="61"/>
      <c r="AD15" s="61"/>
      <c r="AE15" s="61"/>
      <c r="AF15" s="58"/>
      <c r="AG15" s="59"/>
      <c r="AH15" s="72"/>
    </row>
    <row r="16" spans="1:34" ht="18.75" customHeight="1">
      <c r="A16" s="417"/>
      <c r="B16" s="64" t="s">
        <v>116</v>
      </c>
      <c r="C16" s="65" t="s">
        <v>117</v>
      </c>
      <c r="D16" s="193" t="s">
        <v>118</v>
      </c>
      <c r="E16" s="194" t="s">
        <v>119</v>
      </c>
      <c r="F16" s="259">
        <v>1</v>
      </c>
      <c r="G16" s="327" t="s">
        <v>25</v>
      </c>
      <c r="H16" s="61"/>
      <c r="I16" s="61"/>
      <c r="J16" s="58"/>
      <c r="K16" s="70"/>
      <c r="L16" s="70"/>
      <c r="M16" s="70"/>
      <c r="N16" s="327" t="s">
        <v>25</v>
      </c>
      <c r="O16" s="61"/>
      <c r="P16" s="61"/>
      <c r="Q16" s="70"/>
      <c r="R16" s="58"/>
      <c r="S16" s="59"/>
      <c r="T16" s="59"/>
      <c r="U16" s="61"/>
      <c r="V16" s="61"/>
      <c r="W16" s="61"/>
      <c r="X16" s="61"/>
      <c r="Y16" s="58"/>
      <c r="Z16" s="59"/>
      <c r="AA16" s="70"/>
      <c r="AB16" s="70"/>
      <c r="AC16" s="61"/>
      <c r="AD16" s="61"/>
      <c r="AE16" s="58"/>
      <c r="AF16" s="61"/>
      <c r="AG16" s="59"/>
      <c r="AH16" s="72"/>
    </row>
    <row r="17" spans="1:34" ht="18.75" customHeight="1">
      <c r="A17" s="417"/>
      <c r="B17" s="64" t="s">
        <v>120</v>
      </c>
      <c r="C17" s="65" t="s">
        <v>121</v>
      </c>
      <c r="D17" s="193" t="s">
        <v>122</v>
      </c>
      <c r="E17" s="194" t="s">
        <v>123</v>
      </c>
      <c r="F17" s="259">
        <v>1</v>
      </c>
      <c r="G17" s="260"/>
      <c r="H17" s="61"/>
      <c r="I17" s="61"/>
      <c r="J17" s="61"/>
      <c r="K17" s="70"/>
      <c r="L17" s="70"/>
      <c r="M17" s="70"/>
      <c r="N17" s="61"/>
      <c r="O17" s="61"/>
      <c r="P17" s="61"/>
      <c r="Q17" s="70"/>
      <c r="R17" s="58"/>
      <c r="S17" s="59"/>
      <c r="T17" s="59"/>
      <c r="U17" s="61"/>
      <c r="V17" s="61"/>
      <c r="W17" s="61"/>
      <c r="X17" s="58"/>
      <c r="Y17" s="61"/>
      <c r="Z17" s="59"/>
      <c r="AA17" s="70"/>
      <c r="AB17" s="70"/>
      <c r="AC17" s="61"/>
      <c r="AD17" s="61"/>
      <c r="AE17" s="61"/>
      <c r="AF17" s="61"/>
      <c r="AG17" s="59"/>
      <c r="AH17" s="72"/>
    </row>
    <row r="18" spans="1:34" ht="18.75" customHeight="1">
      <c r="A18" s="417"/>
      <c r="B18" s="64" t="s">
        <v>124</v>
      </c>
      <c r="C18" s="65" t="s">
        <v>125</v>
      </c>
      <c r="D18" s="193" t="s">
        <v>126</v>
      </c>
      <c r="E18" s="194" t="s">
        <v>127</v>
      </c>
      <c r="F18" s="259">
        <v>1</v>
      </c>
      <c r="G18" s="260"/>
      <c r="H18" s="61"/>
      <c r="I18" s="61"/>
      <c r="J18" s="61"/>
      <c r="K18" s="70"/>
      <c r="L18" s="70"/>
      <c r="M18" s="70"/>
      <c r="N18" s="61"/>
      <c r="O18" s="61"/>
      <c r="P18" s="61"/>
      <c r="Q18" s="70"/>
      <c r="R18" s="266" t="s">
        <v>25</v>
      </c>
      <c r="S18" s="59"/>
      <c r="T18" s="59"/>
      <c r="U18" s="58"/>
      <c r="V18" s="61"/>
      <c r="W18" s="61"/>
      <c r="X18" s="61"/>
      <c r="Y18" s="61"/>
      <c r="Z18" s="59"/>
      <c r="AA18" s="70"/>
      <c r="AB18" s="70"/>
      <c r="AC18" s="61"/>
      <c r="AD18" s="61"/>
      <c r="AE18" s="61"/>
      <c r="AF18" s="58"/>
      <c r="AG18" s="59"/>
      <c r="AH18" s="72"/>
    </row>
    <row r="19" spans="1:34" ht="18.75" customHeight="1">
      <c r="A19" s="417"/>
      <c r="B19" s="64" t="s">
        <v>129</v>
      </c>
      <c r="C19" s="65" t="s">
        <v>130</v>
      </c>
      <c r="D19" s="196" t="s">
        <v>131</v>
      </c>
      <c r="E19" s="197" t="s">
        <v>132</v>
      </c>
      <c r="F19" s="259">
        <v>1</v>
      </c>
      <c r="G19" s="266" t="s">
        <v>281</v>
      </c>
      <c r="H19" s="88" t="s">
        <v>281</v>
      </c>
      <c r="I19" s="88" t="s">
        <v>281</v>
      </c>
      <c r="J19" s="88" t="s">
        <v>281</v>
      </c>
      <c r="K19" s="70"/>
      <c r="L19" s="70"/>
      <c r="M19" s="70"/>
      <c r="N19" s="88" t="s">
        <v>281</v>
      </c>
      <c r="O19" s="88" t="s">
        <v>281</v>
      </c>
      <c r="P19" s="88" t="s">
        <v>281</v>
      </c>
      <c r="Q19" s="70"/>
      <c r="R19" s="88" t="s">
        <v>281</v>
      </c>
      <c r="S19" s="59"/>
      <c r="T19" s="59"/>
      <c r="U19" s="58" t="s">
        <v>25</v>
      </c>
      <c r="V19" s="58" t="s">
        <v>25</v>
      </c>
      <c r="W19" s="58" t="s">
        <v>25</v>
      </c>
      <c r="X19" s="58" t="s">
        <v>25</v>
      </c>
      <c r="Y19" s="58" t="s">
        <v>25</v>
      </c>
      <c r="Z19" s="59"/>
      <c r="AA19" s="70"/>
      <c r="AB19" s="70"/>
      <c r="AC19" s="61"/>
      <c r="AD19" s="61"/>
      <c r="AE19" s="61"/>
      <c r="AF19" s="303" t="s">
        <v>25</v>
      </c>
      <c r="AG19" s="59"/>
      <c r="AH19" s="90"/>
    </row>
    <row r="20" spans="1:34" ht="18.75" customHeight="1">
      <c r="A20" s="417"/>
      <c r="B20" s="64" t="s">
        <v>133</v>
      </c>
      <c r="C20" s="65" t="s">
        <v>134</v>
      </c>
      <c r="D20" s="196" t="s">
        <v>135</v>
      </c>
      <c r="E20" s="197" t="s">
        <v>136</v>
      </c>
      <c r="F20" s="259">
        <v>1</v>
      </c>
      <c r="G20" s="266"/>
      <c r="H20" s="88"/>
      <c r="I20" s="88"/>
      <c r="J20" s="88"/>
      <c r="K20" s="70"/>
      <c r="L20" s="70"/>
      <c r="M20" s="70"/>
      <c r="N20" s="88"/>
      <c r="O20" s="88"/>
      <c r="P20" s="88"/>
      <c r="Q20" s="70"/>
      <c r="R20" s="58"/>
      <c r="S20" s="59"/>
      <c r="T20" s="59"/>
      <c r="U20" s="58"/>
      <c r="V20" s="61"/>
      <c r="W20" s="61"/>
      <c r="X20" s="61"/>
      <c r="Y20" s="61"/>
      <c r="Z20" s="59"/>
      <c r="AA20" s="70"/>
      <c r="AB20" s="70"/>
      <c r="AC20" s="303" t="s">
        <v>25</v>
      </c>
      <c r="AD20" s="303" t="s">
        <v>25</v>
      </c>
      <c r="AE20" s="303" t="s">
        <v>25</v>
      </c>
      <c r="AF20" s="299" t="s">
        <v>25</v>
      </c>
      <c r="AG20" s="59"/>
      <c r="AH20" s="90"/>
    </row>
    <row r="21" spans="1:34" ht="18.75" customHeight="1">
      <c r="A21" s="417"/>
      <c r="B21" s="64" t="s">
        <v>137</v>
      </c>
      <c r="C21" s="65" t="s">
        <v>138</v>
      </c>
      <c r="D21" s="196" t="s">
        <v>139</v>
      </c>
      <c r="E21" s="197" t="s">
        <v>140</v>
      </c>
      <c r="F21" s="259">
        <v>1</v>
      </c>
      <c r="G21" s="266"/>
      <c r="H21" s="88"/>
      <c r="I21" s="88"/>
      <c r="J21" s="88"/>
      <c r="K21" s="70"/>
      <c r="L21" s="70"/>
      <c r="M21" s="70"/>
      <c r="N21" s="88"/>
      <c r="O21" s="88"/>
      <c r="P21" s="88"/>
      <c r="Q21" s="70"/>
      <c r="R21" s="58"/>
      <c r="S21" s="59"/>
      <c r="T21" s="59"/>
      <c r="U21" s="58"/>
      <c r="V21" s="61"/>
      <c r="W21" s="61"/>
      <c r="X21" s="61"/>
      <c r="Y21" s="61"/>
      <c r="Z21" s="59"/>
      <c r="AA21" s="70"/>
      <c r="AB21" s="70"/>
      <c r="AC21" s="61"/>
      <c r="AD21" s="61"/>
      <c r="AE21" s="61"/>
      <c r="AF21" s="58"/>
      <c r="AG21" s="59"/>
      <c r="AH21" s="90"/>
    </row>
    <row r="22" spans="1:34" ht="18.75" customHeight="1">
      <c r="A22" s="417"/>
      <c r="B22" s="64" t="s">
        <v>141</v>
      </c>
      <c r="C22" s="65" t="s">
        <v>142</v>
      </c>
      <c r="D22" s="196" t="s">
        <v>143</v>
      </c>
      <c r="E22" s="197" t="s">
        <v>144</v>
      </c>
      <c r="F22" s="259">
        <v>1</v>
      </c>
      <c r="G22" s="266"/>
      <c r="H22" s="88"/>
      <c r="I22" s="88"/>
      <c r="J22" s="88"/>
      <c r="K22" s="70"/>
      <c r="L22" s="70"/>
      <c r="M22" s="70"/>
      <c r="N22" s="88"/>
      <c r="O22" s="88"/>
      <c r="P22" s="88"/>
      <c r="Q22" s="70"/>
      <c r="R22" s="58"/>
      <c r="S22" s="59"/>
      <c r="T22" s="59"/>
      <c r="U22" s="58"/>
      <c r="V22" s="61"/>
      <c r="W22" s="61"/>
      <c r="X22" s="61"/>
      <c r="Y22" s="61"/>
      <c r="Z22" s="59"/>
      <c r="AA22" s="70"/>
      <c r="AB22" s="70"/>
      <c r="AC22" s="61"/>
      <c r="AD22" s="61"/>
      <c r="AE22" s="61"/>
      <c r="AF22" s="58"/>
      <c r="AG22" s="59"/>
      <c r="AH22" s="90"/>
    </row>
    <row r="23" spans="1:34" ht="18.75" customHeight="1">
      <c r="A23" s="417"/>
      <c r="B23" s="64" t="s">
        <v>146</v>
      </c>
      <c r="C23" s="65"/>
      <c r="D23" s="95" t="s">
        <v>147</v>
      </c>
      <c r="E23" s="85" t="s">
        <v>148</v>
      </c>
      <c r="F23" s="259">
        <v>1</v>
      </c>
      <c r="G23" s="266" t="s">
        <v>282</v>
      </c>
      <c r="H23" s="448" t="s">
        <v>173</v>
      </c>
      <c r="I23" s="448" t="s">
        <v>173</v>
      </c>
      <c r="J23" s="448" t="s">
        <v>173</v>
      </c>
      <c r="K23" s="70"/>
      <c r="L23" s="70"/>
      <c r="M23" s="70"/>
      <c r="N23" s="448" t="s">
        <v>173</v>
      </c>
      <c r="O23" s="448" t="s">
        <v>173</v>
      </c>
      <c r="P23" s="448" t="s">
        <v>173</v>
      </c>
      <c r="Q23" s="329"/>
      <c r="R23" s="266" t="s">
        <v>25</v>
      </c>
      <c r="S23" s="87"/>
      <c r="T23" s="87"/>
      <c r="U23" s="266" t="s">
        <v>283</v>
      </c>
      <c r="V23" s="266" t="s">
        <v>283</v>
      </c>
      <c r="W23" s="266" t="s">
        <v>283</v>
      </c>
      <c r="X23" s="266" t="s">
        <v>283</v>
      </c>
      <c r="Y23" s="266" t="s">
        <v>283</v>
      </c>
      <c r="Z23" s="87"/>
      <c r="AA23" s="87"/>
      <c r="AB23" s="70"/>
      <c r="AC23" s="328" t="s">
        <v>284</v>
      </c>
      <c r="AD23" s="328" t="s">
        <v>284</v>
      </c>
      <c r="AE23" s="328" t="s">
        <v>284</v>
      </c>
      <c r="AF23" s="328" t="s">
        <v>284</v>
      </c>
      <c r="AG23" s="87"/>
      <c r="AH23" s="90"/>
    </row>
    <row r="24" spans="1:34" ht="18.75" customHeight="1">
      <c r="A24" s="417"/>
      <c r="B24" s="101" t="s">
        <v>150</v>
      </c>
      <c r="C24" s="65"/>
      <c r="D24" s="84" t="s">
        <v>151</v>
      </c>
      <c r="E24" s="85" t="s">
        <v>152</v>
      </c>
      <c r="F24" s="269">
        <v>1</v>
      </c>
      <c r="G24" s="270" t="s">
        <v>155</v>
      </c>
      <c r="H24" s="140" t="s">
        <v>155</v>
      </c>
      <c r="I24" s="140" t="s">
        <v>155</v>
      </c>
      <c r="J24" s="140" t="s">
        <v>155</v>
      </c>
      <c r="K24" s="141"/>
      <c r="L24" s="141"/>
      <c r="M24" s="141"/>
      <c r="N24" s="330" t="s">
        <v>261</v>
      </c>
      <c r="O24" s="449" t="s">
        <v>271</v>
      </c>
      <c r="P24" s="331" t="s">
        <v>285</v>
      </c>
      <c r="Q24" s="141"/>
      <c r="R24" s="140" t="s">
        <v>286</v>
      </c>
      <c r="S24" s="141"/>
      <c r="T24" s="141"/>
      <c r="U24" s="140" t="s">
        <v>287</v>
      </c>
      <c r="V24" s="140" t="s">
        <v>287</v>
      </c>
      <c r="W24" s="140" t="s">
        <v>287</v>
      </c>
      <c r="X24" s="140" t="s">
        <v>287</v>
      </c>
      <c r="Y24" s="140" t="s">
        <v>287</v>
      </c>
      <c r="Z24" s="141"/>
      <c r="AA24" s="141"/>
      <c r="AB24" s="141"/>
      <c r="AC24" s="140" t="s">
        <v>271</v>
      </c>
      <c r="AD24" s="140" t="s">
        <v>271</v>
      </c>
      <c r="AE24" s="140" t="s">
        <v>271</v>
      </c>
      <c r="AF24" s="140" t="s">
        <v>271</v>
      </c>
      <c r="AG24" s="141"/>
      <c r="AH24" s="142"/>
    </row>
    <row r="25" spans="1:34" ht="18.75" customHeight="1">
      <c r="A25" s="430" t="s">
        <v>156</v>
      </c>
      <c r="B25" s="108" t="s">
        <v>157</v>
      </c>
      <c r="C25" s="109" t="s">
        <v>158</v>
      </c>
      <c r="D25" s="110" t="s">
        <v>159</v>
      </c>
      <c r="E25" s="111" t="s">
        <v>160</v>
      </c>
      <c r="F25" s="332">
        <v>1</v>
      </c>
      <c r="G25" s="256" t="s">
        <v>157</v>
      </c>
      <c r="H25" s="58" t="s">
        <v>157</v>
      </c>
      <c r="I25" s="58" t="s">
        <v>157</v>
      </c>
      <c r="J25" s="58" t="s">
        <v>157</v>
      </c>
      <c r="K25" s="59"/>
      <c r="L25" s="60" t="s">
        <v>263</v>
      </c>
      <c r="M25" s="59"/>
      <c r="N25" s="58" t="s">
        <v>157</v>
      </c>
      <c r="O25" s="58" t="s">
        <v>157</v>
      </c>
      <c r="P25" s="58" t="s">
        <v>157</v>
      </c>
      <c r="Q25" s="59"/>
      <c r="R25" s="299" t="s">
        <v>25</v>
      </c>
      <c r="S25" s="59"/>
      <c r="T25" s="59"/>
      <c r="U25" s="58" t="s">
        <v>161</v>
      </c>
      <c r="V25" s="58" t="s">
        <v>161</v>
      </c>
      <c r="W25" s="58" t="s">
        <v>161</v>
      </c>
      <c r="X25" s="58" t="s">
        <v>161</v>
      </c>
      <c r="Y25" s="58" t="s">
        <v>161</v>
      </c>
      <c r="Z25" s="60" t="s">
        <v>263</v>
      </c>
      <c r="AA25" s="59"/>
      <c r="AB25" s="59"/>
      <c r="AC25" s="58" t="s">
        <v>161</v>
      </c>
      <c r="AD25" s="58" t="s">
        <v>161</v>
      </c>
      <c r="AE25" s="58" t="s">
        <v>161</v>
      </c>
      <c r="AF25" s="58" t="s">
        <v>161</v>
      </c>
      <c r="AG25" s="59"/>
      <c r="AH25" s="63"/>
    </row>
    <row r="26" spans="1:34" ht="18.75" customHeight="1">
      <c r="A26" s="430"/>
      <c r="B26" s="118" t="s">
        <v>161</v>
      </c>
      <c r="C26" s="119" t="s">
        <v>158</v>
      </c>
      <c r="D26" s="120" t="s">
        <v>162</v>
      </c>
      <c r="E26" s="121" t="s">
        <v>163</v>
      </c>
      <c r="F26" s="332">
        <v>1</v>
      </c>
      <c r="G26" s="266" t="s">
        <v>161</v>
      </c>
      <c r="H26" s="88" t="s">
        <v>161</v>
      </c>
      <c r="I26" s="88" t="s">
        <v>161</v>
      </c>
      <c r="J26" s="88" t="s">
        <v>161</v>
      </c>
      <c r="K26" s="70"/>
      <c r="L26" s="70"/>
      <c r="M26" s="70"/>
      <c r="N26" s="88" t="s">
        <v>161</v>
      </c>
      <c r="O26" s="88" t="s">
        <v>161</v>
      </c>
      <c r="P26" s="88" t="s">
        <v>161</v>
      </c>
      <c r="Q26" s="94"/>
      <c r="R26" s="88" t="s">
        <v>25</v>
      </c>
      <c r="S26" s="94"/>
      <c r="T26" s="94"/>
      <c r="U26" s="303" t="s">
        <v>25</v>
      </c>
      <c r="V26" s="303" t="s">
        <v>25</v>
      </c>
      <c r="W26" s="303" t="s">
        <v>25</v>
      </c>
      <c r="X26" s="303" t="s">
        <v>25</v>
      </c>
      <c r="Y26" s="303" t="s">
        <v>25</v>
      </c>
      <c r="Z26" s="94"/>
      <c r="AA26" s="94"/>
      <c r="AB26" s="94"/>
      <c r="AC26" s="88" t="s">
        <v>288</v>
      </c>
      <c r="AD26" s="88" t="s">
        <v>288</v>
      </c>
      <c r="AE26" s="88" t="s">
        <v>288</v>
      </c>
      <c r="AF26" s="88" t="s">
        <v>288</v>
      </c>
      <c r="AG26" s="70"/>
      <c r="AH26" s="124"/>
    </row>
    <row r="27" spans="1:34" ht="18.75" customHeight="1">
      <c r="A27" s="430"/>
      <c r="B27" s="118" t="s">
        <v>164</v>
      </c>
      <c r="C27" s="119" t="s">
        <v>158</v>
      </c>
      <c r="D27" s="119" t="s">
        <v>165</v>
      </c>
      <c r="E27" s="125" t="s">
        <v>105</v>
      </c>
      <c r="F27" s="332">
        <v>1</v>
      </c>
      <c r="G27" s="266" t="s">
        <v>169</v>
      </c>
      <c r="H27" s="88" t="s">
        <v>169</v>
      </c>
      <c r="I27" s="88" t="s">
        <v>169</v>
      </c>
      <c r="J27" s="88" t="s">
        <v>169</v>
      </c>
      <c r="K27" s="70"/>
      <c r="L27" s="62" t="s">
        <v>263</v>
      </c>
      <c r="M27" s="70"/>
      <c r="N27" s="88" t="s">
        <v>169</v>
      </c>
      <c r="O27" s="88" t="s">
        <v>169</v>
      </c>
      <c r="P27" s="88" t="s">
        <v>169</v>
      </c>
      <c r="Q27" s="87"/>
      <c r="R27" s="88" t="s">
        <v>157</v>
      </c>
      <c r="S27" s="62" t="s">
        <v>263</v>
      </c>
      <c r="T27" s="87"/>
      <c r="U27" s="88" t="s">
        <v>157</v>
      </c>
      <c r="V27" s="88" t="s">
        <v>157</v>
      </c>
      <c r="W27" s="88" t="s">
        <v>157</v>
      </c>
      <c r="X27" s="88" t="s">
        <v>157</v>
      </c>
      <c r="Y27" s="88" t="s">
        <v>157</v>
      </c>
      <c r="Z27" s="87"/>
      <c r="AA27" s="87"/>
      <c r="AB27" s="87"/>
      <c r="AC27" s="88" t="s">
        <v>157</v>
      </c>
      <c r="AD27" s="88" t="s">
        <v>157</v>
      </c>
      <c r="AE27" s="88" t="s">
        <v>157</v>
      </c>
      <c r="AF27" s="88" t="s">
        <v>157</v>
      </c>
      <c r="AG27" s="70"/>
      <c r="AH27" s="90"/>
    </row>
    <row r="28" spans="1:34" ht="18.75" customHeight="1">
      <c r="A28" s="430"/>
      <c r="B28" s="127" t="s">
        <v>170</v>
      </c>
      <c r="C28" s="128" t="s">
        <v>158</v>
      </c>
      <c r="D28" s="128" t="s">
        <v>171</v>
      </c>
      <c r="E28" s="129" t="s">
        <v>172</v>
      </c>
      <c r="F28" s="333">
        <v>1</v>
      </c>
      <c r="G28" s="266" t="s">
        <v>154</v>
      </c>
      <c r="H28" s="88" t="s">
        <v>154</v>
      </c>
      <c r="I28" s="88" t="s">
        <v>154</v>
      </c>
      <c r="J28" s="88" t="s">
        <v>154</v>
      </c>
      <c r="K28" s="87"/>
      <c r="L28" s="87"/>
      <c r="M28" s="87"/>
      <c r="N28" s="88" t="s">
        <v>271</v>
      </c>
      <c r="O28" s="88" t="s">
        <v>271</v>
      </c>
      <c r="P28" s="88" t="s">
        <v>271</v>
      </c>
      <c r="Q28" s="87"/>
      <c r="R28" s="88" t="s">
        <v>161</v>
      </c>
      <c r="S28" s="313" t="s">
        <v>263</v>
      </c>
      <c r="T28" s="87" t="s">
        <v>289</v>
      </c>
      <c r="U28" s="88" t="s">
        <v>271</v>
      </c>
      <c r="V28" s="88" t="s">
        <v>271</v>
      </c>
      <c r="W28" s="88" t="s">
        <v>271</v>
      </c>
      <c r="X28" s="88" t="s">
        <v>271</v>
      </c>
      <c r="Y28" s="88" t="s">
        <v>271</v>
      </c>
      <c r="Z28" s="313" t="s">
        <v>263</v>
      </c>
      <c r="AA28" s="87"/>
      <c r="AB28" s="87"/>
      <c r="AC28" s="334" t="s">
        <v>25</v>
      </c>
      <c r="AD28" s="334" t="s">
        <v>25</v>
      </c>
      <c r="AE28" s="334" t="s">
        <v>25</v>
      </c>
      <c r="AF28" s="334" t="s">
        <v>25</v>
      </c>
      <c r="AG28" s="87"/>
      <c r="AH28" s="90"/>
    </row>
    <row r="29" spans="1:34" ht="18.75" customHeight="1">
      <c r="A29" s="431" t="s">
        <v>174</v>
      </c>
      <c r="B29" s="431"/>
      <c r="C29" s="431"/>
      <c r="D29" s="431"/>
      <c r="E29" s="431"/>
      <c r="F29" s="19">
        <v>1</v>
      </c>
      <c r="G29" s="268"/>
      <c r="H29" s="134"/>
      <c r="I29" s="134"/>
      <c r="J29" s="135"/>
      <c r="K29" s="116"/>
      <c r="L29" s="116"/>
      <c r="M29" s="116"/>
      <c r="N29" s="134"/>
      <c r="O29" s="134"/>
      <c r="P29" s="134"/>
      <c r="Q29" s="314"/>
      <c r="R29" s="134"/>
      <c r="S29" s="116"/>
      <c r="T29" s="116"/>
      <c r="U29" s="134"/>
      <c r="V29" s="134"/>
      <c r="W29" s="134"/>
      <c r="X29" s="134"/>
      <c r="Y29" s="134"/>
      <c r="Z29" s="116"/>
      <c r="AA29" s="116"/>
      <c r="AB29" s="116"/>
      <c r="AC29" s="114"/>
      <c r="AD29" s="114"/>
      <c r="AE29" s="114"/>
      <c r="AF29" s="114">
        <v>8039</v>
      </c>
      <c r="AG29" s="116"/>
      <c r="AH29" s="117"/>
    </row>
    <row r="30" spans="1:34" ht="18.75" customHeight="1">
      <c r="A30" s="431"/>
      <c r="B30" s="431"/>
      <c r="C30" s="431"/>
      <c r="D30" s="431"/>
      <c r="E30" s="431"/>
      <c r="F30" s="332">
        <v>1</v>
      </c>
      <c r="G30" s="260"/>
      <c r="H30" s="136"/>
      <c r="I30" s="136"/>
      <c r="J30" s="136"/>
      <c r="K30" s="70"/>
      <c r="L30" s="70"/>
      <c r="M30" s="70"/>
      <c r="N30" s="136"/>
      <c r="O30" s="136"/>
      <c r="P30" s="136"/>
      <c r="Q30" s="137"/>
      <c r="R30" s="136"/>
      <c r="S30" s="137"/>
      <c r="T30" s="137"/>
      <c r="U30" s="136"/>
      <c r="V30" s="136"/>
      <c r="W30" s="136"/>
      <c r="X30" s="136"/>
      <c r="Y30" s="136"/>
      <c r="Z30" s="137"/>
      <c r="AA30" s="137"/>
      <c r="AB30" s="137"/>
      <c r="AC30" s="136"/>
      <c r="AD30" s="136"/>
      <c r="AE30" s="136"/>
      <c r="AF30" s="136"/>
      <c r="AG30" s="137"/>
      <c r="AH30" s="138"/>
    </row>
    <row r="31" spans="1:34" ht="18.75" customHeight="1">
      <c r="A31" s="431"/>
      <c r="B31" s="431"/>
      <c r="C31" s="431"/>
      <c r="D31" s="431"/>
      <c r="E31" s="431"/>
      <c r="F31" s="335">
        <v>1</v>
      </c>
      <c r="G31" s="270"/>
      <c r="H31" s="140"/>
      <c r="I31" s="140"/>
      <c r="J31" s="140"/>
      <c r="K31" s="141"/>
      <c r="L31" s="141"/>
      <c r="M31" s="141"/>
      <c r="N31" s="140"/>
      <c r="O31" s="140"/>
      <c r="P31" s="140"/>
      <c r="Q31" s="141"/>
      <c r="R31" s="140"/>
      <c r="S31" s="141"/>
      <c r="T31" s="141"/>
      <c r="U31" s="140"/>
      <c r="V31" s="140"/>
      <c r="W31" s="140"/>
      <c r="X31" s="140"/>
      <c r="Y31" s="140"/>
      <c r="Z31" s="141"/>
      <c r="AA31" s="141"/>
      <c r="AB31" s="141"/>
      <c r="AC31" s="140"/>
      <c r="AD31" s="140"/>
      <c r="AE31" s="140"/>
      <c r="AF31" s="140"/>
      <c r="AG31" s="141"/>
      <c r="AH31" s="142"/>
    </row>
    <row r="32" spans="1:34" ht="24" customHeight="1">
      <c r="F32" s="21"/>
      <c r="G32" s="144">
        <f>COUNTA(G29:G31)</f>
        <v>0</v>
      </c>
      <c r="H32" s="144">
        <f>COUNTA(H29:H31)</f>
        <v>0</v>
      </c>
      <c r="I32" s="144">
        <f>COUNTA(I29:I31)</f>
        <v>0</v>
      </c>
      <c r="J32" s="144">
        <f>COUNTA(J29:J31)</f>
        <v>0</v>
      </c>
      <c r="K32" s="145">
        <f>COUNTA(K29:K31)</f>
        <v>0</v>
      </c>
      <c r="L32" s="145"/>
      <c r="M32" s="145"/>
      <c r="N32" s="144">
        <f>COUNTA(N29:N31)</f>
        <v>0</v>
      </c>
      <c r="O32" s="144">
        <f>COUNTA(O29:O31)</f>
        <v>0</v>
      </c>
      <c r="P32" s="144">
        <f>COUNTA(P29:P31)</f>
        <v>0</v>
      </c>
      <c r="Q32" s="146">
        <f>COUNTA(Q29:Q31)</f>
        <v>0</v>
      </c>
      <c r="R32" s="144">
        <f>COUNTA(R29:R31)</f>
        <v>0</v>
      </c>
      <c r="S32" s="146"/>
      <c r="T32" s="146"/>
      <c r="U32" s="144">
        <f>COUNTA(U29:U31)</f>
        <v>0</v>
      </c>
      <c r="V32" s="144">
        <f>COUNTA(V29:V31)</f>
        <v>0</v>
      </c>
      <c r="W32" s="144">
        <f>COUNTA(W29:W31)</f>
        <v>0</v>
      </c>
      <c r="X32" s="144">
        <f>COUNTA(X29:X31)</f>
        <v>0</v>
      </c>
      <c r="Y32" s="144">
        <f>COUNTA(Y29:Y31)</f>
        <v>0</v>
      </c>
      <c r="Z32" s="146"/>
      <c r="AA32" s="146"/>
      <c r="AB32" s="146">
        <f>COUNTA(AB29:AB31)</f>
        <v>0</v>
      </c>
      <c r="AC32" s="144">
        <f>COUNTA(AC29:AC31)</f>
        <v>0</v>
      </c>
      <c r="AD32" s="144">
        <f>COUNTA(AD29:AD31)</f>
        <v>0</v>
      </c>
      <c r="AE32" s="144">
        <f>COUNTA(AE29:AE31)</f>
        <v>0</v>
      </c>
      <c r="AF32" s="144">
        <f>COUNTA(AF29:AF31)</f>
        <v>1</v>
      </c>
      <c r="AG32" s="146"/>
      <c r="AH32" s="147"/>
    </row>
    <row r="33" spans="4:34" ht="24" customHeight="1">
      <c r="D33" s="86" t="s">
        <v>176</v>
      </c>
      <c r="E33" s="86">
        <f t="shared" ref="E33:E38" si="0">SUM(L33,S33,Z33,AG33,AN33)</f>
        <v>8</v>
      </c>
      <c r="F33" s="86" t="s">
        <v>23</v>
      </c>
      <c r="G33" s="148">
        <f>COUNTIF(G8:G31,"TP")</f>
        <v>1</v>
      </c>
      <c r="H33" s="148">
        <f>COUNTIF(H8:H31,"TP")</f>
        <v>1</v>
      </c>
      <c r="I33" s="148">
        <f>COUNTIF(I8:I31,"TP")</f>
        <v>1</v>
      </c>
      <c r="J33" s="148">
        <f>COUNTIF(J8:J31,"TP")</f>
        <v>1</v>
      </c>
      <c r="K33" s="149">
        <f>COUNTIF(K8:K31,"TP")</f>
        <v>0</v>
      </c>
      <c r="L33" s="149">
        <f t="shared" ref="L33:L38" si="1">SUM(G33:K33)</f>
        <v>4</v>
      </c>
      <c r="M33" s="149"/>
      <c r="N33" s="148">
        <f>COUNTIF(N8:N31,"TP")</f>
        <v>0</v>
      </c>
      <c r="O33" s="148">
        <f>COUNTIF(O8:O31,"TP")</f>
        <v>0</v>
      </c>
      <c r="P33" s="148">
        <f>COUNTIF(P8:P31,"TP")</f>
        <v>0</v>
      </c>
      <c r="Q33" s="150">
        <f>COUNTIF(Q8:Q31,"TP")</f>
        <v>0</v>
      </c>
      <c r="R33" s="148">
        <f>COUNTIF(R8:R31,"TP")</f>
        <v>0</v>
      </c>
      <c r="S33" s="150">
        <f t="shared" ref="S33:S38" si="2">SUM(N33:R33)</f>
        <v>0</v>
      </c>
      <c r="T33" s="150"/>
      <c r="U33" s="148">
        <f>COUNTIF(U8:U31,"TP")</f>
        <v>0</v>
      </c>
      <c r="V33" s="148">
        <f>COUNTIF(V8:V31,"TP")</f>
        <v>0</v>
      </c>
      <c r="W33" s="148">
        <f>COUNTIF(W8:W31,"TP")</f>
        <v>0</v>
      </c>
      <c r="X33" s="148">
        <f>COUNTIF(X8:X31,"TP")</f>
        <v>0</v>
      </c>
      <c r="Y33" s="148">
        <f>COUNTIF(Y8:Y31,"TP")</f>
        <v>0</v>
      </c>
      <c r="Z33" s="150">
        <f t="shared" ref="Z33:Z38" si="3">SUM(U33:Y33)</f>
        <v>0</v>
      </c>
      <c r="AA33" s="150"/>
      <c r="AB33" s="150">
        <f>COUNTIF(AB8:AB31,"TP")</f>
        <v>0</v>
      </c>
      <c r="AC33" s="148">
        <f>COUNTIF(AC8:AC31,"TP")</f>
        <v>1</v>
      </c>
      <c r="AD33" s="148">
        <f>COUNTIF(AD8:AD31,"TP")</f>
        <v>1</v>
      </c>
      <c r="AE33" s="148">
        <f>COUNTIF(AE8:AE31,"TP")</f>
        <v>1</v>
      </c>
      <c r="AF33" s="148">
        <f>COUNTIF(AF8:AF31,"TP")</f>
        <v>1</v>
      </c>
      <c r="AG33" s="150">
        <f t="shared" ref="AG33:AG38" si="4">SUM(AB33:AF33)</f>
        <v>4</v>
      </c>
      <c r="AH33" s="151"/>
    </row>
    <row r="34" spans="4:34" ht="24" customHeight="1">
      <c r="D34" s="152" t="s">
        <v>176</v>
      </c>
      <c r="E34" s="152">
        <f t="shared" si="0"/>
        <v>2</v>
      </c>
      <c r="F34" s="152" t="s">
        <v>24</v>
      </c>
      <c r="G34" s="148">
        <f>COUNTIF(G8:G31,"CSE") + COUNTIF(G8:G31,"RPX")</f>
        <v>0</v>
      </c>
      <c r="H34" s="148">
        <f>COUNTIF(H8:H31,"CSE") + COUNTIF(H8:H31,"RPX")</f>
        <v>0</v>
      </c>
      <c r="I34" s="148">
        <f>COUNTIF(I8:I31,"CSE") + COUNTIF(I8:I31,"RPX")</f>
        <v>0</v>
      </c>
      <c r="J34" s="148">
        <f>COUNTIF(J8:J31,"CSE") + COUNTIF(J8:J31,"RPX")</f>
        <v>0</v>
      </c>
      <c r="K34" s="149">
        <f>COUNTIF(K8:K31,"CSE")</f>
        <v>0</v>
      </c>
      <c r="L34" s="149">
        <f t="shared" si="1"/>
        <v>0</v>
      </c>
      <c r="M34" s="149"/>
      <c r="N34" s="148">
        <f>COUNTIF(N8:N31,"CSE") + COUNTIF(N8:N31,"RPX")</f>
        <v>0</v>
      </c>
      <c r="O34" s="148">
        <f>COUNTIF(O8:O31,"CSE") + COUNTIF(O8:O31,"RPX")</f>
        <v>0</v>
      </c>
      <c r="P34" s="148">
        <f>COUNTIF(P8:P31,"CSE") + COUNTIF(P8:P31,"RPX")</f>
        <v>0</v>
      </c>
      <c r="Q34" s="150">
        <f>COUNTIF(Q8:Q31,"CSE") + COUNTIF(Q8:Q31,"RPX")</f>
        <v>0</v>
      </c>
      <c r="R34" s="148">
        <f>COUNTIF(R8:R31,"CSE") + COUNTIF(R8:R31,"RPX")</f>
        <v>0</v>
      </c>
      <c r="S34" s="150">
        <f t="shared" si="2"/>
        <v>0</v>
      </c>
      <c r="T34" s="150"/>
      <c r="U34" s="148">
        <f>COUNTIF(U9:U31,"CSE") + COUNTIF(U9:U31,"RPX")</f>
        <v>0</v>
      </c>
      <c r="V34" s="148">
        <f>COUNTIF(V9:V31,"CSE") + COUNTIF(V9:V31,"RPX")</f>
        <v>0</v>
      </c>
      <c r="W34" s="148">
        <f>COUNTIF(W9:W31,"CSE") + COUNTIF(W9:W31,"RPX")</f>
        <v>0</v>
      </c>
      <c r="X34" s="148">
        <f>COUNTIF(X9:X31,"CSE") + COUNTIF(X9:X31,"RPX")</f>
        <v>1</v>
      </c>
      <c r="Y34" s="148">
        <f>COUNTIF(Y9:Y31,"CSE") + COUNTIF(Y9:Y31,"RPX")</f>
        <v>1</v>
      </c>
      <c r="Z34" s="150">
        <f t="shared" si="3"/>
        <v>2</v>
      </c>
      <c r="AA34" s="150"/>
      <c r="AB34" s="150">
        <f>COUNTIF(AB8:AB31,"CSE") + COUNTIF(AB8:AB31,"RPX")</f>
        <v>0</v>
      </c>
      <c r="AC34" s="148">
        <f>COUNTIF(AC8:AC31,"CSE") + COUNTIF(AC8:AC31,"RPX")</f>
        <v>0</v>
      </c>
      <c r="AD34" s="148">
        <f>COUNTIF(AD8:AD31,"CSE") + COUNTIF(AD8:AD31,"RPX")</f>
        <v>0</v>
      </c>
      <c r="AE34" s="148">
        <f>COUNTIF(AE8:AE31,"CSE") + COUNTIF(AE8:AE31,"RPX")</f>
        <v>0</v>
      </c>
      <c r="AF34" s="148">
        <f>COUNTIF(AF8:AF31,"CSE") + COUNTIF(AF8:AF31,"RPX")</f>
        <v>0</v>
      </c>
      <c r="AG34" s="150">
        <f t="shared" si="4"/>
        <v>0</v>
      </c>
      <c r="AH34" s="151"/>
    </row>
    <row r="35" spans="4:34" ht="24" customHeight="1">
      <c r="D35" s="153" t="s">
        <v>176</v>
      </c>
      <c r="E35" s="153">
        <f t="shared" si="0"/>
        <v>31</v>
      </c>
      <c r="F35" s="153" t="s">
        <v>25</v>
      </c>
      <c r="G35" s="148">
        <f>COUNTIF(G8:G31,"CA/RC")</f>
        <v>2</v>
      </c>
      <c r="H35" s="148">
        <f>COUNTIF(H8:H31,"CA/RC")</f>
        <v>1</v>
      </c>
      <c r="I35" s="148">
        <f>COUNTIF(I8:I31,"CA/RC")</f>
        <v>1</v>
      </c>
      <c r="J35" s="148">
        <f>COUNTIF(J8:J31,"CA/RC")</f>
        <v>1</v>
      </c>
      <c r="K35" s="149">
        <f>COUNTIF(K8:K31,"CA/RC")</f>
        <v>0</v>
      </c>
      <c r="L35" s="149">
        <f t="shared" si="1"/>
        <v>5</v>
      </c>
      <c r="M35" s="149"/>
      <c r="N35" s="148">
        <f>COUNTIF(N8:N31,"CA/RC")</f>
        <v>1</v>
      </c>
      <c r="O35" s="148">
        <f>COUNTIF(O8:O31,"CA/RC")</f>
        <v>0</v>
      </c>
      <c r="P35" s="148">
        <f>COUNTIF(P8:P31,"CA/RC")</f>
        <v>0</v>
      </c>
      <c r="Q35" s="150">
        <f>COUNTIF(Q8:Q31,"CA/RC")</f>
        <v>0</v>
      </c>
      <c r="R35" s="148">
        <f>COUNTIF(R8:R31,"CA/RC")</f>
        <v>5</v>
      </c>
      <c r="S35" s="150">
        <f t="shared" si="2"/>
        <v>6</v>
      </c>
      <c r="T35" s="150"/>
      <c r="U35" s="148">
        <f>COUNTIF(U8:U31,"CA/RC")</f>
        <v>2</v>
      </c>
      <c r="V35" s="148">
        <f>COUNTIF(V8:V31,"CA/RC")</f>
        <v>2</v>
      </c>
      <c r="W35" s="148">
        <f>COUNTIF(W8:W31,"CA/RC")</f>
        <v>2</v>
      </c>
      <c r="X35" s="148">
        <f>COUNTIF(X8:X31,"CA/RC")</f>
        <v>2</v>
      </c>
      <c r="Y35" s="148">
        <f>COUNTIF(Y8:Y31,"CA/RC")</f>
        <v>3</v>
      </c>
      <c r="Z35" s="150">
        <f t="shared" si="3"/>
        <v>11</v>
      </c>
      <c r="AA35" s="150"/>
      <c r="AB35" s="150">
        <f>COUNTIF(AB8:AB31,"CA/RC")</f>
        <v>0</v>
      </c>
      <c r="AC35" s="148">
        <f>COUNTIF(AC8:AC31,"CA/RC")</f>
        <v>2</v>
      </c>
      <c r="AD35" s="148">
        <f>COUNTIF(AD8:AD31,"CA/RC")</f>
        <v>2</v>
      </c>
      <c r="AE35" s="148">
        <f>COUNTIF(AE8:AE31,"CA/RC")</f>
        <v>2</v>
      </c>
      <c r="AF35" s="148">
        <f>COUNTIF(AF8:AF31,"CA/RC")</f>
        <v>3</v>
      </c>
      <c r="AG35" s="150">
        <f t="shared" si="4"/>
        <v>9</v>
      </c>
      <c r="AH35" s="151"/>
    </row>
    <row r="36" spans="4:34" ht="24" customHeight="1">
      <c r="D36" s="154" t="s">
        <v>176</v>
      </c>
      <c r="E36" s="154">
        <f t="shared" si="0"/>
        <v>0</v>
      </c>
      <c r="F36" s="154" t="s">
        <v>26</v>
      </c>
      <c r="G36" s="148">
        <f>COUNTIF(G8:G31,"ATM/ATA")</f>
        <v>0</v>
      </c>
      <c r="H36" s="148">
        <f>COUNTIF(H8:H31,"ATM/ATA")</f>
        <v>0</v>
      </c>
      <c r="I36" s="148">
        <f>COUNTIF(I8:I31,"ATM/ATA")</f>
        <v>0</v>
      </c>
      <c r="J36" s="148">
        <f>COUNTIF(J8:J31,"ATM/ATA")</f>
        <v>0</v>
      </c>
      <c r="K36" s="149">
        <f>COUNTIF(K8:K31,"ATM/ATA")</f>
        <v>0</v>
      </c>
      <c r="L36" s="149">
        <f t="shared" si="1"/>
        <v>0</v>
      </c>
      <c r="M36" s="149"/>
      <c r="N36" s="148">
        <f>COUNTIF(N8:N31,"ATM/ATA")</f>
        <v>0</v>
      </c>
      <c r="O36" s="148">
        <f>COUNTIF(O8:O31,"ATM/ATA")</f>
        <v>0</v>
      </c>
      <c r="P36" s="148">
        <f>COUNTIF(P8:P31,"ATM/ATA")</f>
        <v>0</v>
      </c>
      <c r="Q36" s="150">
        <f>COUNTIF(Q8:Q31,"ATM/ATA")</f>
        <v>0</v>
      </c>
      <c r="R36" s="148">
        <f>COUNTIF(R8:R31,"ATM/ATA")</f>
        <v>0</v>
      </c>
      <c r="S36" s="150">
        <f t="shared" si="2"/>
        <v>0</v>
      </c>
      <c r="T36" s="150"/>
      <c r="U36" s="148">
        <f>COUNTIF(U8:U31,"ATM/ATA")</f>
        <v>0</v>
      </c>
      <c r="V36" s="148">
        <f>COUNTIF(V8:V31,"ATM/ATA")</f>
        <v>0</v>
      </c>
      <c r="W36" s="148">
        <f>COUNTIF(W8:W31,"ATM/ATA")</f>
        <v>0</v>
      </c>
      <c r="X36" s="148">
        <f>COUNTIF(X8:X31,"ATM/ATA")</f>
        <v>0</v>
      </c>
      <c r="Y36" s="148">
        <f>COUNTIF(Y8:Y31,"ATM/ATA")</f>
        <v>0</v>
      </c>
      <c r="Z36" s="150">
        <f t="shared" si="3"/>
        <v>0</v>
      </c>
      <c r="AA36" s="150"/>
      <c r="AB36" s="150">
        <f>COUNTIF(AB8:AB31,"ATM/ATA")</f>
        <v>0</v>
      </c>
      <c r="AC36" s="148">
        <f>COUNTIF(AC8:AC31,"ATM/ATA")</f>
        <v>0</v>
      </c>
      <c r="AD36" s="148">
        <f>COUNTIF(AD8:AD31,"ATM/ATA")</f>
        <v>0</v>
      </c>
      <c r="AE36" s="148">
        <f>COUNTIF(AE8:AE31,"ATM/ATA")</f>
        <v>0</v>
      </c>
      <c r="AF36" s="148">
        <f>COUNTIF(AF8:AF31,"ATM/ATA")</f>
        <v>0</v>
      </c>
      <c r="AG36" s="150">
        <f t="shared" si="4"/>
        <v>0</v>
      </c>
      <c r="AH36" s="151"/>
    </row>
    <row r="37" spans="4:34" ht="24" customHeight="1">
      <c r="D37" s="122" t="s">
        <v>176</v>
      </c>
      <c r="E37" s="122">
        <f t="shared" si="0"/>
        <v>0</v>
      </c>
      <c r="F37" s="122" t="s">
        <v>27</v>
      </c>
      <c r="G37" s="148">
        <f>COUNTIF(G8:G31,"ASA")</f>
        <v>0</v>
      </c>
      <c r="H37" s="148">
        <f>COUNTIF(H8:H31,"ASA")</f>
        <v>0</v>
      </c>
      <c r="I37" s="148">
        <f>COUNTIF(I8:I31,"ASA")</f>
        <v>0</v>
      </c>
      <c r="J37" s="148">
        <f>COUNTIF(J8:J31,"ASA")</f>
        <v>0</v>
      </c>
      <c r="K37" s="149">
        <f>COUNTIF(K8:K31,"ASA")</f>
        <v>0</v>
      </c>
      <c r="L37" s="149">
        <f t="shared" si="1"/>
        <v>0</v>
      </c>
      <c r="M37" s="149"/>
      <c r="N37" s="148">
        <f>COUNTIF(N8:N31,"ASA")</f>
        <v>0</v>
      </c>
      <c r="O37" s="148">
        <f>COUNTIF(O8:O31,"ASA")</f>
        <v>0</v>
      </c>
      <c r="P37" s="148">
        <f>COUNTIF(P8:P31,"ASA")</f>
        <v>0</v>
      </c>
      <c r="Q37" s="150">
        <f>COUNTIF(Q8:Q31,"ASA")</f>
        <v>0</v>
      </c>
      <c r="R37" s="148">
        <f>COUNTIF(R8:R31,"ASA")</f>
        <v>0</v>
      </c>
      <c r="S37" s="150">
        <f t="shared" si="2"/>
        <v>0</v>
      </c>
      <c r="T37" s="150"/>
      <c r="U37" s="148">
        <f>COUNTIF(U8:U31,"ASA")</f>
        <v>0</v>
      </c>
      <c r="V37" s="148">
        <f>COUNTIF(V8:V31,"ASA")</f>
        <v>0</v>
      </c>
      <c r="W37" s="148">
        <f>COUNTIF(W8:W31,"ASA")</f>
        <v>0</v>
      </c>
      <c r="X37" s="148">
        <f>COUNTIF(X8:X31,"ASA")</f>
        <v>0</v>
      </c>
      <c r="Y37" s="148">
        <f>COUNTIF(Y8:Y31,"ASA")</f>
        <v>0</v>
      </c>
      <c r="Z37" s="150">
        <f t="shared" si="3"/>
        <v>0</v>
      </c>
      <c r="AA37" s="150"/>
      <c r="AB37" s="150">
        <f>COUNTIF(AB8:AB31,"ASA")</f>
        <v>0</v>
      </c>
      <c r="AC37" s="148">
        <f>COUNTIF(AC8:AC31,"ASA")</f>
        <v>0</v>
      </c>
      <c r="AD37" s="148">
        <f>COUNTIF(AD8:AD31,"ASA")</f>
        <v>0</v>
      </c>
      <c r="AE37" s="148">
        <f>COUNTIF(AE8:AE31,"ASA")</f>
        <v>0</v>
      </c>
      <c r="AF37" s="148">
        <f>COUNTIF(AF8:AF31,"ASA")</f>
        <v>0</v>
      </c>
      <c r="AG37" s="150">
        <f t="shared" si="4"/>
        <v>0</v>
      </c>
      <c r="AH37" s="151"/>
    </row>
    <row r="38" spans="4:34" ht="24" customHeight="1">
      <c r="D38" s="155" t="s">
        <v>176</v>
      </c>
      <c r="E38" s="155">
        <f t="shared" si="0"/>
        <v>0</v>
      </c>
      <c r="F38" s="155" t="s">
        <v>28</v>
      </c>
      <c r="G38" s="148">
        <f>COUNTIF(G8:G31,"FORM")</f>
        <v>0</v>
      </c>
      <c r="H38" s="148">
        <f>COUNTIF(H8:H31,"FORM")</f>
        <v>0</v>
      </c>
      <c r="I38" s="148">
        <f>COUNTIF(I8:I31,"FORM")</f>
        <v>0</v>
      </c>
      <c r="J38" s="148">
        <f>COUNTIF(J8:J31,"FORM")</f>
        <v>0</v>
      </c>
      <c r="K38" s="149">
        <f>COUNTIF(K8:K31,"FORM")</f>
        <v>0</v>
      </c>
      <c r="L38" s="149">
        <f t="shared" si="1"/>
        <v>0</v>
      </c>
      <c r="M38" s="149"/>
      <c r="N38" s="148">
        <f>COUNTIF(N8:N31,"FORM")</f>
        <v>0</v>
      </c>
      <c r="O38" s="148">
        <f>COUNTIF(O8:O31,"FORM")</f>
        <v>0</v>
      </c>
      <c r="P38" s="148">
        <f>COUNTIF(P8:P31,"FORM")</f>
        <v>0</v>
      </c>
      <c r="Q38" s="150">
        <f>COUNTIF(Q8:Q31,"FORM")</f>
        <v>0</v>
      </c>
      <c r="R38" s="148">
        <f>COUNTIF(R8:R31,"FORM")</f>
        <v>0</v>
      </c>
      <c r="S38" s="150">
        <f t="shared" si="2"/>
        <v>0</v>
      </c>
      <c r="T38" s="150"/>
      <c r="U38" s="148">
        <f>COUNTIF(U8:U31,"FORM")</f>
        <v>0</v>
      </c>
      <c r="V38" s="148">
        <f>COUNTIF(V8:V31,"FORM")</f>
        <v>0</v>
      </c>
      <c r="W38" s="148">
        <f>COUNTIF(W8:W31,"FORM")</f>
        <v>0</v>
      </c>
      <c r="X38" s="148">
        <f>COUNTIF(X8:X31,"FORM")</f>
        <v>0</v>
      </c>
      <c r="Y38" s="148">
        <f>COUNTIF(Y8:Y31,"FORM")</f>
        <v>0</v>
      </c>
      <c r="Z38" s="150">
        <f t="shared" si="3"/>
        <v>0</v>
      </c>
      <c r="AA38" s="150"/>
      <c r="AB38" s="150">
        <f>COUNTIF(AB8:AB31,"FORM")</f>
        <v>0</v>
      </c>
      <c r="AC38" s="148">
        <f>COUNTIF(AC8:AC31,"FORM")</f>
        <v>0</v>
      </c>
      <c r="AD38" s="148">
        <f>COUNTIF(AD8:AD31,"FORM")</f>
        <v>0</v>
      </c>
      <c r="AE38" s="148">
        <f>COUNTIF(AE8:AE31,"FORM")</f>
        <v>0</v>
      </c>
      <c r="AF38" s="148">
        <f>COUNTIF(AF8:AF31,"FORM")</f>
        <v>0</v>
      </c>
      <c r="AG38" s="150">
        <f t="shared" si="4"/>
        <v>0</v>
      </c>
      <c r="AH38" s="151"/>
    </row>
    <row r="39" spans="4:34" ht="24" customHeight="1">
      <c r="D39" s="156" t="s">
        <v>177</v>
      </c>
      <c r="E39" s="156">
        <f>AVERAGE(G39:AM39)</f>
        <v>2.4117647058823528</v>
      </c>
      <c r="F39" s="215" t="s">
        <v>178</v>
      </c>
      <c r="G39" s="158">
        <f>SUM(G33:G38)</f>
        <v>3</v>
      </c>
      <c r="H39" s="158">
        <f>SUM(H33:H38)</f>
        <v>2</v>
      </c>
      <c r="I39" s="158">
        <f>SUM(I33:I38)</f>
        <v>2</v>
      </c>
      <c r="J39" s="158">
        <f>SUM(J33:J38)</f>
        <v>2</v>
      </c>
      <c r="K39" s="158"/>
      <c r="L39" s="158"/>
      <c r="M39" s="158"/>
      <c r="N39" s="158">
        <f>SUM(N33:N38)</f>
        <v>1</v>
      </c>
      <c r="O39" s="158">
        <f>SUM(O33:O38)</f>
        <v>0</v>
      </c>
      <c r="P39" s="158">
        <f>SUM(P33:P38)</f>
        <v>0</v>
      </c>
      <c r="Q39" s="145"/>
      <c r="R39" s="158">
        <f>SUM(R33:R38)</f>
        <v>5</v>
      </c>
      <c r="S39" s="158"/>
      <c r="T39" s="158"/>
      <c r="U39" s="158">
        <f>SUM(U33:U38)</f>
        <v>2</v>
      </c>
      <c r="V39" s="158">
        <f>SUM(V33:V38)</f>
        <v>2</v>
      </c>
      <c r="W39" s="158">
        <f>SUM(W33:W38)</f>
        <v>2</v>
      </c>
      <c r="X39" s="158">
        <f>SUM(X33:X38)</f>
        <v>3</v>
      </c>
      <c r="Y39" s="158">
        <f>SUM(Y33:Y38)</f>
        <v>4</v>
      </c>
      <c r="Z39" s="158"/>
      <c r="AA39" s="158"/>
      <c r="AB39" s="158"/>
      <c r="AC39" s="158">
        <f>SUM(AC33:AC38)</f>
        <v>3</v>
      </c>
      <c r="AD39" s="158">
        <f>SUM(AD33:AD38)</f>
        <v>3</v>
      </c>
      <c r="AE39" s="158">
        <f>SUM(AE33:AE38)</f>
        <v>3</v>
      </c>
      <c r="AF39" s="158">
        <f>SUM(AF33:AF38)</f>
        <v>4</v>
      </c>
      <c r="AG39" s="158"/>
      <c r="AH39" s="159"/>
    </row>
    <row r="40" spans="4:34" ht="24" customHeight="1">
      <c r="D40" s="156" t="s">
        <v>177</v>
      </c>
      <c r="E40" s="156">
        <f>AVERAGE(G40:AM40)</f>
        <v>17.647058823529413</v>
      </c>
      <c r="F40" s="215" t="s">
        <v>179</v>
      </c>
      <c r="G40" s="158">
        <f>(20+G32)-G39</f>
        <v>17</v>
      </c>
      <c r="H40" s="158">
        <f>(20+H32)-H39</f>
        <v>18</v>
      </c>
      <c r="I40" s="158">
        <f>(20+I32)-I39</f>
        <v>18</v>
      </c>
      <c r="J40" s="158">
        <f>(20+J32)-J39</f>
        <v>18</v>
      </c>
      <c r="K40" s="158"/>
      <c r="L40" s="158"/>
      <c r="M40" s="158"/>
      <c r="N40" s="158">
        <f>(20+N32)-N39</f>
        <v>19</v>
      </c>
      <c r="O40" s="158">
        <f>(20+O32)-O39</f>
        <v>20</v>
      </c>
      <c r="P40" s="158">
        <f>(20+P32)-P39</f>
        <v>20</v>
      </c>
      <c r="Q40" s="158"/>
      <c r="R40" s="158">
        <f>(20+R32)-R39</f>
        <v>15</v>
      </c>
      <c r="S40" s="158"/>
      <c r="T40" s="158"/>
      <c r="U40" s="158">
        <f>(20+U32)-U39</f>
        <v>18</v>
      </c>
      <c r="V40" s="158">
        <f>(20+V32)-V39</f>
        <v>18</v>
      </c>
      <c r="W40" s="158">
        <f>(20+W32)-W39</f>
        <v>18</v>
      </c>
      <c r="X40" s="158">
        <f>(20+X32)-X39</f>
        <v>17</v>
      </c>
      <c r="Y40" s="158">
        <f>(20+Y32)-Y39</f>
        <v>16</v>
      </c>
      <c r="Z40" s="158"/>
      <c r="AA40" s="158"/>
      <c r="AB40" s="158"/>
      <c r="AC40" s="158">
        <f>(20+AC32)-AC39</f>
        <v>17</v>
      </c>
      <c r="AD40" s="158">
        <f>(20+AD32)-AD39</f>
        <v>17</v>
      </c>
      <c r="AE40" s="158">
        <f>(20+AE32)-AE39</f>
        <v>17</v>
      </c>
      <c r="AF40" s="158">
        <f>(20+AF32)-AF39</f>
        <v>17</v>
      </c>
      <c r="AG40" s="158"/>
      <c r="AH40" s="159"/>
    </row>
    <row r="41" spans="4:34" ht="24" customHeight="1">
      <c r="D41" s="156" t="s">
        <v>177</v>
      </c>
      <c r="E41" s="156">
        <f>AVERAGE(G41:AM41)</f>
        <v>16</v>
      </c>
      <c r="F41" s="216" t="s">
        <v>180</v>
      </c>
      <c r="G41" s="161">
        <v>16</v>
      </c>
      <c r="H41" s="161">
        <v>16</v>
      </c>
      <c r="I41" s="161">
        <v>16</v>
      </c>
      <c r="J41" s="161">
        <v>16</v>
      </c>
      <c r="K41" s="161"/>
      <c r="L41" s="161"/>
      <c r="M41" s="161"/>
      <c r="N41" s="161">
        <v>16</v>
      </c>
      <c r="O41" s="161">
        <v>16</v>
      </c>
      <c r="P41" s="161">
        <v>16</v>
      </c>
      <c r="Q41" s="161"/>
      <c r="R41" s="161">
        <v>16</v>
      </c>
      <c r="S41" s="162"/>
      <c r="T41" s="162"/>
      <c r="U41" s="161">
        <v>16</v>
      </c>
      <c r="V41" s="161">
        <v>16</v>
      </c>
      <c r="W41" s="161">
        <v>16</v>
      </c>
      <c r="X41" s="161">
        <v>16</v>
      </c>
      <c r="Y41" s="161">
        <v>16</v>
      </c>
      <c r="Z41" s="162"/>
      <c r="AA41" s="162"/>
      <c r="AB41" s="161"/>
      <c r="AC41" s="161">
        <v>16</v>
      </c>
      <c r="AD41" s="161">
        <v>16</v>
      </c>
      <c r="AE41" s="161">
        <v>16</v>
      </c>
      <c r="AF41" s="161">
        <v>16</v>
      </c>
      <c r="AG41" s="162"/>
      <c r="AH41" s="163"/>
    </row>
    <row r="42" spans="4:34" ht="24" customHeight="1">
      <c r="D42" s="156" t="s">
        <v>177</v>
      </c>
      <c r="E42" s="156">
        <f>AVERAGE(G42:AM42)</f>
        <v>1.6470588235294117</v>
      </c>
      <c r="F42" s="217" t="s">
        <v>181</v>
      </c>
      <c r="G42" s="166">
        <f>G40-G41</f>
        <v>1</v>
      </c>
      <c r="H42" s="166">
        <f>H40-H41</f>
        <v>2</v>
      </c>
      <c r="I42" s="166">
        <f>I40-I41</f>
        <v>2</v>
      </c>
      <c r="J42" s="166">
        <f>J40-J41</f>
        <v>2</v>
      </c>
      <c r="K42" s="166"/>
      <c r="L42" s="166"/>
      <c r="M42" s="166"/>
      <c r="N42" s="166">
        <f>N40-N41</f>
        <v>3</v>
      </c>
      <c r="O42" s="166">
        <f>O40-O41</f>
        <v>4</v>
      </c>
      <c r="P42" s="166">
        <f>P40-P41</f>
        <v>4</v>
      </c>
      <c r="Q42" s="166"/>
      <c r="R42" s="166">
        <f>R40-R41</f>
        <v>-1</v>
      </c>
      <c r="S42" s="166"/>
      <c r="T42" s="166"/>
      <c r="U42" s="166">
        <f>U40-U41</f>
        <v>2</v>
      </c>
      <c r="V42" s="166">
        <f>V40-V41</f>
        <v>2</v>
      </c>
      <c r="W42" s="166">
        <f>W40-W41</f>
        <v>2</v>
      </c>
      <c r="X42" s="166">
        <f>X40-X41</f>
        <v>1</v>
      </c>
      <c r="Y42" s="166">
        <f>Y40-Y41</f>
        <v>0</v>
      </c>
      <c r="Z42" s="166"/>
      <c r="AA42" s="166"/>
      <c r="AB42" s="166"/>
      <c r="AC42" s="166">
        <f>AC40-AC41</f>
        <v>1</v>
      </c>
      <c r="AD42" s="166">
        <f>AD40-AD41</f>
        <v>1</v>
      </c>
      <c r="AE42" s="166">
        <f>AE40-AE41</f>
        <v>1</v>
      </c>
      <c r="AF42" s="166">
        <f>AF40-AF41</f>
        <v>1</v>
      </c>
      <c r="AG42" s="166"/>
      <c r="AH42" s="167"/>
    </row>
    <row r="43" spans="4:34" ht="18.75" customHeight="1">
      <c r="F43" s="13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4:34" ht="18.75" customHeight="1">
      <c r="F44" s="13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4:34" ht="18.75" customHeight="1">
      <c r="F45" s="13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4:34" ht="18.75" customHeight="1">
      <c r="F46" s="13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4:34" ht="18.75" customHeight="1">
      <c r="F47" s="13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4:34" ht="18.75" customHeight="1">
      <c r="F48" s="13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6:34" ht="18.75" customHeight="1">
      <c r="F49" s="13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  <row r="50" spans="6:34" ht="18.75" customHeight="1">
      <c r="F50" s="13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</row>
    <row r="51" spans="6:34" ht="18.75" customHeight="1">
      <c r="F51" s="13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</row>
    <row r="52" spans="6:34" ht="18.75" customHeight="1">
      <c r="F52" s="13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</row>
    <row r="53" spans="6:34" ht="18.75" customHeight="1">
      <c r="F53" s="13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</row>
    <row r="54" spans="6:34" ht="18.75" customHeight="1">
      <c r="F54" s="13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</row>
    <row r="55" spans="6:34" ht="18.75" customHeight="1">
      <c r="F55" s="13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</row>
    <row r="56" spans="6:34" ht="18.75" customHeight="1">
      <c r="F56" s="13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</row>
    <row r="57" spans="6:34" ht="18.75" customHeight="1">
      <c r="F57" s="13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</row>
    <row r="58" spans="6:34" ht="18.75" customHeight="1">
      <c r="F58" s="13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</row>
    <row r="59" spans="6:34" ht="18.75" customHeight="1">
      <c r="F59" s="13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</row>
    <row r="60" spans="6:34" ht="18.75" customHeight="1">
      <c r="F60" s="13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</row>
    <row r="61" spans="6:34" ht="18.75" customHeight="1">
      <c r="F61" s="13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</row>
    <row r="62" spans="6:34" ht="18.75" customHeight="1">
      <c r="F62" s="13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</row>
    <row r="63" spans="6:34" ht="18.75" customHeight="1">
      <c r="F63" s="13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</row>
    <row r="64" spans="6:34" ht="18.75" customHeight="1">
      <c r="F64" s="13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</row>
    <row r="65" spans="6:34" ht="18.75" customHeight="1">
      <c r="F65" s="13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</row>
    <row r="66" spans="6:34" ht="18.75" customHeight="1">
      <c r="F66" s="13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</row>
    <row r="67" spans="6:34" ht="18.75" customHeight="1">
      <c r="F67" s="13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</row>
    <row r="68" spans="6:34" ht="18.75" customHeight="1">
      <c r="F68" s="13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</row>
    <row r="69" spans="6:34" ht="18.75" customHeight="1">
      <c r="F69" s="13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</row>
    <row r="70" spans="6:34" ht="18.75" customHeight="1">
      <c r="F70" s="13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</row>
    <row r="71" spans="6:34" ht="18.75" customHeight="1">
      <c r="F71" s="13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</row>
    <row r="72" spans="6:34" ht="18.75" customHeight="1">
      <c r="F72" s="13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</row>
    <row r="73" spans="6:34" ht="18.75" customHeight="1">
      <c r="F73" s="13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</row>
    <row r="74" spans="6:34" ht="18.75" customHeight="1">
      <c r="F74" s="13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</row>
    <row r="75" spans="6:34" ht="18.75" customHeight="1">
      <c r="F75" s="13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</row>
    <row r="76" spans="6:34" ht="18.75" customHeight="1">
      <c r="F76" s="13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</row>
    <row r="77" spans="6:34" ht="18.75" customHeight="1">
      <c r="F77" s="13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</row>
    <row r="78" spans="6:34" ht="18.75" customHeight="1">
      <c r="F78" s="13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</row>
    <row r="79" spans="6:34" ht="18.75" customHeight="1">
      <c r="F79" s="13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</row>
    <row r="80" spans="6:34" ht="18.75" customHeight="1">
      <c r="F80" s="13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</row>
    <row r="81" spans="6:34" ht="18.75" customHeight="1">
      <c r="F81" s="13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</row>
    <row r="82" spans="6:34" ht="18.75" customHeight="1">
      <c r="F82" s="13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</row>
    <row r="83" spans="6:34" ht="18.75" customHeight="1">
      <c r="F83" s="13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</row>
    <row r="84" spans="6:34" ht="18.75" customHeight="1">
      <c r="F84" s="13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</row>
    <row r="85" spans="6:34" ht="18.75" customHeight="1">
      <c r="F85" s="13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</row>
    <row r="86" spans="6:34" ht="18.75" customHeight="1">
      <c r="F86" s="13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</row>
    <row r="87" spans="6:34" ht="18.75" customHeight="1">
      <c r="F87" s="13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</row>
    <row r="88" spans="6:34" ht="18.75" customHeight="1">
      <c r="F88" s="13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</row>
    <row r="89" spans="6:34" ht="18.75" customHeight="1">
      <c r="F89" s="13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</row>
    <row r="90" spans="6:34" ht="18.75" customHeight="1">
      <c r="F90" s="13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</row>
    <row r="91" spans="6:34" ht="18.75" customHeight="1">
      <c r="F91" s="13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</row>
    <row r="92" spans="6:34" ht="18.75" customHeight="1">
      <c r="F92" s="13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</row>
    <row r="93" spans="6:34" ht="18.75" customHeight="1">
      <c r="F93" s="13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</row>
    <row r="94" spans="6:34" ht="18.75" customHeight="1">
      <c r="F94" s="13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</row>
    <row r="95" spans="6:34" ht="18.75" customHeight="1">
      <c r="F95" s="13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</row>
    <row r="96" spans="6:34" ht="18.75" customHeight="1">
      <c r="F96" s="13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</row>
    <row r="97" spans="6:34" ht="18.75" customHeight="1">
      <c r="F97" s="13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</row>
    <row r="98" spans="6:34" ht="18.75" customHeight="1">
      <c r="F98" s="13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</row>
    <row r="99" spans="6:34" ht="18.75" customHeight="1">
      <c r="F99" s="13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</row>
    <row r="100" spans="6:34" ht="18.75" customHeight="1">
      <c r="F100" s="13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</row>
    <row r="101" spans="6:34" ht="18.75" customHeight="1">
      <c r="F101" s="13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</row>
    <row r="102" spans="6:34" ht="18.75" customHeight="1">
      <c r="F102" s="13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</row>
    <row r="103" spans="6:34" ht="18.75" customHeight="1">
      <c r="F103" s="13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</row>
    <row r="104" spans="6:34" ht="18.75" customHeight="1">
      <c r="F104" s="13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</row>
    <row r="105" spans="6:34" ht="18.75" customHeight="1">
      <c r="F105" s="13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</row>
    <row r="106" spans="6:34" ht="18.75" customHeight="1">
      <c r="F106" s="13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</row>
    <row r="107" spans="6:34" ht="18.75" customHeight="1">
      <c r="F107" s="13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</row>
    <row r="108" spans="6:34" ht="18.75" customHeight="1">
      <c r="F108" s="13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</row>
    <row r="109" spans="6:34" ht="18.75" customHeight="1">
      <c r="F109" s="13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</row>
    <row r="110" spans="6:34" ht="18.75" customHeight="1">
      <c r="F110" s="13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</row>
    <row r="111" spans="6:34" ht="18.75" customHeight="1">
      <c r="F111" s="13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</row>
    <row r="112" spans="6:34" ht="18.75" customHeight="1">
      <c r="F112" s="13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</row>
    <row r="113" spans="6:34" ht="18.75" customHeight="1">
      <c r="F113" s="13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</row>
    <row r="114" spans="6:34" ht="18.75" customHeight="1">
      <c r="F114" s="13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</row>
    <row r="115" spans="6:34" ht="18.75" customHeight="1">
      <c r="F115" s="13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</row>
    <row r="116" spans="6:34" ht="18.75" customHeight="1">
      <c r="F116" s="13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</row>
    <row r="117" spans="6:34" ht="18.75" customHeight="1">
      <c r="F117" s="13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</row>
    <row r="118" spans="6:34" ht="18.75" customHeight="1">
      <c r="F118" s="13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</row>
    <row r="119" spans="6:34" ht="18.75" customHeight="1">
      <c r="F119" s="13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</row>
    <row r="120" spans="6:34" ht="18.75" customHeight="1">
      <c r="F120" s="13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</row>
    <row r="121" spans="6:34" ht="18.75" customHeight="1">
      <c r="F121" s="13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</row>
    <row r="122" spans="6:34" ht="18.75" customHeight="1">
      <c r="F122" s="13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</row>
    <row r="123" spans="6:34" ht="18.75" customHeight="1">
      <c r="F123" s="13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</row>
    <row r="124" spans="6:34" ht="18.75" customHeight="1">
      <c r="F124" s="13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</row>
    <row r="125" spans="6:34" ht="18.75" customHeight="1">
      <c r="F125" s="13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</row>
    <row r="126" spans="6:34" ht="18.75" customHeight="1">
      <c r="F126" s="13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</row>
    <row r="127" spans="6:34" ht="18.75" customHeight="1">
      <c r="F127" s="13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</row>
    <row r="128" spans="6:34" ht="18.75" customHeight="1">
      <c r="F128" s="13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</row>
    <row r="129" spans="6:34" ht="18.75" customHeight="1">
      <c r="F129" s="13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</row>
    <row r="130" spans="6:34" ht="18.75" customHeight="1">
      <c r="F130" s="13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</row>
    <row r="131" spans="6:34" ht="18.75" customHeight="1">
      <c r="F131" s="13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</row>
    <row r="132" spans="6:34" ht="18.75" customHeight="1">
      <c r="F132" s="13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</row>
    <row r="133" spans="6:34" ht="18.75" customHeight="1">
      <c r="F133" s="13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</row>
    <row r="134" spans="6:34" ht="18.75" customHeight="1">
      <c r="F134" s="13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</row>
    <row r="135" spans="6:34" ht="18.75" customHeight="1">
      <c r="F135" s="13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</row>
    <row r="136" spans="6:34" ht="18.75" customHeight="1">
      <c r="F136" s="13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</row>
    <row r="137" spans="6:34" ht="18.75" customHeight="1">
      <c r="F137" s="13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</row>
    <row r="138" spans="6:34" ht="18.75" customHeight="1">
      <c r="F138" s="13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</row>
    <row r="139" spans="6:34" ht="18.75" customHeight="1">
      <c r="F139" s="13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</row>
    <row r="140" spans="6:34" ht="18.75" customHeight="1">
      <c r="F140" s="13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</row>
    <row r="141" spans="6:34" ht="18.75" customHeight="1">
      <c r="F141" s="13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</row>
    <row r="142" spans="6:34" ht="18.75" customHeight="1">
      <c r="F142" s="13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</row>
    <row r="143" spans="6:34" ht="18.75" customHeight="1">
      <c r="F143" s="13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</row>
    <row r="144" spans="6:34" ht="18.75" customHeight="1">
      <c r="F144" s="13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</row>
    <row r="145" spans="6:34" ht="18.75" customHeight="1">
      <c r="F145" s="13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</row>
    <row r="146" spans="6:34" ht="18.75" customHeight="1">
      <c r="F146" s="13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</row>
    <row r="147" spans="6:34" ht="18.75" customHeight="1">
      <c r="F147" s="13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</row>
    <row r="148" spans="6:34" ht="18.75" customHeight="1">
      <c r="F148" s="13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</row>
    <row r="149" spans="6:34" ht="18.75" customHeight="1">
      <c r="F149" s="13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</row>
    <row r="150" spans="6:34" ht="18.75" customHeight="1">
      <c r="F150" s="13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</row>
    <row r="151" spans="6:34" ht="18.75" customHeight="1">
      <c r="F151" s="13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</row>
    <row r="152" spans="6:34" ht="18.75" customHeight="1">
      <c r="F152" s="13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</row>
    <row r="153" spans="6:34" ht="18.75" customHeight="1">
      <c r="F153" s="13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</row>
    <row r="154" spans="6:34" ht="18.75" customHeight="1">
      <c r="F154" s="13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</row>
    <row r="155" spans="6:34" ht="18.75" customHeight="1">
      <c r="F155" s="13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</row>
    <row r="156" spans="6:34" ht="18.75" customHeight="1">
      <c r="F156" s="13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</row>
    <row r="157" spans="6:34" ht="18.75" customHeight="1">
      <c r="F157" s="13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</row>
    <row r="158" spans="6:34" ht="18.75" customHeight="1">
      <c r="F158" s="13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</row>
    <row r="159" spans="6:34" ht="18.75" customHeight="1">
      <c r="F159" s="13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</row>
    <row r="160" spans="6:34" ht="18.75" customHeight="1">
      <c r="F160" s="13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</row>
    <row r="161" spans="6:34" ht="18.75" customHeight="1">
      <c r="F161" s="13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</row>
    <row r="162" spans="6:34" ht="18.75" customHeight="1">
      <c r="F162" s="13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</row>
    <row r="163" spans="6:34" ht="18.75" customHeight="1">
      <c r="F163" s="13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</row>
    <row r="164" spans="6:34" ht="18.75" customHeight="1">
      <c r="F164" s="13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</row>
    <row r="165" spans="6:34" ht="18.75" customHeight="1">
      <c r="F165" s="13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</row>
    <row r="166" spans="6:34" ht="18.75" customHeight="1">
      <c r="F166" s="13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</row>
    <row r="167" spans="6:34" ht="18.75" customHeight="1">
      <c r="F167" s="13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</row>
    <row r="168" spans="6:34" ht="18.75" customHeight="1">
      <c r="F168" s="13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</row>
    <row r="169" spans="6:34" ht="18.75" customHeight="1">
      <c r="F169" s="13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</row>
    <row r="170" spans="6:34" ht="18.75" customHeight="1">
      <c r="F170" s="13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</row>
    <row r="171" spans="6:34" ht="18.75" customHeight="1">
      <c r="F171" s="13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</row>
    <row r="172" spans="6:34" ht="18.75" customHeight="1">
      <c r="F172" s="13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</row>
    <row r="173" spans="6:34" ht="18.75" customHeight="1">
      <c r="F173" s="13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</row>
    <row r="174" spans="6:34" ht="18.75" customHeight="1">
      <c r="F174" s="13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</row>
    <row r="175" spans="6:34" ht="18.75" customHeight="1">
      <c r="F175" s="13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</row>
    <row r="176" spans="6:34" ht="18.75" customHeight="1">
      <c r="F176" s="13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</row>
    <row r="177" spans="6:34" ht="18.75" customHeight="1">
      <c r="F177" s="13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</row>
    <row r="178" spans="6:34" ht="18.75" customHeight="1">
      <c r="F178" s="13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</row>
    <row r="179" spans="6:34" ht="18.75" customHeight="1">
      <c r="F179" s="13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</row>
    <row r="180" spans="6:34" ht="18.75" customHeight="1">
      <c r="F180" s="13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</row>
    <row r="181" spans="6:34" ht="18.75" customHeight="1">
      <c r="F181" s="13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</row>
    <row r="182" spans="6:34" ht="18.75" customHeight="1">
      <c r="F182" s="13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</row>
    <row r="183" spans="6:34" ht="18.75" customHeight="1">
      <c r="F183" s="13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</row>
    <row r="184" spans="6:34" ht="18.75" customHeight="1">
      <c r="F184" s="13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</row>
    <row r="185" spans="6:34" ht="18.75" customHeight="1">
      <c r="F185" s="13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</row>
    <row r="186" spans="6:34" ht="18.75" customHeight="1">
      <c r="F186" s="13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</row>
    <row r="187" spans="6:34" ht="18.75" customHeight="1">
      <c r="F187" s="13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</row>
    <row r="188" spans="6:34" ht="18.75" customHeight="1">
      <c r="F188" s="13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</row>
    <row r="189" spans="6:34" ht="18.75" customHeight="1">
      <c r="F189" s="13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</row>
    <row r="190" spans="6:34" ht="18.75" customHeight="1">
      <c r="F190" s="13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</row>
    <row r="191" spans="6:34" ht="18.75" customHeight="1">
      <c r="F191" s="13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</row>
    <row r="192" spans="6:34" ht="18.75" customHeight="1">
      <c r="F192" s="13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</row>
    <row r="193" spans="6:34" ht="18.75" customHeight="1">
      <c r="F193" s="13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</row>
    <row r="194" spans="6:34" ht="18.75" customHeight="1">
      <c r="F194" s="13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</row>
    <row r="195" spans="6:34" ht="18.75" customHeight="1">
      <c r="F195" s="13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</row>
    <row r="196" spans="6:34" ht="18.75" customHeight="1">
      <c r="F196" s="13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</row>
    <row r="197" spans="6:34" ht="18.75" customHeight="1">
      <c r="F197" s="13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</row>
    <row r="198" spans="6:34" ht="18.75" customHeight="1">
      <c r="F198" s="13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</row>
    <row r="199" spans="6:34" ht="18.75" customHeight="1">
      <c r="F199" s="13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</row>
    <row r="200" spans="6:34" ht="18.75" customHeight="1">
      <c r="F200" s="13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</row>
    <row r="201" spans="6:34" ht="18.75" customHeight="1">
      <c r="F201" s="13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</row>
    <row r="202" spans="6:34" ht="18.75" customHeight="1">
      <c r="F202" s="13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</row>
    <row r="203" spans="6:34" ht="18.75" customHeight="1">
      <c r="F203" s="13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</row>
    <row r="204" spans="6:34" ht="18.75" customHeight="1">
      <c r="F204" s="13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</row>
    <row r="205" spans="6:34" ht="18.75" customHeight="1">
      <c r="F205" s="13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</row>
    <row r="206" spans="6:34" ht="18.75" customHeight="1">
      <c r="F206" s="13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</row>
    <row r="207" spans="6:34" ht="18.75" customHeight="1">
      <c r="F207" s="13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</row>
    <row r="208" spans="6:34" ht="18.75" customHeight="1">
      <c r="F208" s="13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</row>
    <row r="209" spans="6:34" ht="18.75" customHeight="1">
      <c r="F209" s="13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</row>
    <row r="210" spans="6:34" ht="18.75" customHeight="1">
      <c r="F210" s="13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</row>
    <row r="211" spans="6:34" ht="18.75" customHeight="1">
      <c r="F211" s="13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</row>
    <row r="212" spans="6:34" ht="18.75" customHeight="1">
      <c r="F212" s="13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</row>
    <row r="213" spans="6:34" ht="18.75" customHeight="1">
      <c r="F213" s="13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</row>
    <row r="214" spans="6:34" ht="18.75" customHeight="1">
      <c r="F214" s="13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</row>
    <row r="215" spans="6:34" ht="18.75" customHeight="1">
      <c r="F215" s="13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</row>
    <row r="216" spans="6:34" ht="18.75" customHeight="1">
      <c r="F216" s="13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</row>
    <row r="217" spans="6:34" ht="18.75" customHeight="1">
      <c r="F217" s="13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</row>
    <row r="218" spans="6:34" ht="18.75" customHeight="1">
      <c r="F218" s="13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</row>
    <row r="219" spans="6:34" ht="18.75" customHeight="1">
      <c r="F219" s="13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</row>
    <row r="220" spans="6:34" ht="18.75" customHeight="1">
      <c r="F220" s="13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</row>
    <row r="221" spans="6:34" ht="18.75" customHeight="1">
      <c r="F221" s="13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</row>
    <row r="222" spans="6:34" ht="18.75" customHeight="1">
      <c r="F222" s="13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</row>
    <row r="223" spans="6:34" ht="18.75" customHeight="1">
      <c r="F223" s="13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</row>
    <row r="224" spans="6:34" ht="18.75" customHeight="1">
      <c r="F224" s="13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</row>
    <row r="225" spans="6:34" ht="18.75" customHeight="1">
      <c r="F225" s="13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</row>
    <row r="226" spans="6:34" ht="18.75" customHeight="1">
      <c r="F226" s="13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</row>
    <row r="227" spans="6:34" ht="18.75" customHeight="1">
      <c r="F227" s="13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</row>
    <row r="228" spans="6:34" ht="18.75" customHeight="1">
      <c r="F228" s="13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</row>
    <row r="229" spans="6:34" ht="18.75" customHeight="1">
      <c r="F229" s="13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</row>
    <row r="230" spans="6:34" ht="18.75" customHeight="1">
      <c r="F230" s="13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</row>
    <row r="231" spans="6:34" ht="18.75" customHeight="1">
      <c r="F231" s="13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</row>
    <row r="232" spans="6:34" ht="18.75" customHeight="1">
      <c r="F232" s="13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</row>
    <row r="233" spans="6:34" ht="18.75" customHeight="1">
      <c r="F233" s="13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</row>
    <row r="234" spans="6:34" ht="18.75" customHeight="1">
      <c r="F234" s="13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</row>
    <row r="235" spans="6:34" ht="18.75" customHeight="1">
      <c r="F235" s="13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</row>
    <row r="236" spans="6:34" ht="18.75" customHeight="1">
      <c r="F236" s="13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</row>
    <row r="237" spans="6:34" ht="18.75" customHeight="1">
      <c r="F237" s="13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</row>
    <row r="238" spans="6:34" ht="18.75" customHeight="1">
      <c r="F238" s="13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</row>
    <row r="239" spans="6:34" ht="18.75" customHeight="1">
      <c r="F239" s="13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</row>
    <row r="240" spans="6:34" ht="18.75" customHeight="1">
      <c r="F240" s="13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</row>
    <row r="241" spans="6:34" ht="18.75" customHeight="1">
      <c r="F241" s="13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</row>
    <row r="242" spans="6:34" ht="18.75" customHeight="1">
      <c r="F242" s="13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</row>
    <row r="243" spans="6:34" ht="18.75" customHeight="1">
      <c r="F243" s="13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</row>
    <row r="244" spans="6:34" ht="18.75" customHeight="1">
      <c r="F244" s="13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</row>
    <row r="245" spans="6:34" ht="18.75" customHeight="1">
      <c r="F245" s="13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</row>
    <row r="246" spans="6:34" ht="18.75" customHeight="1">
      <c r="F246" s="13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</row>
    <row r="247" spans="6:34" ht="18.75" customHeight="1">
      <c r="F247" s="13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</row>
    <row r="248" spans="6:34" ht="18.75" customHeight="1">
      <c r="F248" s="13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</row>
    <row r="249" spans="6:34" ht="18.75" customHeight="1">
      <c r="F249" s="13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</row>
    <row r="250" spans="6:34" ht="18.75" customHeight="1">
      <c r="F250" s="13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</row>
    <row r="251" spans="6:34" ht="18.75" customHeight="1">
      <c r="F251" s="13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</row>
    <row r="252" spans="6:34" ht="18.75" customHeight="1">
      <c r="F252" s="13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</row>
    <row r="253" spans="6:34" ht="18.75" customHeight="1">
      <c r="F253" s="13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</row>
    <row r="254" spans="6:34" ht="18.75" customHeight="1">
      <c r="F254" s="13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</row>
    <row r="255" spans="6:34" ht="18.75" customHeight="1">
      <c r="F255" s="13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</row>
    <row r="256" spans="6:34" ht="18.75" customHeight="1">
      <c r="F256" s="13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</row>
    <row r="257" spans="6:34" ht="18.75" customHeight="1">
      <c r="F257" s="13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</row>
    <row r="258" spans="6:34" ht="18.75" customHeight="1">
      <c r="F258" s="13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</row>
    <row r="259" spans="6:34" ht="18.75" customHeight="1">
      <c r="F259" s="13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</row>
    <row r="260" spans="6:34" ht="18.75" customHeight="1">
      <c r="F260" s="13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</row>
    <row r="261" spans="6:34" ht="18.75" customHeight="1">
      <c r="F261" s="13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</row>
    <row r="262" spans="6:34" ht="18.75" customHeight="1">
      <c r="F262" s="13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</row>
    <row r="263" spans="6:34" ht="18.75" customHeight="1">
      <c r="F263" s="13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</row>
    <row r="264" spans="6:34" ht="18.75" customHeight="1">
      <c r="F264" s="13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</row>
    <row r="265" spans="6:34" ht="18.75" customHeight="1">
      <c r="F265" s="13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</row>
    <row r="266" spans="6:34" ht="18.75" customHeight="1">
      <c r="F266" s="13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</row>
    <row r="267" spans="6:34" ht="18.75" customHeight="1">
      <c r="F267" s="13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</row>
    <row r="268" spans="6:34" ht="18.75" customHeight="1">
      <c r="F268" s="13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</row>
    <row r="269" spans="6:34" ht="18.75" customHeight="1">
      <c r="F269" s="13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</row>
    <row r="270" spans="6:34" ht="18.75" customHeight="1">
      <c r="F270" s="13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</row>
    <row r="271" spans="6:34" ht="18.75" customHeight="1">
      <c r="F271" s="13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</row>
    <row r="272" spans="6:34" ht="18.75" customHeight="1">
      <c r="F272" s="13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</row>
    <row r="273" spans="6:34" ht="18.75" customHeight="1">
      <c r="F273" s="13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</row>
    <row r="274" spans="6:34" ht="18.75" customHeight="1">
      <c r="F274" s="13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</row>
    <row r="275" spans="6:34" ht="18.75" customHeight="1">
      <c r="F275" s="13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</row>
    <row r="276" spans="6:34" ht="18.75" customHeight="1">
      <c r="F276" s="13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</row>
    <row r="277" spans="6:34" ht="18.75" customHeight="1">
      <c r="F277" s="13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</row>
    <row r="278" spans="6:34" ht="18.75" customHeight="1">
      <c r="F278" s="13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</row>
    <row r="279" spans="6:34" ht="18.75" customHeight="1">
      <c r="F279" s="13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</row>
    <row r="280" spans="6:34" ht="18.75" customHeight="1">
      <c r="F280" s="13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</row>
    <row r="281" spans="6:34" ht="18.75" customHeight="1">
      <c r="F281" s="13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</row>
    <row r="282" spans="6:34" ht="18.75" customHeight="1">
      <c r="F282" s="13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</row>
    <row r="283" spans="6:34" ht="18.75" customHeight="1">
      <c r="F283" s="13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</row>
    <row r="284" spans="6:34" ht="18.75" customHeight="1">
      <c r="F284" s="13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</row>
    <row r="285" spans="6:34" ht="18.75" customHeight="1">
      <c r="F285" s="13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</row>
    <row r="286" spans="6:34" ht="18.75" customHeight="1">
      <c r="F286" s="13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</row>
    <row r="287" spans="6:34" ht="18.75" customHeight="1">
      <c r="F287" s="13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</row>
    <row r="288" spans="6:34" ht="18.75" customHeight="1">
      <c r="F288" s="13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</row>
    <row r="289" spans="6:34" ht="18.75" customHeight="1">
      <c r="F289" s="13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</row>
    <row r="290" spans="6:34" ht="18.75" customHeight="1">
      <c r="F290" s="13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</row>
    <row r="291" spans="6:34" ht="18.75" customHeight="1">
      <c r="F291" s="13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</row>
    <row r="292" spans="6:34" ht="18.75" customHeight="1">
      <c r="F292" s="13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</row>
    <row r="293" spans="6:34" ht="18.75" customHeight="1">
      <c r="F293" s="13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</row>
    <row r="294" spans="6:34" ht="18.75" customHeight="1">
      <c r="F294" s="13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</row>
    <row r="295" spans="6:34" ht="18.75" customHeight="1">
      <c r="F295" s="13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</row>
    <row r="296" spans="6:34" ht="18.75" customHeight="1">
      <c r="F296" s="13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</row>
    <row r="297" spans="6:34" ht="18.75" customHeight="1">
      <c r="F297" s="13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</row>
    <row r="298" spans="6:34" ht="18.75" customHeight="1">
      <c r="F298" s="13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</row>
    <row r="299" spans="6:34" ht="18.75" customHeight="1">
      <c r="F299" s="13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</row>
    <row r="300" spans="6:34" ht="18.75" customHeight="1">
      <c r="F300" s="13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</row>
    <row r="301" spans="6:34" ht="18.75" customHeight="1">
      <c r="F301" s="13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</row>
    <row r="302" spans="6:34" ht="18.75" customHeight="1">
      <c r="F302" s="13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</row>
    <row r="303" spans="6:34" ht="18.75" customHeight="1">
      <c r="F303" s="13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</row>
    <row r="304" spans="6:34" ht="18.75" customHeight="1">
      <c r="F304" s="13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</row>
    <row r="305" spans="6:34" ht="18.75" customHeight="1">
      <c r="F305" s="13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</row>
    <row r="306" spans="6:34" ht="18.75" customHeight="1">
      <c r="F306" s="13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</row>
    <row r="307" spans="6:34" ht="18.75" customHeight="1">
      <c r="F307" s="13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</row>
    <row r="308" spans="6:34" ht="18.75" customHeight="1">
      <c r="F308" s="13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</row>
    <row r="309" spans="6:34" ht="18.75" customHeight="1">
      <c r="F309" s="13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</row>
    <row r="310" spans="6:34" ht="18.75" customHeight="1">
      <c r="F310" s="13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</row>
    <row r="311" spans="6:34" ht="18.75" customHeight="1">
      <c r="F311" s="13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</row>
    <row r="312" spans="6:34" ht="18.75" customHeight="1">
      <c r="F312" s="13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</row>
    <row r="313" spans="6:34" ht="18.75" customHeight="1">
      <c r="F313" s="13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</row>
    <row r="314" spans="6:34" ht="18.75" customHeight="1">
      <c r="F314" s="13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</row>
    <row r="315" spans="6:34" ht="18.75" customHeight="1">
      <c r="F315" s="13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</row>
    <row r="316" spans="6:34" ht="18.75" customHeight="1">
      <c r="F316" s="13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</row>
    <row r="317" spans="6:34" ht="18.75" customHeight="1">
      <c r="F317" s="13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</row>
    <row r="318" spans="6:34" ht="18.75" customHeight="1">
      <c r="F318" s="13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</row>
    <row r="319" spans="6:34" ht="18.75" customHeight="1">
      <c r="F319" s="13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</row>
    <row r="320" spans="6:34" ht="18.75" customHeight="1">
      <c r="F320" s="13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</row>
    <row r="321" spans="6:34" ht="18.75" customHeight="1">
      <c r="F321" s="13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</row>
    <row r="322" spans="6:34" ht="18.75" customHeight="1">
      <c r="F322" s="13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</row>
    <row r="323" spans="6:34" ht="18.75" customHeight="1">
      <c r="F323" s="13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</row>
    <row r="324" spans="6:34" ht="18.75" customHeight="1">
      <c r="F324" s="13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</row>
    <row r="325" spans="6:34" ht="18.75" customHeight="1">
      <c r="F325" s="13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</row>
    <row r="326" spans="6:34" ht="18.75" customHeight="1">
      <c r="F326" s="13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</row>
    <row r="327" spans="6:34" ht="18.75" customHeight="1">
      <c r="F327" s="13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</row>
    <row r="328" spans="6:34" ht="18.75" customHeight="1">
      <c r="F328" s="13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</row>
    <row r="329" spans="6:34" ht="18.75" customHeight="1">
      <c r="F329" s="13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</row>
    <row r="330" spans="6:34" ht="18.75" customHeight="1">
      <c r="F330" s="13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</row>
    <row r="331" spans="6:34" ht="18.75" customHeight="1">
      <c r="F331" s="13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</row>
    <row r="332" spans="6:34" ht="18.75" customHeight="1">
      <c r="F332" s="13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</row>
    <row r="333" spans="6:34" ht="18.75" customHeight="1">
      <c r="F333" s="13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</row>
    <row r="334" spans="6:34" ht="18.75" customHeight="1">
      <c r="F334" s="13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</row>
    <row r="335" spans="6:34" ht="18.75" customHeight="1">
      <c r="F335" s="13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</row>
    <row r="336" spans="6:34" ht="18.75" customHeight="1">
      <c r="F336" s="13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</row>
    <row r="337" spans="6:34" ht="18.75" customHeight="1">
      <c r="F337" s="13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</row>
    <row r="338" spans="6:34" ht="18.75" customHeight="1">
      <c r="F338" s="13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</row>
    <row r="339" spans="6:34" ht="18.75" customHeight="1">
      <c r="F339" s="13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</row>
    <row r="340" spans="6:34" ht="18.75" customHeight="1">
      <c r="F340" s="13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</row>
    <row r="341" spans="6:34" ht="18.75" customHeight="1">
      <c r="F341" s="13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</row>
    <row r="342" spans="6:34" ht="18.75" customHeight="1">
      <c r="F342" s="13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</row>
    <row r="343" spans="6:34" ht="18.75" customHeight="1">
      <c r="F343" s="13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</row>
    <row r="344" spans="6:34" ht="18.75" customHeight="1">
      <c r="F344" s="13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</row>
    <row r="345" spans="6:34" ht="18.75" customHeight="1">
      <c r="F345" s="13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</row>
    <row r="346" spans="6:34" ht="18.75" customHeight="1">
      <c r="F346" s="13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</row>
    <row r="347" spans="6:34" ht="18.75" customHeight="1">
      <c r="F347" s="13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</row>
    <row r="348" spans="6:34" ht="18.75" customHeight="1">
      <c r="F348" s="13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</row>
    <row r="349" spans="6:34" ht="18.75" customHeight="1">
      <c r="F349" s="13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</row>
    <row r="350" spans="6:34" ht="18.75" customHeight="1">
      <c r="F350" s="13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</row>
    <row r="351" spans="6:34" ht="18.75" customHeight="1">
      <c r="F351" s="13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</row>
    <row r="352" spans="6:34" ht="18.75" customHeight="1">
      <c r="F352" s="13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</row>
    <row r="353" spans="6:34" ht="18.75" customHeight="1">
      <c r="F353" s="13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</row>
    <row r="354" spans="6:34" ht="18.75" customHeight="1">
      <c r="F354" s="13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</row>
    <row r="355" spans="6:34" ht="18.75" customHeight="1">
      <c r="F355" s="13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</row>
    <row r="356" spans="6:34" ht="18.75" customHeight="1">
      <c r="F356" s="13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</row>
    <row r="357" spans="6:34" ht="18.75" customHeight="1">
      <c r="F357" s="13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</row>
    <row r="358" spans="6:34" ht="18.75" customHeight="1">
      <c r="F358" s="13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</row>
    <row r="359" spans="6:34" ht="18.75" customHeight="1">
      <c r="F359" s="13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</row>
    <row r="360" spans="6:34" ht="18.75" customHeight="1">
      <c r="F360" s="13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</row>
    <row r="361" spans="6:34" ht="18.75" customHeight="1">
      <c r="F361" s="13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</row>
    <row r="362" spans="6:34" ht="18.75" customHeight="1">
      <c r="F362" s="13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</row>
    <row r="363" spans="6:34" ht="18.75" customHeight="1">
      <c r="F363" s="13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</row>
    <row r="364" spans="6:34" ht="18.75" customHeight="1">
      <c r="F364" s="13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</row>
    <row r="365" spans="6:34" ht="18.75" customHeight="1">
      <c r="F365" s="13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</row>
    <row r="366" spans="6:34" ht="18.75" customHeight="1">
      <c r="F366" s="13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</row>
    <row r="367" spans="6:34" ht="18.75" customHeight="1">
      <c r="F367" s="13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</row>
    <row r="368" spans="6:34" ht="18.75" customHeight="1">
      <c r="F368" s="13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</row>
    <row r="369" spans="6:34" ht="18.75" customHeight="1">
      <c r="F369" s="13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</row>
    <row r="370" spans="6:34" ht="18.75" customHeight="1">
      <c r="F370" s="13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</row>
    <row r="371" spans="6:34" ht="18.75" customHeight="1">
      <c r="F371" s="13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</row>
    <row r="372" spans="6:34" ht="18.75" customHeight="1">
      <c r="F372" s="13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</row>
    <row r="373" spans="6:34" ht="18.75" customHeight="1">
      <c r="F373" s="13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</row>
    <row r="374" spans="6:34" ht="18.75" customHeight="1">
      <c r="F374" s="13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</row>
    <row r="375" spans="6:34" ht="18.75" customHeight="1">
      <c r="F375" s="13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</row>
    <row r="376" spans="6:34" ht="18.75" customHeight="1">
      <c r="F376" s="13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</row>
    <row r="377" spans="6:34" ht="18.75" customHeight="1">
      <c r="F377" s="13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</row>
    <row r="378" spans="6:34" ht="18.75" customHeight="1">
      <c r="F378" s="13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</row>
    <row r="379" spans="6:34" ht="18.75" customHeight="1">
      <c r="F379" s="13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</row>
    <row r="380" spans="6:34" ht="18.75" customHeight="1">
      <c r="F380" s="13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</row>
    <row r="381" spans="6:34" ht="18.75" customHeight="1">
      <c r="F381" s="13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</row>
    <row r="382" spans="6:34" ht="18.75" customHeight="1">
      <c r="F382" s="13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</row>
    <row r="383" spans="6:34" ht="18.75" customHeight="1">
      <c r="F383" s="13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</row>
    <row r="384" spans="6:34" ht="18.75" customHeight="1">
      <c r="F384" s="13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</row>
    <row r="385" spans="6:34" ht="18.75" customHeight="1">
      <c r="F385" s="13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</row>
    <row r="386" spans="6:34" ht="18.75" customHeight="1">
      <c r="F386" s="13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</row>
    <row r="387" spans="6:34" ht="18.75" customHeight="1">
      <c r="F387" s="13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</row>
    <row r="388" spans="6:34" ht="18.75" customHeight="1">
      <c r="F388" s="13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</row>
    <row r="389" spans="6:34" ht="18.75" customHeight="1">
      <c r="F389" s="13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</row>
    <row r="390" spans="6:34" ht="18.75" customHeight="1">
      <c r="F390" s="13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</row>
    <row r="391" spans="6:34" ht="18.75" customHeight="1">
      <c r="F391" s="13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</row>
    <row r="392" spans="6:34" ht="18.75" customHeight="1">
      <c r="F392" s="13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</row>
    <row r="393" spans="6:34" ht="18.75" customHeight="1">
      <c r="F393" s="13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</row>
    <row r="394" spans="6:34" ht="18.75" customHeight="1">
      <c r="F394" s="13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</row>
    <row r="395" spans="6:34" ht="18.75" customHeight="1">
      <c r="F395" s="13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</row>
    <row r="396" spans="6:34" ht="18.75" customHeight="1">
      <c r="F396" s="13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</row>
    <row r="397" spans="6:34" ht="18.75" customHeight="1">
      <c r="F397" s="13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</row>
    <row r="398" spans="6:34" ht="18.75" customHeight="1">
      <c r="F398" s="13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</row>
    <row r="399" spans="6:34" ht="18.75" customHeight="1">
      <c r="F399" s="13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</row>
    <row r="400" spans="6:34" ht="18.75" customHeight="1">
      <c r="F400" s="13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</row>
    <row r="401" spans="6:34" ht="18.75" customHeight="1">
      <c r="F401" s="13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</row>
    <row r="402" spans="6:34" ht="18.75" customHeight="1">
      <c r="F402" s="13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</row>
    <row r="403" spans="6:34" ht="18.75" customHeight="1">
      <c r="F403" s="13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</row>
    <row r="404" spans="6:34" ht="18.75" customHeight="1">
      <c r="F404" s="13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</row>
    <row r="405" spans="6:34" ht="18.75" customHeight="1">
      <c r="F405" s="13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</row>
    <row r="406" spans="6:34" ht="18.75" customHeight="1">
      <c r="F406" s="13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</row>
    <row r="407" spans="6:34" ht="18.75" customHeight="1">
      <c r="F407" s="13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</row>
    <row r="408" spans="6:34" ht="18.75" customHeight="1">
      <c r="F408" s="13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</row>
    <row r="409" spans="6:34" ht="18.75" customHeight="1">
      <c r="F409" s="13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</row>
    <row r="410" spans="6:34" ht="18.75" customHeight="1">
      <c r="F410" s="13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</row>
    <row r="411" spans="6:34" ht="18.75" customHeight="1">
      <c r="F411" s="13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</row>
    <row r="412" spans="6:34" ht="18.75" customHeight="1">
      <c r="F412" s="13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</row>
    <row r="413" spans="6:34" ht="18.75" customHeight="1">
      <c r="F413" s="13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</row>
    <row r="414" spans="6:34" ht="18.75" customHeight="1">
      <c r="F414" s="13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</row>
    <row r="415" spans="6:34" ht="18.75" customHeight="1">
      <c r="F415" s="13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</row>
    <row r="416" spans="6:34" ht="18.75" customHeight="1">
      <c r="F416" s="13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</row>
    <row r="417" spans="6:34" ht="18.75" customHeight="1">
      <c r="F417" s="13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</row>
    <row r="418" spans="6:34" ht="18.75" customHeight="1">
      <c r="F418" s="13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</row>
    <row r="419" spans="6:34" ht="18.75" customHeight="1">
      <c r="F419" s="13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</row>
    <row r="420" spans="6:34" ht="18.75" customHeight="1">
      <c r="F420" s="13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</row>
    <row r="421" spans="6:34" ht="18.75" customHeight="1">
      <c r="F421" s="13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</row>
    <row r="422" spans="6:34" ht="18.75" customHeight="1">
      <c r="F422" s="13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</row>
    <row r="423" spans="6:34" ht="18.75" customHeight="1">
      <c r="F423" s="13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</row>
    <row r="424" spans="6:34" ht="18.75" customHeight="1">
      <c r="F424" s="13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</row>
    <row r="425" spans="6:34" ht="18.75" customHeight="1">
      <c r="F425" s="13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</row>
    <row r="426" spans="6:34" ht="18.75" customHeight="1">
      <c r="F426" s="13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</row>
    <row r="427" spans="6:34" ht="18.75" customHeight="1">
      <c r="F427" s="13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</row>
    <row r="428" spans="6:34" ht="18.75" customHeight="1">
      <c r="F428" s="13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</row>
    <row r="429" spans="6:34" ht="18.75" customHeight="1">
      <c r="F429" s="13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</row>
    <row r="430" spans="6:34" ht="18.75" customHeight="1">
      <c r="F430" s="13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</row>
    <row r="431" spans="6:34" ht="18.75" customHeight="1">
      <c r="F431" s="13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</row>
    <row r="432" spans="6:34" ht="18.75" customHeight="1">
      <c r="F432" s="13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</row>
    <row r="433" spans="6:34" ht="18.75" customHeight="1">
      <c r="F433" s="13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</row>
    <row r="434" spans="6:34" ht="18.75" customHeight="1">
      <c r="F434" s="13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</row>
    <row r="435" spans="6:34" ht="18.75" customHeight="1">
      <c r="F435" s="13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</row>
    <row r="436" spans="6:34" ht="18.75" customHeight="1">
      <c r="F436" s="13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</row>
    <row r="437" spans="6:34" ht="18.75" customHeight="1">
      <c r="F437" s="13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</row>
    <row r="438" spans="6:34" ht="18.75" customHeight="1">
      <c r="F438" s="13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</row>
    <row r="439" spans="6:34" ht="18.75" customHeight="1">
      <c r="F439" s="13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</row>
    <row r="440" spans="6:34" ht="18.75" customHeight="1">
      <c r="F440" s="13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</row>
    <row r="441" spans="6:34" ht="18.75" customHeight="1">
      <c r="F441" s="13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</row>
    <row r="442" spans="6:34" ht="18.75" customHeight="1">
      <c r="F442" s="13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</row>
    <row r="443" spans="6:34" ht="18.75" customHeight="1">
      <c r="F443" s="13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</row>
    <row r="444" spans="6:34" ht="18.75" customHeight="1">
      <c r="F444" s="13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</row>
    <row r="445" spans="6:34" ht="18.75" customHeight="1">
      <c r="F445" s="13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</row>
    <row r="446" spans="6:34" ht="18.75" customHeight="1">
      <c r="F446" s="13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</row>
    <row r="447" spans="6:34" ht="18.75" customHeight="1">
      <c r="F447" s="13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</row>
    <row r="448" spans="6:34" ht="18.75" customHeight="1">
      <c r="F448" s="13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</row>
    <row r="449" spans="6:34" ht="18.75" customHeight="1">
      <c r="F449" s="13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</row>
    <row r="450" spans="6:34" ht="18.75" customHeight="1">
      <c r="F450" s="13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</row>
    <row r="451" spans="6:34" ht="18.75" customHeight="1">
      <c r="F451" s="13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</row>
    <row r="452" spans="6:34" ht="18.75" customHeight="1">
      <c r="F452" s="13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</row>
    <row r="453" spans="6:34" ht="18.75" customHeight="1">
      <c r="F453" s="13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</row>
    <row r="454" spans="6:34" ht="18.75" customHeight="1">
      <c r="F454" s="13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</row>
    <row r="455" spans="6:34" ht="18.75" customHeight="1">
      <c r="F455" s="13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</row>
    <row r="456" spans="6:34" ht="18.75" customHeight="1">
      <c r="F456" s="13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</row>
    <row r="457" spans="6:34" ht="18.75" customHeight="1">
      <c r="F457" s="13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</row>
    <row r="458" spans="6:34" ht="18.75" customHeight="1">
      <c r="F458" s="13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</row>
    <row r="459" spans="6:34" ht="18.75" customHeight="1">
      <c r="F459" s="13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</row>
    <row r="460" spans="6:34" ht="18.75" customHeight="1">
      <c r="F460" s="13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</row>
    <row r="461" spans="6:34" ht="18.75" customHeight="1">
      <c r="F461" s="13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</row>
    <row r="462" spans="6:34" ht="18.75" customHeight="1">
      <c r="F462" s="13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</row>
    <row r="463" spans="6:34" ht="18.75" customHeight="1">
      <c r="F463" s="13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</row>
    <row r="464" spans="6:34" ht="18.75" customHeight="1">
      <c r="F464" s="13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</row>
    <row r="465" spans="6:34" ht="18.75" customHeight="1">
      <c r="F465" s="13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</row>
    <row r="466" spans="6:34" ht="18.75" customHeight="1">
      <c r="F466" s="13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</row>
    <row r="467" spans="6:34" ht="18.75" customHeight="1">
      <c r="F467" s="13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</row>
    <row r="468" spans="6:34" ht="18.75" customHeight="1">
      <c r="F468" s="13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</row>
    <row r="469" spans="6:34" ht="18.75" customHeight="1">
      <c r="F469" s="13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</row>
    <row r="470" spans="6:34" ht="18.75" customHeight="1">
      <c r="F470" s="13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</row>
    <row r="471" spans="6:34" ht="18.75" customHeight="1">
      <c r="F471" s="13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</row>
    <row r="472" spans="6:34" ht="18.75" customHeight="1">
      <c r="F472" s="13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</row>
    <row r="473" spans="6:34" ht="18.75" customHeight="1">
      <c r="F473" s="13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</row>
    <row r="474" spans="6:34" ht="18.75" customHeight="1">
      <c r="F474" s="13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</row>
    <row r="475" spans="6:34" ht="18.75" customHeight="1">
      <c r="F475" s="13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</row>
    <row r="476" spans="6:34" ht="18.75" customHeight="1">
      <c r="F476" s="13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</row>
    <row r="477" spans="6:34" ht="18.75" customHeight="1">
      <c r="F477" s="13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</row>
    <row r="478" spans="6:34" ht="18.75" customHeight="1">
      <c r="F478" s="13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</row>
    <row r="479" spans="6:34" ht="18.75" customHeight="1">
      <c r="F479" s="13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</row>
    <row r="480" spans="6:34" ht="18.75" customHeight="1">
      <c r="F480" s="13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</row>
    <row r="481" spans="6:34" ht="18.75" customHeight="1">
      <c r="F481" s="13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</row>
    <row r="482" spans="6:34" ht="18.75" customHeight="1">
      <c r="F482" s="13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</row>
    <row r="483" spans="6:34" ht="18.75" customHeight="1">
      <c r="F483" s="13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</row>
    <row r="484" spans="6:34" ht="18.75" customHeight="1">
      <c r="F484" s="13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</row>
    <row r="485" spans="6:34" ht="18.75" customHeight="1">
      <c r="F485" s="13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</row>
    <row r="486" spans="6:34" ht="18.75" customHeight="1">
      <c r="F486" s="13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</row>
    <row r="487" spans="6:34" ht="18.75" customHeight="1">
      <c r="F487" s="13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</row>
    <row r="488" spans="6:34" ht="18.75" customHeight="1">
      <c r="F488" s="13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</row>
    <row r="489" spans="6:34" ht="18.75" customHeight="1">
      <c r="F489" s="13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</row>
    <row r="490" spans="6:34" ht="18.75" customHeight="1">
      <c r="F490" s="13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</row>
    <row r="491" spans="6:34" ht="18.75" customHeight="1">
      <c r="F491" s="13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</row>
    <row r="492" spans="6:34" ht="18.75" customHeight="1">
      <c r="F492" s="13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</row>
    <row r="493" spans="6:34" ht="18.75" customHeight="1">
      <c r="F493" s="13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</row>
    <row r="494" spans="6:34" ht="18.75" customHeight="1">
      <c r="F494" s="13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</row>
    <row r="495" spans="6:34" ht="18.75" customHeight="1">
      <c r="F495" s="13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</row>
    <row r="496" spans="6:34" ht="18.75" customHeight="1">
      <c r="F496" s="13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</row>
    <row r="497" spans="6:34" ht="18.75" customHeight="1">
      <c r="F497" s="13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</row>
    <row r="498" spans="6:34" ht="18.75" customHeight="1">
      <c r="F498" s="13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</row>
    <row r="499" spans="6:34" ht="18.75" customHeight="1">
      <c r="F499" s="13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</row>
    <row r="500" spans="6:34" ht="18.75" customHeight="1">
      <c r="F500" s="13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</row>
    <row r="501" spans="6:34" ht="18.75" customHeight="1">
      <c r="F501" s="13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</row>
    <row r="502" spans="6:34" ht="18.75" customHeight="1">
      <c r="F502" s="13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</row>
    <row r="503" spans="6:34" ht="18.75" customHeight="1">
      <c r="F503" s="13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</row>
    <row r="504" spans="6:34" ht="18.75" customHeight="1">
      <c r="F504" s="13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</row>
    <row r="505" spans="6:34" ht="18.75" customHeight="1">
      <c r="F505" s="13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</row>
    <row r="506" spans="6:34" ht="18.75" customHeight="1">
      <c r="F506" s="13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</row>
    <row r="507" spans="6:34" ht="18.75" customHeight="1">
      <c r="F507" s="13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</row>
    <row r="508" spans="6:34" ht="18.75" customHeight="1">
      <c r="F508" s="13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</row>
    <row r="509" spans="6:34" ht="18.75" customHeight="1">
      <c r="F509" s="13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</row>
    <row r="510" spans="6:34" ht="18.75" customHeight="1">
      <c r="F510" s="13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</row>
    <row r="511" spans="6:34" ht="18.75" customHeight="1">
      <c r="F511" s="13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</row>
    <row r="512" spans="6:34" ht="18.75" customHeight="1">
      <c r="F512" s="13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</row>
    <row r="513" spans="6:34" ht="18.75" customHeight="1">
      <c r="F513" s="13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</row>
    <row r="514" spans="6:34" ht="18.75" customHeight="1">
      <c r="F514" s="13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</row>
    <row r="515" spans="6:34" ht="18.75" customHeight="1">
      <c r="F515" s="13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</row>
    <row r="516" spans="6:34" ht="18.75" customHeight="1">
      <c r="F516" s="13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</row>
    <row r="517" spans="6:34" ht="18.75" customHeight="1">
      <c r="F517" s="13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</row>
    <row r="518" spans="6:34" ht="18.75" customHeight="1">
      <c r="F518" s="13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</row>
    <row r="519" spans="6:34" ht="18.75" customHeight="1">
      <c r="F519" s="13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</row>
    <row r="520" spans="6:34" ht="18.75" customHeight="1">
      <c r="F520" s="13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</row>
    <row r="521" spans="6:34" ht="18.75" customHeight="1">
      <c r="F521" s="13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</row>
    <row r="522" spans="6:34" ht="18.75" customHeight="1">
      <c r="F522" s="13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</row>
    <row r="523" spans="6:34" ht="18.75" customHeight="1">
      <c r="F523" s="13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</row>
    <row r="524" spans="6:34" ht="18.75" customHeight="1">
      <c r="F524" s="13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</row>
    <row r="525" spans="6:34" ht="18.75" customHeight="1">
      <c r="F525" s="13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</row>
    <row r="526" spans="6:34" ht="18.75" customHeight="1">
      <c r="F526" s="13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</row>
    <row r="527" spans="6:34" ht="18.75" customHeight="1">
      <c r="F527" s="13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</row>
    <row r="528" spans="6:34" ht="18.75" customHeight="1">
      <c r="F528" s="13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</row>
    <row r="529" spans="6:34" ht="18.75" customHeight="1">
      <c r="F529" s="13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</row>
    <row r="530" spans="6:34" ht="18.75" customHeight="1">
      <c r="F530" s="13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</row>
    <row r="531" spans="6:34" ht="18.75" customHeight="1">
      <c r="F531" s="13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</row>
    <row r="532" spans="6:34" ht="18.75" customHeight="1">
      <c r="F532" s="13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</row>
    <row r="533" spans="6:34" ht="18.75" customHeight="1">
      <c r="F533" s="13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</row>
    <row r="534" spans="6:34" ht="18.75" customHeight="1">
      <c r="F534" s="13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</row>
    <row r="535" spans="6:34" ht="18.75" customHeight="1">
      <c r="F535" s="13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</row>
    <row r="536" spans="6:34" ht="18.75" customHeight="1">
      <c r="F536" s="13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</row>
    <row r="537" spans="6:34" ht="18.75" customHeight="1">
      <c r="F537" s="13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</row>
    <row r="538" spans="6:34" ht="18.75" customHeight="1">
      <c r="F538" s="13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</row>
    <row r="539" spans="6:34" ht="18.75" customHeight="1">
      <c r="F539" s="13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</row>
    <row r="540" spans="6:34" ht="18.75" customHeight="1">
      <c r="F540" s="13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</row>
    <row r="541" spans="6:34" ht="18.75" customHeight="1">
      <c r="F541" s="13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</row>
    <row r="542" spans="6:34" ht="18.75" customHeight="1">
      <c r="F542" s="13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</row>
    <row r="543" spans="6:34" ht="18.75" customHeight="1">
      <c r="F543" s="13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</row>
    <row r="544" spans="6:34" ht="18.75" customHeight="1">
      <c r="F544" s="13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</row>
    <row r="545" spans="6:34" ht="18.75" customHeight="1">
      <c r="F545" s="13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</row>
    <row r="546" spans="6:34" ht="18.75" customHeight="1">
      <c r="F546" s="13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</row>
    <row r="547" spans="6:34" ht="18.75" customHeight="1">
      <c r="F547" s="13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</row>
    <row r="548" spans="6:34" ht="18.75" customHeight="1">
      <c r="F548" s="13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</row>
    <row r="549" spans="6:34" ht="18.75" customHeight="1">
      <c r="F549" s="13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</row>
    <row r="550" spans="6:34" ht="18.75" customHeight="1">
      <c r="F550" s="13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</row>
    <row r="551" spans="6:34" ht="18.75" customHeight="1">
      <c r="F551" s="13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</row>
    <row r="552" spans="6:34" ht="18.75" customHeight="1">
      <c r="F552" s="13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</row>
    <row r="553" spans="6:34" ht="18.75" customHeight="1">
      <c r="F553" s="13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</row>
    <row r="554" spans="6:34" ht="18.75" customHeight="1">
      <c r="F554" s="13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</row>
    <row r="555" spans="6:34" ht="18.75" customHeight="1">
      <c r="F555" s="13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</row>
    <row r="556" spans="6:34" ht="18.75" customHeight="1">
      <c r="F556" s="13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</row>
    <row r="557" spans="6:34" ht="18.75" customHeight="1">
      <c r="F557" s="13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</row>
    <row r="558" spans="6:34" ht="18.75" customHeight="1">
      <c r="F558" s="13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</row>
    <row r="559" spans="6:34" ht="18.75" customHeight="1">
      <c r="F559" s="13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</row>
    <row r="560" spans="6:34" ht="18.75" customHeight="1">
      <c r="F560" s="13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</row>
    <row r="561" spans="6:34" ht="18.75" customHeight="1">
      <c r="F561" s="13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</row>
    <row r="562" spans="6:34" ht="18.75" customHeight="1">
      <c r="F562" s="13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</row>
    <row r="563" spans="6:34" ht="18.75" customHeight="1">
      <c r="F563" s="13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</row>
    <row r="564" spans="6:34" ht="18.75" customHeight="1">
      <c r="F564" s="13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</row>
    <row r="565" spans="6:34" ht="18.75" customHeight="1">
      <c r="F565" s="13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</row>
    <row r="566" spans="6:34" ht="18.75" customHeight="1">
      <c r="F566" s="13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</row>
    <row r="567" spans="6:34" ht="18.75" customHeight="1">
      <c r="F567" s="13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</row>
    <row r="568" spans="6:34" ht="18.75" customHeight="1">
      <c r="F568" s="13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</row>
    <row r="569" spans="6:34" ht="18.75" customHeight="1">
      <c r="F569" s="13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</row>
    <row r="570" spans="6:34" ht="18.75" customHeight="1">
      <c r="F570" s="13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</row>
    <row r="571" spans="6:34" ht="18.75" customHeight="1">
      <c r="F571" s="13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</row>
    <row r="572" spans="6:34" ht="18.75" customHeight="1">
      <c r="F572" s="13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</row>
    <row r="573" spans="6:34" ht="18.75" customHeight="1">
      <c r="F573" s="13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</row>
    <row r="574" spans="6:34" ht="18.75" customHeight="1">
      <c r="F574" s="13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</row>
    <row r="575" spans="6:34" ht="18.75" customHeight="1">
      <c r="F575" s="13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</row>
    <row r="576" spans="6:34" ht="18.75" customHeight="1">
      <c r="F576" s="13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</row>
    <row r="577" spans="6:34" ht="18.75" customHeight="1">
      <c r="F577" s="13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</row>
    <row r="578" spans="6:34" ht="18.75" customHeight="1">
      <c r="F578" s="13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</row>
    <row r="579" spans="6:34" ht="18.75" customHeight="1">
      <c r="F579" s="13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</row>
    <row r="580" spans="6:34" ht="18.75" customHeight="1">
      <c r="F580" s="13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</row>
    <row r="581" spans="6:34" ht="18.75" customHeight="1">
      <c r="F581" s="13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</row>
    <row r="582" spans="6:34" ht="18.75" customHeight="1">
      <c r="F582" s="13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</row>
    <row r="583" spans="6:34" ht="18.75" customHeight="1">
      <c r="F583" s="13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</row>
    <row r="584" spans="6:34" ht="18.75" customHeight="1">
      <c r="F584" s="13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</row>
    <row r="585" spans="6:34" ht="18.75" customHeight="1">
      <c r="F585" s="13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</row>
    <row r="586" spans="6:34" ht="18.75" customHeight="1">
      <c r="F586" s="13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</row>
    <row r="587" spans="6:34" ht="18.75" customHeight="1">
      <c r="F587" s="13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</row>
    <row r="588" spans="6:34" ht="18.75" customHeight="1">
      <c r="F588" s="13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</row>
    <row r="589" spans="6:34" ht="18.75" customHeight="1">
      <c r="F589" s="13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</row>
    <row r="590" spans="6:34" ht="18.75" customHeight="1">
      <c r="F590" s="13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</row>
    <row r="591" spans="6:34" ht="18.75" customHeight="1">
      <c r="F591" s="13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</row>
    <row r="592" spans="6:34" ht="18.75" customHeight="1">
      <c r="F592" s="13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</row>
    <row r="593" spans="6:34" ht="18.75" customHeight="1">
      <c r="F593" s="13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</row>
    <row r="594" spans="6:34" ht="18.75" customHeight="1">
      <c r="F594" s="13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</row>
    <row r="595" spans="6:34" ht="18.75" customHeight="1">
      <c r="F595" s="13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</row>
  </sheetData>
  <mergeCells count="11">
    <mergeCell ref="A29:E31"/>
    <mergeCell ref="AB4:AH4"/>
    <mergeCell ref="B6:E6"/>
    <mergeCell ref="B8:C8"/>
    <mergeCell ref="A10:A24"/>
    <mergeCell ref="A25:A28"/>
    <mergeCell ref="B4:E5"/>
    <mergeCell ref="F4:F7"/>
    <mergeCell ref="G4:M4"/>
    <mergeCell ref="N4:T4"/>
    <mergeCell ref="U4:AA4"/>
  </mergeCells>
  <conditionalFormatting sqref="A12:E12">
    <cfRule type="expression" dxfId="1915" priority="17">
      <formula>ISNUMBER(SEARCH("JOK",A12))</formula>
    </cfRule>
  </conditionalFormatting>
  <conditionalFormatting sqref="A4:AH4 B5:AH5 A6:AH7 A8:B8 D8:AH8 A9:AH11 A12:C12 A13:AH18 Z19:AH19 A20:AH22 A23:A28 A29:AH31 A19:T19 F23:AH28 F12:AH12">
    <cfRule type="expression" dxfId="1914" priority="64">
      <formula>ISNUMBER(SEARCH("FORM",A4))</formula>
    </cfRule>
    <cfRule type="expression" dxfId="1913" priority="65">
      <formula>ISNUMBER(SEARCH("ASA",A4))</formula>
    </cfRule>
    <cfRule type="expression" dxfId="1912" priority="66">
      <formula>OR(ISNUMBER(SEARCH("ATM",A4)),ISNUMBER(SEARCH("ATA",A4)))</formula>
    </cfRule>
    <cfRule type="expression" dxfId="1911" priority="67">
      <formula>ISNUMBER(SEARCH("TP",A4))</formula>
    </cfRule>
    <cfRule type="expression" dxfId="1910" priority="68">
      <formula>ISNUMBER(SEARCH("CSE",A4))</formula>
    </cfRule>
    <cfRule type="expression" dxfId="1909" priority="69">
      <formula>ISNUMBER(SEARCH("JOK",A4))</formula>
    </cfRule>
  </conditionalFormatting>
  <conditionalFormatting sqref="A4:AH4 B5:AH5 A6:AH7 A8:B8 D8:AH8 A9:AH11 A13:AH18 Z19:AH19 A20:AH22 A23:A28 A29:AH31 A12:C12 A19:T19 F23:AH28 F12:AH12">
    <cfRule type="expression" dxfId="1908" priority="63">
      <formula>OR(ISNUMBER(SEARCH("PPP 1",A4)),ISNUMBER(SEARCH("PPP 2",A4)))</formula>
    </cfRule>
  </conditionalFormatting>
  <conditionalFormatting sqref="A4:AH4 B5:AH5 A6:AH7 D8:AH8 A9:AH11 A13:AH18 Z19:AH19 A20:AH22 A29:AH31 A8:B8 A23:A28 A19:T19 F23:AH28 F12:AH12">
    <cfRule type="expression" dxfId="1907" priority="62">
      <formula>ISNUMBER(SEARCH("JOK",A4))</formula>
    </cfRule>
  </conditionalFormatting>
  <conditionalFormatting sqref="B8 D8:E8 B9:E11 B12:C12 B13:E22">
    <cfRule type="expression" dxfId="1906" priority="161">
      <formula>ISNUMBER(SEARCH("MRP",$B8))</formula>
    </cfRule>
  </conditionalFormatting>
  <conditionalFormatting sqref="B23:E28">
    <cfRule type="expression" dxfId="1905" priority="58">
      <formula>ISNUMBER(SEARCH("MRP",$B23))</formula>
    </cfRule>
  </conditionalFormatting>
  <conditionalFormatting sqref="D12:E12">
    <cfRule type="expression" dxfId="1904" priority="10">
      <formula>ISNUMBER(SEARCH("JOK",D12))</formula>
    </cfRule>
    <cfRule type="expression" dxfId="1903" priority="11">
      <formula>OR(ISNUMBER(SEARCH("PPP 1",D12)),ISNUMBER(SEARCH("PPP 2",D12)))</formula>
    </cfRule>
    <cfRule type="expression" dxfId="1902" priority="12">
      <formula>ISNUMBER(SEARCH("FORM",D12))</formula>
    </cfRule>
    <cfRule type="expression" dxfId="1901" priority="13">
      <formula>ISNUMBER(SEARCH("ASA",D12))</formula>
    </cfRule>
    <cfRule type="expression" dxfId="1900" priority="14">
      <formula>OR(ISNUMBER(SEARCH("ATM",D12)),ISNUMBER(SEARCH("ATA",D12)))</formula>
    </cfRule>
    <cfRule type="expression" dxfId="1899" priority="15">
      <formula>ISNUMBER(SEARCH("TP",D12))</formula>
    </cfRule>
    <cfRule type="expression" dxfId="1898" priority="16">
      <formula>ISNUMBER(SEARCH("CSE",D12))</formula>
    </cfRule>
    <cfRule type="expression" dxfId="1897" priority="18">
      <formula>ISNUMBER(SEARCH("MRP",$B12))</formula>
    </cfRule>
  </conditionalFormatting>
  <conditionalFormatting sqref="G27:K27">
    <cfRule type="expression" dxfId="1896" priority="212">
      <formula>OR(ISNUMBER(SEARCH("PPP 1",G27)),ISNUMBER(SEARCH("PPP 2",G27)))</formula>
    </cfRule>
    <cfRule type="expression" dxfId="1895" priority="213">
      <formula>ISNUMBER(SEARCH("FORM",G27))</formula>
    </cfRule>
    <cfRule type="expression" dxfId="1894" priority="214">
      <formula>ISNUMBER(SEARCH("ASA",G27))</formula>
    </cfRule>
    <cfRule type="expression" dxfId="1893" priority="215">
      <formula>OR(ISNUMBER(SEARCH("ATM",G27)),ISNUMBER(SEARCH("ATA",G27)))</formula>
    </cfRule>
    <cfRule type="expression" dxfId="1892" priority="216">
      <formula>ISNUMBER(SEARCH("TP",G27))</formula>
    </cfRule>
    <cfRule type="expression" dxfId="1891" priority="217">
      <formula>ISNUMBER(SEARCH("CSE",G27))</formula>
    </cfRule>
    <cfRule type="expression" dxfId="1890" priority="218">
      <formula>OR(ISNUMBER(SEARCH("CA",G27)),ISNUMBER(SEARCH("RC",G27)))</formula>
    </cfRule>
  </conditionalFormatting>
  <conditionalFormatting sqref="Z19:AH19 G19:T19 G20:AH31 G4:AH18">
    <cfRule type="expression" dxfId="1889" priority="60">
      <formula>OR(ISNUMBER(SEARCH("CA",G4)),ISNUMBER(SEARCH("RC",G4)))</formula>
    </cfRule>
  </conditionalFormatting>
  <conditionalFormatting sqref="Z19:AH19 G19:T19 G20:AH31 G4:AH18">
    <cfRule type="expression" dxfId="1888" priority="59">
      <formula>ISNUMBER(SEARCH("CA/RC ?",G4))</formula>
    </cfRule>
  </conditionalFormatting>
  <conditionalFormatting sqref="N6:N24 AB6:AB24 K6:K31 Q7:Q22 O8:AH18 N9:P9 K9:M31 Z19:AH19 S29:T29 O20:AH24 N19:T19 F8:M24 G23:AH28 I12:P12">
    <cfRule type="expression" dxfId="1887" priority="232">
      <formula>OR(ISNUMBER(SEARCH("PPP 1",F6)),ISNUMBER(SEARCH("PPP 2",F6)))</formula>
    </cfRule>
  </conditionalFormatting>
  <conditionalFormatting sqref="G40:AH40">
    <cfRule type="iconSet" priority="61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K6:K31 K9:M31 AB6:AB24 N6:N28 Q7:Q22 O8:AH18 N9:P9 Z19:AH19 O20:AH24 N19:T19 F25:AH31 F8:M24 G23:AH24 I12:P12">
    <cfRule type="expression" dxfId="1886" priority="219">
      <formula>OR(ISNUMBER(SEARCH("PPP 1",F6)),ISNUMBER(SEARCH("PPP 2",F6)))</formula>
    </cfRule>
  </conditionalFormatting>
  <conditionalFormatting sqref="K25:L25">
    <cfRule type="expression" dxfId="1885" priority="27">
      <formula>OR(ISNUMBER(SEARCH("PPP 1",K25)),ISNUMBER(SEARCH("PPP 2",K25)))</formula>
    </cfRule>
    <cfRule type="expression" dxfId="1884" priority="28">
      <formula>ISNUMBER(SEARCH("FORM",K25))</formula>
    </cfRule>
    <cfRule type="expression" dxfId="1883" priority="29">
      <formula>ISNUMBER(SEARCH("ASA",K25))</formula>
    </cfRule>
    <cfRule type="expression" dxfId="1882" priority="30">
      <formula>OR(ISNUMBER(SEARCH("ATM",K25)),ISNUMBER(SEARCH("ATA",K25)))</formula>
    </cfRule>
    <cfRule type="expression" dxfId="1881" priority="31">
      <formula>ISNUMBER(SEARCH("TP",K25))</formula>
    </cfRule>
    <cfRule type="expression" dxfId="1880" priority="32">
      <formula>ISNUMBER(SEARCH("CSE",K25))</formula>
    </cfRule>
    <cfRule type="expression" dxfId="1879" priority="33">
      <formula>OR(ISNUMBER(SEARCH("CA",K25)),ISNUMBER(SEARCH("RC",K25)))</formula>
    </cfRule>
  </conditionalFormatting>
  <conditionalFormatting sqref="L7">
    <cfRule type="expression" dxfId="1878" priority="70">
      <formula>OR(ISNUMBER(SEARCH("PPP 1",L7)),ISNUMBER(SEARCH("PPP 2",L7)))</formula>
    </cfRule>
    <cfRule type="expression" dxfId="1877" priority="71">
      <formula>ISNUMBER(SEARCH("FORM",L7))</formula>
    </cfRule>
    <cfRule type="expression" dxfId="1876" priority="72">
      <formula>ISNUMBER(SEARCH("ASA",L7))</formula>
    </cfRule>
    <cfRule type="expression" dxfId="1875" priority="73">
      <formula>OR(ISNUMBER(SEARCH("ATM",L7)),ISNUMBER(SEARCH("ATA",L7)))</formula>
    </cfRule>
    <cfRule type="expression" dxfId="1874" priority="74">
      <formula>ISNUMBER(SEARCH("TP",L7))</formula>
    </cfRule>
    <cfRule type="expression" dxfId="1873" priority="75">
      <formula>ISNUMBER(SEARCH("CSE",L7))</formula>
    </cfRule>
    <cfRule type="expression" dxfId="1872" priority="76">
      <formula>OR(ISNUMBER(SEARCH("CA",L7)),ISNUMBER(SEARCH("RC",L7)))</formula>
    </cfRule>
    <cfRule type="expression" dxfId="1871" priority="77">
      <formula>OR(ISNUMBER(SEARCH("PPP 1",L7)),ISNUMBER(SEARCH("PPP 2",L7)))</formula>
    </cfRule>
    <cfRule type="expression" dxfId="1870" priority="78">
      <formula>ISNUMBER(SEARCH("FORM",L7))</formula>
    </cfRule>
    <cfRule type="expression" dxfId="1869" priority="79">
      <formula>ISNUMBER(SEARCH("ASA",L7))</formula>
    </cfRule>
    <cfRule type="expression" dxfId="1868" priority="80">
      <formula>OR(ISNUMBER(SEARCH("ATM",L7)),ISNUMBER(SEARCH("ATA",L7)))</formula>
    </cfRule>
    <cfRule type="expression" dxfId="1867" priority="81">
      <formula>ISNUMBER(SEARCH("TP",L7))</formula>
    </cfRule>
    <cfRule type="expression" dxfId="1866" priority="82">
      <formula>ISNUMBER(SEARCH("CSE",L7))</formula>
    </cfRule>
    <cfRule type="expression" dxfId="1865" priority="83">
      <formula>OR(ISNUMBER(SEARCH("CA",L7)),ISNUMBER(SEARCH("RC",L7)))</formula>
    </cfRule>
  </conditionalFormatting>
  <conditionalFormatting sqref="L25:M25 L29:M29">
    <cfRule type="expression" dxfId="1864" priority="91">
      <formula>OR(ISNUMBER(SEARCH("PPP 1",L25)),ISNUMBER(SEARCH("PPP 2",L25)))</formula>
    </cfRule>
    <cfRule type="expression" dxfId="1863" priority="92">
      <formula>ISNUMBER(SEARCH("FORM",L25))</formula>
    </cfRule>
    <cfRule type="expression" dxfId="1862" priority="93">
      <formula>ISNUMBER(SEARCH("ASA",L25))</formula>
    </cfRule>
    <cfRule type="expression" dxfId="1861" priority="94">
      <formula>OR(ISNUMBER(SEARCH("ATM",L25)),ISNUMBER(SEARCH("ATA",L25)))</formula>
    </cfRule>
    <cfRule type="expression" dxfId="1860" priority="95">
      <formula>ISNUMBER(SEARCH("TP",L25))</formula>
    </cfRule>
    <cfRule type="expression" dxfId="1859" priority="96">
      <formula>ISNUMBER(SEARCH("CSE",L25))</formula>
    </cfRule>
    <cfRule type="expression" dxfId="1858" priority="97">
      <formula>OR(ISNUMBER(SEARCH("CA",L25)),ISNUMBER(SEARCH("RC",L25)))</formula>
    </cfRule>
  </conditionalFormatting>
  <conditionalFormatting sqref="L27:M27">
    <cfRule type="expression" dxfId="1857" priority="140">
      <formula>OR(ISNUMBER(SEARCH("PPP 1",L27)),ISNUMBER(SEARCH("PPP 2",L27)))</formula>
    </cfRule>
    <cfRule type="expression" dxfId="1856" priority="141">
      <formula>ISNUMBER(SEARCH("FORM",L27))</formula>
    </cfRule>
    <cfRule type="expression" dxfId="1855" priority="142">
      <formula>ISNUMBER(SEARCH("ASA",L27))</formula>
    </cfRule>
    <cfRule type="expression" dxfId="1854" priority="143">
      <formula>OR(ISNUMBER(SEARCH("ATM",L27)),ISNUMBER(SEARCH("ATA",L27)))</formula>
    </cfRule>
    <cfRule type="expression" dxfId="1853" priority="144">
      <formula>ISNUMBER(SEARCH("TP",L27))</formula>
    </cfRule>
    <cfRule type="expression" dxfId="1852" priority="145">
      <formula>ISNUMBER(SEARCH("CSE",L27))</formula>
    </cfRule>
    <cfRule type="expression" dxfId="1851" priority="146">
      <formula>OR(ISNUMBER(SEARCH("CA",L27)),ISNUMBER(SEARCH("RC",L27)))</formula>
    </cfRule>
  </conditionalFormatting>
  <conditionalFormatting sqref="L28:M28">
    <cfRule type="expression" dxfId="1850" priority="105">
      <formula>OR(ISNUMBER(SEARCH("PPP 1",L28)),ISNUMBER(SEARCH("PPP 2",L28)))</formula>
    </cfRule>
    <cfRule type="expression" dxfId="1849" priority="106">
      <formula>ISNUMBER(SEARCH("FORM",L28))</formula>
    </cfRule>
    <cfRule type="expression" dxfId="1848" priority="107">
      <formula>ISNUMBER(SEARCH("ASA",L28))</formula>
    </cfRule>
    <cfRule type="expression" dxfId="1847" priority="108">
      <formula>OR(ISNUMBER(SEARCH("ATM",L28)),ISNUMBER(SEARCH("ATA",L28)))</formula>
    </cfRule>
    <cfRule type="expression" dxfId="1846" priority="109">
      <formula>ISNUMBER(SEARCH("TP",L28))</formula>
    </cfRule>
    <cfRule type="expression" dxfId="1845" priority="110">
      <formula>ISNUMBER(SEARCH("CSE",L28))</formula>
    </cfRule>
    <cfRule type="expression" dxfId="1844" priority="111">
      <formula>OR(ISNUMBER(SEARCH("CA",L28)),ISNUMBER(SEARCH("RC",L28)))</formula>
    </cfRule>
  </conditionalFormatting>
  <conditionalFormatting sqref="L25:R25">
    <cfRule type="expression" dxfId="1843" priority="197">
      <formula>OR(ISNUMBER(SEARCH("PPP 1",L25)),ISNUMBER(SEARCH("PPP 2",L25)))</formula>
    </cfRule>
    <cfRule type="expression" dxfId="1842" priority="198">
      <formula>ISNUMBER(SEARCH("FORM",L25))</formula>
    </cfRule>
    <cfRule type="expression" dxfId="1841" priority="199">
      <formula>ISNUMBER(SEARCH("ASA",L25))</formula>
    </cfRule>
    <cfRule type="expression" dxfId="1840" priority="200">
      <formula>OR(ISNUMBER(SEARCH("ATM",L25)),ISNUMBER(SEARCH("ATA",L25)))</formula>
    </cfRule>
    <cfRule type="expression" dxfId="1839" priority="201">
      <formula>ISNUMBER(SEARCH("TP",L25))</formula>
    </cfRule>
    <cfRule type="expression" dxfId="1838" priority="202">
      <formula>ISNUMBER(SEARCH("CSE",L25))</formula>
    </cfRule>
    <cfRule type="expression" dxfId="1837" priority="203">
      <formula>OR(ISNUMBER(SEARCH("CA",L25)),ISNUMBER(SEARCH("RC",L25)))</formula>
    </cfRule>
  </conditionalFormatting>
  <conditionalFormatting sqref="M25:M26 M29">
    <cfRule type="expression" dxfId="1836" priority="84">
      <formula>OR(ISNUMBER(SEARCH("PPP 1",M25)),ISNUMBER(SEARCH("PPP 2",M25)))</formula>
    </cfRule>
    <cfRule type="expression" dxfId="1835" priority="85">
      <formula>ISNUMBER(SEARCH("FORM",M25))</formula>
    </cfRule>
    <cfRule type="expression" dxfId="1834" priority="86">
      <formula>ISNUMBER(SEARCH("ASA",M25))</formula>
    </cfRule>
    <cfRule type="expression" dxfId="1833" priority="87">
      <formula>OR(ISNUMBER(SEARCH("ATM",M25)),ISNUMBER(SEARCH("ATA",M25)))</formula>
    </cfRule>
    <cfRule type="expression" dxfId="1832" priority="88">
      <formula>ISNUMBER(SEARCH("TP",M25))</formula>
    </cfRule>
    <cfRule type="expression" dxfId="1831" priority="89">
      <formula>ISNUMBER(SEARCH("CSE",M25))</formula>
    </cfRule>
    <cfRule type="expression" dxfId="1830" priority="90">
      <formula>OR(ISNUMBER(SEARCH("CA",M25)),ISNUMBER(SEARCH("RC",M25)))</formula>
    </cfRule>
  </conditionalFormatting>
  <conditionalFormatting sqref="M25:M27">
    <cfRule type="expression" dxfId="1829" priority="176">
      <formula>OR(ISNUMBER(SEARCH("PPP 1",M25)),ISNUMBER(SEARCH("PPP 2",M25)))</formula>
    </cfRule>
    <cfRule type="expression" dxfId="1828" priority="177">
      <formula>ISNUMBER(SEARCH("FORM",M25))</formula>
    </cfRule>
    <cfRule type="expression" dxfId="1827" priority="178">
      <formula>ISNUMBER(SEARCH("ASA",M25))</formula>
    </cfRule>
    <cfRule type="expression" dxfId="1826" priority="179">
      <formula>OR(ISNUMBER(SEARCH("ATM",M25)),ISNUMBER(SEARCH("ATA",M25)))</formula>
    </cfRule>
    <cfRule type="expression" dxfId="1825" priority="180">
      <formula>ISNUMBER(SEARCH("TP",M25))</formula>
    </cfRule>
    <cfRule type="expression" dxfId="1824" priority="181">
      <formula>ISNUMBER(SEARCH("CSE",M25))</formula>
    </cfRule>
    <cfRule type="expression" dxfId="1823" priority="182">
      <formula>OR(ISNUMBER(SEARCH("CA",M25)),ISNUMBER(SEARCH("RC",M25)))</formula>
    </cfRule>
  </conditionalFormatting>
  <conditionalFormatting sqref="M27:M28">
    <cfRule type="expression" dxfId="1822" priority="133">
      <formula>OR(ISNUMBER(SEARCH("PPP 1",M27)),ISNUMBER(SEARCH("PPP 2",M27)))</formula>
    </cfRule>
    <cfRule type="expression" dxfId="1821" priority="134">
      <formula>ISNUMBER(SEARCH("FORM",M27))</formula>
    </cfRule>
    <cfRule type="expression" dxfId="1820" priority="135">
      <formula>ISNUMBER(SEARCH("ASA",M27))</formula>
    </cfRule>
    <cfRule type="expression" dxfId="1819" priority="136">
      <formula>OR(ISNUMBER(SEARCH("ATM",M27)),ISNUMBER(SEARCH("ATA",M27)))</formula>
    </cfRule>
    <cfRule type="expression" dxfId="1818" priority="137">
      <formula>ISNUMBER(SEARCH("TP",M27))</formula>
    </cfRule>
    <cfRule type="expression" dxfId="1817" priority="138">
      <formula>ISNUMBER(SEARCH("CSE",M27))</formula>
    </cfRule>
    <cfRule type="expression" dxfId="1816" priority="139">
      <formula>OR(ISNUMBER(SEARCH("CA",M27)),ISNUMBER(SEARCH("RC",M27)))</formula>
    </cfRule>
  </conditionalFormatting>
  <conditionalFormatting sqref="M28:M29">
    <cfRule type="expression" dxfId="1815" priority="98">
      <formula>OR(ISNUMBER(SEARCH("PPP 1",M28)),ISNUMBER(SEARCH("PPP 2",M28)))</formula>
    </cfRule>
    <cfRule type="expression" dxfId="1814" priority="99">
      <formula>ISNUMBER(SEARCH("FORM",M28))</formula>
    </cfRule>
    <cfRule type="expression" dxfId="1813" priority="100">
      <formula>ISNUMBER(SEARCH("ASA",M28))</formula>
    </cfRule>
    <cfRule type="expression" dxfId="1812" priority="101">
      <formula>OR(ISNUMBER(SEARCH("ATM",M28)),ISNUMBER(SEARCH("ATA",M28)))</formula>
    </cfRule>
    <cfRule type="expression" dxfId="1811" priority="102">
      <formula>ISNUMBER(SEARCH("TP",M28))</formula>
    </cfRule>
    <cfRule type="expression" dxfId="1810" priority="103">
      <formula>ISNUMBER(SEARCH("CSE",M28))</formula>
    </cfRule>
    <cfRule type="expression" dxfId="1809" priority="104">
      <formula>OR(ISNUMBER(SEARCH("CA",M28)),ISNUMBER(SEARCH("RC",M28)))</formula>
    </cfRule>
  </conditionalFormatting>
  <conditionalFormatting sqref="N6:N24 AB6:AB24 K6:K31 Q7:Q22 O8:AH18 N9:P9 K9:M31 Z19:AH19 O20:AH24 S29:T29 N19:T19 F8:M24 G23:AH28 I12:P12">
    <cfRule type="expression" dxfId="1808" priority="233">
      <formula>ISNUMBER(SEARCH("FORM",F6))</formula>
    </cfRule>
    <cfRule type="expression" dxfId="1807" priority="234">
      <formula>ISNUMBER(SEARCH("ASA",F6))</formula>
    </cfRule>
    <cfRule type="expression" dxfId="1806" priority="235">
      <formula>OR(ISNUMBER(SEARCH("ATM",F6)),ISNUMBER(SEARCH("ATA",F6)))</formula>
    </cfRule>
    <cfRule type="expression" dxfId="1805" priority="236">
      <formula>ISNUMBER(SEARCH("TP",F6))</formula>
    </cfRule>
    <cfRule type="expression" dxfId="1804" priority="237">
      <formula>ISNUMBER(SEARCH("CSE",F6))</formula>
    </cfRule>
    <cfRule type="expression" dxfId="1803" priority="238">
      <formula>OR(ISNUMBER(SEARCH("CA",F6)),ISNUMBER(SEARCH("RC",F6)))</formula>
    </cfRule>
  </conditionalFormatting>
  <conditionalFormatting sqref="N6:N28 K9:M31 AB6:AB24 K6:K31 Q7:Q22 O8:AH18 N9:P9 O20:AH24 N19:P19 F25:AH31 F8:M24 G23:AH24 I12:P12">
    <cfRule type="expression" dxfId="1802" priority="204">
      <formula>ISNUMBER(SEARCH("JOK",F6))</formula>
    </cfRule>
  </conditionalFormatting>
  <conditionalFormatting sqref="O26">
    <cfRule type="expression" dxfId="1801" priority="169">
      <formula>OR(ISNUMBER(SEARCH("PPP 1",O26)),ISNUMBER(SEARCH("PPP 2",O26)))</formula>
    </cfRule>
    <cfRule type="expression" dxfId="1800" priority="170">
      <formula>ISNUMBER(SEARCH("FORM",O26))</formula>
    </cfRule>
    <cfRule type="expression" dxfId="1799" priority="171">
      <formula>ISNUMBER(SEARCH("ASA",O26))</formula>
    </cfRule>
    <cfRule type="expression" dxfId="1798" priority="172">
      <formula>OR(ISNUMBER(SEARCH("ATM",O26)),ISNUMBER(SEARCH("ATA",O26)))</formula>
    </cfRule>
    <cfRule type="expression" dxfId="1797" priority="173">
      <formula>ISNUMBER(SEARCH("TP",O26))</formula>
    </cfRule>
    <cfRule type="expression" dxfId="1796" priority="174">
      <formula>ISNUMBER(SEARCH("CSE",O26))</formula>
    </cfRule>
    <cfRule type="expression" dxfId="1795" priority="175">
      <formula>OR(ISNUMBER(SEARCH("CA",O26)),ISNUMBER(SEARCH("RC",O26)))</formula>
    </cfRule>
  </conditionalFormatting>
  <conditionalFormatting sqref="S25:T25">
    <cfRule type="expression" dxfId="1794" priority="119">
      <formula>OR(ISNUMBER(SEARCH("PPP 1",S25)),ISNUMBER(SEARCH("PPP 2",S25)))</formula>
    </cfRule>
    <cfRule type="expression" dxfId="1793" priority="120">
      <formula>ISNUMBER(SEARCH("FORM",S25))</formula>
    </cfRule>
    <cfRule type="expression" dxfId="1792" priority="121">
      <formula>ISNUMBER(SEARCH("ASA",S25))</formula>
    </cfRule>
    <cfRule type="expression" dxfId="1791" priority="122">
      <formula>OR(ISNUMBER(SEARCH("ATM",S25)),ISNUMBER(SEARCH("ATA",S25)))</formula>
    </cfRule>
    <cfRule type="expression" dxfId="1790" priority="123">
      <formula>ISNUMBER(SEARCH("TP",S25))</formula>
    </cfRule>
    <cfRule type="expression" dxfId="1789" priority="124">
      <formula>ISNUMBER(SEARCH("CSE",S25))</formula>
    </cfRule>
    <cfRule type="expression" dxfId="1788" priority="125">
      <formula>OR(ISNUMBER(SEARCH("CA",S25)),ISNUMBER(SEARCH("RC",S25)))</formula>
    </cfRule>
  </conditionalFormatting>
  <conditionalFormatting sqref="S27:T27">
    <cfRule type="expression" dxfId="1787" priority="154">
      <formula>OR(ISNUMBER(SEARCH("PPP 1",S27)),ISNUMBER(SEARCH("PPP 2",S27)))</formula>
    </cfRule>
    <cfRule type="expression" dxfId="1786" priority="155">
      <formula>ISNUMBER(SEARCH("FORM",S27))</formula>
    </cfRule>
    <cfRule type="expression" dxfId="1785" priority="156">
      <formula>ISNUMBER(SEARCH("ASA",S27))</formula>
    </cfRule>
    <cfRule type="expression" dxfId="1784" priority="157">
      <formula>OR(ISNUMBER(SEARCH("ATM",S27)),ISNUMBER(SEARCH("ATA",S27)))</formula>
    </cfRule>
    <cfRule type="expression" dxfId="1783" priority="158">
      <formula>ISNUMBER(SEARCH("TP",S27))</formula>
    </cfRule>
    <cfRule type="expression" dxfId="1782" priority="159">
      <formula>ISNUMBER(SEARCH("CSE",S27))</formula>
    </cfRule>
    <cfRule type="expression" dxfId="1781" priority="160">
      <formula>OR(ISNUMBER(SEARCH("CA",S27)),ISNUMBER(SEARCH("RC",S27)))</formula>
    </cfRule>
  </conditionalFormatting>
  <conditionalFormatting sqref="S28:T28">
    <cfRule type="expression" dxfId="1780" priority="126">
      <formula>OR(ISNUMBER(SEARCH("PPP 1",S28)),ISNUMBER(SEARCH("PPP 2",S28)))</formula>
    </cfRule>
    <cfRule type="expression" dxfId="1779" priority="127">
      <formula>ISNUMBER(SEARCH("FORM",S28))</formula>
    </cfRule>
    <cfRule type="expression" dxfId="1778" priority="128">
      <formula>ISNUMBER(SEARCH("ASA",S28))</formula>
    </cfRule>
    <cfRule type="expression" dxfId="1777" priority="129">
      <formula>OR(ISNUMBER(SEARCH("ATM",S28)),ISNUMBER(SEARCH("ATA",S28)))</formula>
    </cfRule>
    <cfRule type="expression" dxfId="1776" priority="130">
      <formula>ISNUMBER(SEARCH("TP",S28))</formula>
    </cfRule>
    <cfRule type="expression" dxfId="1775" priority="131">
      <formula>ISNUMBER(SEARCH("CSE",S28))</formula>
    </cfRule>
    <cfRule type="expression" dxfId="1774" priority="132">
      <formula>OR(ISNUMBER(SEARCH("CA",S28)),ISNUMBER(SEARCH("RC",S28)))</formula>
    </cfRule>
  </conditionalFormatting>
  <conditionalFormatting sqref="T27:T28">
    <cfRule type="expression" dxfId="1773" priority="147">
      <formula>OR(ISNUMBER(SEARCH("PPP 1",T27)),ISNUMBER(SEARCH("PPP 2",T27)))</formula>
    </cfRule>
    <cfRule type="expression" dxfId="1772" priority="148">
      <formula>ISNUMBER(SEARCH("FORM",T27))</formula>
    </cfRule>
    <cfRule type="expression" dxfId="1771" priority="149">
      <formula>ISNUMBER(SEARCH("ASA",T27))</formula>
    </cfRule>
    <cfRule type="expression" dxfId="1770" priority="150">
      <formula>OR(ISNUMBER(SEARCH("ATM",T27)),ISNUMBER(SEARCH("ATA",T27)))</formula>
    </cfRule>
    <cfRule type="expression" dxfId="1769" priority="151">
      <formula>ISNUMBER(SEARCH("TP",T27))</formula>
    </cfRule>
    <cfRule type="expression" dxfId="1768" priority="152">
      <formula>ISNUMBER(SEARCH("CSE",T27))</formula>
    </cfRule>
    <cfRule type="expression" dxfId="1767" priority="153">
      <formula>OR(ISNUMBER(SEARCH("CA",T27)),ISNUMBER(SEARCH("RC",T27)))</formula>
    </cfRule>
  </conditionalFormatting>
  <conditionalFormatting sqref="T28:T29">
    <cfRule type="expression" dxfId="1766" priority="112">
      <formula>OR(ISNUMBER(SEARCH("PPP 1",T28)),ISNUMBER(SEARCH("PPP 2",T28)))</formula>
    </cfRule>
    <cfRule type="expression" dxfId="1765" priority="113">
      <formula>ISNUMBER(SEARCH("FORM",T28))</formula>
    </cfRule>
    <cfRule type="expression" dxfId="1764" priority="114">
      <formula>ISNUMBER(SEARCH("ASA",T28))</formula>
    </cfRule>
    <cfRule type="expression" dxfId="1763" priority="115">
      <formula>OR(ISNUMBER(SEARCH("ATM",T28)),ISNUMBER(SEARCH("ATA",T28)))</formula>
    </cfRule>
    <cfRule type="expression" dxfId="1762" priority="116">
      <formula>ISNUMBER(SEARCH("TP",T28))</formula>
    </cfRule>
    <cfRule type="expression" dxfId="1761" priority="117">
      <formula>ISNUMBER(SEARCH("CSE",T28))</formula>
    </cfRule>
    <cfRule type="expression" dxfId="1760" priority="118">
      <formula>OR(ISNUMBER(SEARCH("CA",T28)),ISNUMBER(SEARCH("RC",T28)))</formula>
    </cfRule>
  </conditionalFormatting>
  <conditionalFormatting sqref="U19:Y19">
    <cfRule type="expression" dxfId="1759" priority="34">
      <formula>ISNUMBER(SEARCH("CA/RC ?",U19))</formula>
    </cfRule>
    <cfRule type="expression" dxfId="1758" priority="35">
      <formula>ISNUMBER(SEARCH("JOK",U19))</formula>
    </cfRule>
    <cfRule type="expression" dxfId="1757" priority="36">
      <formula>OR(ISNUMBER(SEARCH("PPP 1",U19)),ISNUMBER(SEARCH("PPP 2",U19)))</formula>
    </cfRule>
    <cfRule type="expression" dxfId="1756" priority="37">
      <formula>ISNUMBER(SEARCH("FORM",U19))</formula>
    </cfRule>
    <cfRule type="expression" dxfId="1755" priority="38">
      <formula>ISNUMBER(SEARCH("ASA",U19))</formula>
    </cfRule>
    <cfRule type="expression" dxfId="1754" priority="39">
      <formula>OR(ISNUMBER(SEARCH("ATM",U19)),ISNUMBER(SEARCH("ATA",U19)))</formula>
    </cfRule>
    <cfRule type="expression" dxfId="1753" priority="40">
      <formula>ISNUMBER(SEARCH("TP",U19))</formula>
    </cfRule>
    <cfRule type="expression" dxfId="1752" priority="41">
      <formula>ISNUMBER(SEARCH("CSE",U19))</formula>
    </cfRule>
    <cfRule type="expression" dxfId="1751" priority="42">
      <formula>OR(ISNUMBER(SEARCH("CA",U19)),ISNUMBER(SEARCH("RC",U19)))</formula>
    </cfRule>
    <cfRule type="expression" dxfId="1750" priority="43">
      <formula>ISNUMBER(SEARCH("JOK",U19))</formula>
    </cfRule>
    <cfRule type="expression" dxfId="1749" priority="44">
      <formula>OR(ISNUMBER(SEARCH("PPP 1",U19)),ISNUMBER(SEARCH("PPP 2",U19)))</formula>
    </cfRule>
    <cfRule type="expression" dxfId="1748" priority="45">
      <formula>ISNUMBER(SEARCH("FORM",U19))</formula>
    </cfRule>
    <cfRule type="expression" dxfId="1747" priority="46">
      <formula>ISNUMBER(SEARCH("ASA",U19))</formula>
    </cfRule>
    <cfRule type="expression" dxfId="1746" priority="47">
      <formula>OR(ISNUMBER(SEARCH("ATM",U19)),ISNUMBER(SEARCH("ATA",U19)))</formula>
    </cfRule>
    <cfRule type="expression" dxfId="1745" priority="48">
      <formula>ISNUMBER(SEARCH("TP",U19))</formula>
    </cfRule>
    <cfRule type="expression" dxfId="1744" priority="49">
      <formula>ISNUMBER(SEARCH("CSE",U19))</formula>
    </cfRule>
    <cfRule type="expression" dxfId="1743" priority="50">
      <formula>OR(ISNUMBER(SEARCH("CA",U19)),ISNUMBER(SEARCH("RC",U19)))</formula>
    </cfRule>
    <cfRule type="expression" dxfId="1742" priority="51">
      <formula>OR(ISNUMBER(SEARCH("PPP 1",U19)),ISNUMBER(SEARCH("PPP 2",U19)))</formula>
    </cfRule>
    <cfRule type="expression" dxfId="1741" priority="52">
      <formula>ISNUMBER(SEARCH("FORM",U19))</formula>
    </cfRule>
    <cfRule type="expression" dxfId="1740" priority="53">
      <formula>ISNUMBER(SEARCH("ASA",U19))</formula>
    </cfRule>
    <cfRule type="expression" dxfId="1739" priority="54">
      <formula>OR(ISNUMBER(SEARCH("ATM",U19)),ISNUMBER(SEARCH("ATA",U19)))</formula>
    </cfRule>
    <cfRule type="expression" dxfId="1738" priority="55">
      <formula>ISNUMBER(SEARCH("TP",U19))</formula>
    </cfRule>
    <cfRule type="expression" dxfId="1737" priority="56">
      <formula>ISNUMBER(SEARCH("CSE",U19))</formula>
    </cfRule>
    <cfRule type="expression" dxfId="1736" priority="57">
      <formula>OR(ISNUMBER(SEARCH("CA",U19)),ISNUMBER(SEARCH("RC",U19)))</formula>
    </cfRule>
  </conditionalFormatting>
  <conditionalFormatting sqref="Z28">
    <cfRule type="expression" dxfId="1735" priority="19">
      <formula>OR(ISNUMBER(SEARCH("PPP 1",Z28)),ISNUMBER(SEARCH("PPP 2",Z28)))</formula>
    </cfRule>
    <cfRule type="expression" dxfId="1734" priority="20">
      <formula>ISNUMBER(SEARCH("FORM",Z28))</formula>
    </cfRule>
    <cfRule type="expression" dxfId="1733" priority="21">
      <formula>ISNUMBER(SEARCH("ASA",Z28))</formula>
    </cfRule>
    <cfRule type="expression" dxfId="1732" priority="22">
      <formula>OR(ISNUMBER(SEARCH("ATM",Z28)),ISNUMBER(SEARCH("ATA",Z28)))</formula>
    </cfRule>
    <cfRule type="expression" dxfId="1731" priority="23">
      <formula>ISNUMBER(SEARCH("TP",Z28))</formula>
    </cfRule>
    <cfRule type="expression" dxfId="1730" priority="24">
      <formula>ISNUMBER(SEARCH("CSE",Z28))</formula>
    </cfRule>
    <cfRule type="expression" dxfId="1729" priority="25">
      <formula>OR(ISNUMBER(SEARCH("CA",Z28)),ISNUMBER(SEARCH("RC",Z28)))</formula>
    </cfRule>
  </conditionalFormatting>
  <conditionalFormatting sqref="Z25:AA26">
    <cfRule type="expression" dxfId="1728" priority="190">
      <formula>OR(ISNUMBER(SEARCH("PPP 1",Z25)),ISNUMBER(SEARCH("PPP 2",Z25)))</formula>
    </cfRule>
    <cfRule type="expression" dxfId="1727" priority="191">
      <formula>ISNUMBER(SEARCH("FORM",Z25))</formula>
    </cfRule>
    <cfRule type="expression" dxfId="1726" priority="192">
      <formula>ISNUMBER(SEARCH("ASA",Z25))</formula>
    </cfRule>
    <cfRule type="expression" dxfId="1725" priority="193">
      <formula>OR(ISNUMBER(SEARCH("ATM",Z25)),ISNUMBER(SEARCH("ATA",Z25)))</formula>
    </cfRule>
    <cfRule type="expression" dxfId="1724" priority="194">
      <formula>ISNUMBER(SEARCH("TP",Z25))</formula>
    </cfRule>
    <cfRule type="expression" dxfId="1723" priority="195">
      <formula>ISNUMBER(SEARCH("CSE",Z25))</formula>
    </cfRule>
    <cfRule type="expression" dxfId="1722" priority="196">
      <formula>OR(ISNUMBER(SEARCH("CA",Z25)),ISNUMBER(SEARCH("RC",Z25)))</formula>
    </cfRule>
  </conditionalFormatting>
  <conditionalFormatting sqref="AA25">
    <cfRule type="expression" dxfId="1721" priority="183">
      <formula>OR(ISNUMBER(SEARCH("PPP 1",AA25)),ISNUMBER(SEARCH("PPP 2",AA25)))</formula>
    </cfRule>
    <cfRule type="expression" dxfId="1720" priority="184">
      <formula>ISNUMBER(SEARCH("FORM",AA25))</formula>
    </cfRule>
    <cfRule type="expression" dxfId="1719" priority="185">
      <formula>ISNUMBER(SEARCH("ASA",AA25))</formula>
    </cfRule>
    <cfRule type="expression" dxfId="1718" priority="186">
      <formula>OR(ISNUMBER(SEARCH("ATM",AA25)),ISNUMBER(SEARCH("ATA",AA25)))</formula>
    </cfRule>
    <cfRule type="expression" dxfId="1717" priority="187">
      <formula>ISNUMBER(SEARCH("TP",AA25))</formula>
    </cfRule>
    <cfRule type="expression" dxfId="1716" priority="188">
      <formula>ISNUMBER(SEARCH("CSE",AA25))</formula>
    </cfRule>
    <cfRule type="expression" dxfId="1715" priority="189">
      <formula>OR(ISNUMBER(SEARCH("CA",AA25)),ISNUMBER(SEARCH("RC",AA25)))</formula>
    </cfRule>
  </conditionalFormatting>
  <conditionalFormatting sqref="AB6:AB24 N6:N28 K6:K31 Q7:Q22 O8:AH18 N9:P9 K9:M31 Z19:AH19 O20:AH24 N19:T19 F25:AH31 F8:M24 G23:AH24 I12:P12">
    <cfRule type="expression" dxfId="1714" priority="220">
      <formula>ISNUMBER(SEARCH("FORM",F6))</formula>
    </cfRule>
    <cfRule type="expression" dxfId="1713" priority="221">
      <formula>ISNUMBER(SEARCH("ASA",F6))</formula>
    </cfRule>
    <cfRule type="expression" dxfId="1712" priority="222">
      <formula>OR(ISNUMBER(SEARCH("ATM",F6)),ISNUMBER(SEARCH("ATA",F6)))</formula>
    </cfRule>
    <cfRule type="expression" dxfId="1711" priority="223">
      <formula>ISNUMBER(SEARCH("TP",F6))</formula>
    </cfRule>
    <cfRule type="expression" dxfId="1710" priority="224">
      <formula>ISNUMBER(SEARCH("CSE",F6))</formula>
    </cfRule>
    <cfRule type="expression" dxfId="1709" priority="225">
      <formula>OR(ISNUMBER(SEARCH("CA",F6)),ISNUMBER(SEARCH("RC",F6)))</formula>
    </cfRule>
  </conditionalFormatting>
  <conditionalFormatting sqref="AB27:AC27">
    <cfRule type="expression" dxfId="1708" priority="162">
      <formula>OR(ISNUMBER(SEARCH("PPP 1",AB27)),ISNUMBER(SEARCH("PPP 2",AB27)))</formula>
    </cfRule>
    <cfRule type="expression" dxfId="1707" priority="163">
      <formula>ISNUMBER(SEARCH("FORM",AB27))</formula>
    </cfRule>
    <cfRule type="expression" dxfId="1706" priority="164">
      <formula>ISNUMBER(SEARCH("ASA",AB27))</formula>
    </cfRule>
    <cfRule type="expression" dxfId="1705" priority="165">
      <formula>OR(ISNUMBER(SEARCH("ATM",AB27)),ISNUMBER(SEARCH("ATA",AB27)))</formula>
    </cfRule>
    <cfRule type="expression" dxfId="1704" priority="166">
      <formula>ISNUMBER(SEARCH("TP",AB27))</formula>
    </cfRule>
    <cfRule type="expression" dxfId="1703" priority="167">
      <formula>ISNUMBER(SEARCH("CSE",AB27))</formula>
    </cfRule>
    <cfRule type="expression" dxfId="1702" priority="168">
      <formula>OR(ISNUMBER(SEARCH("CA",AB27)),ISNUMBER(SEARCH("RC",AB27)))</formula>
    </cfRule>
  </conditionalFormatting>
  <conditionalFormatting sqref="AB25:AF25">
    <cfRule type="expression" dxfId="1701" priority="226">
      <formula>OR(ISNUMBER(SEARCH("PPP 1",AB25)),ISNUMBER(SEARCH("PPP 2",AB25)))</formula>
    </cfRule>
    <cfRule type="expression" dxfId="1700" priority="227">
      <formula>ISNUMBER(SEARCH("ASA",AB25))</formula>
    </cfRule>
    <cfRule type="expression" dxfId="1699" priority="228">
      <formula>OR(ISNUMBER(SEARCH("ATM",AB25)),ISNUMBER(SEARCH("ATA",AB25)))</formula>
    </cfRule>
    <cfRule type="expression" dxfId="1698" priority="229">
      <formula>ISNUMBER(SEARCH("TP",AB25))</formula>
    </cfRule>
    <cfRule type="expression" dxfId="1697" priority="230">
      <formula>ISNUMBER(SEARCH("CSE",AB25))</formula>
    </cfRule>
    <cfRule type="expression" dxfId="1696" priority="231">
      <formula>OR(ISNUMBER(SEARCH("CA",AB25)),ISNUMBER(SEARCH("RC",AB25)))</formula>
    </cfRule>
  </conditionalFormatting>
  <conditionalFormatting sqref="AD27:AF27">
    <cfRule type="expression" dxfId="1695" priority="205">
      <formula>OR(ISNUMBER(SEARCH("PPP 1",AD27)),ISNUMBER(SEARCH("PPP 2",AD27)))</formula>
    </cfRule>
    <cfRule type="expression" dxfId="1694" priority="206">
      <formula>ISNUMBER(SEARCH("FORM",AD27))</formula>
    </cfRule>
    <cfRule type="expression" dxfId="1693" priority="207">
      <formula>ISNUMBER(SEARCH("ASA",AD27))</formula>
    </cfRule>
    <cfRule type="expression" dxfId="1692" priority="208">
      <formula>OR(ISNUMBER(SEARCH("ATM",AD27)),ISNUMBER(SEARCH("ATA",AD27)))</formula>
    </cfRule>
    <cfRule type="expression" dxfId="1691" priority="209">
      <formula>ISNUMBER(SEARCH("TP",AD27))</formula>
    </cfRule>
    <cfRule type="expression" dxfId="1690" priority="210">
      <formula>ISNUMBER(SEARCH("CSE",AD27))</formula>
    </cfRule>
    <cfRule type="expression" dxfId="1689" priority="211">
      <formula>OR(ISNUMBER(SEARCH("CA",AD27)),ISNUMBER(SEARCH("RC",AD27)))</formula>
    </cfRule>
  </conditionalFormatting>
  <conditionalFormatting sqref="AF19">
    <cfRule type="expression" dxfId="1688" priority="26">
      <formula>ISNUMBER(SEARCH("JOK",AF19))</formula>
    </cfRule>
  </conditionalFormatting>
  <conditionalFormatting sqref="R19">
    <cfRule type="expression" dxfId="1687" priority="8">
      <formula>ISNUMBER(SEARCH("JOK",R19))</formula>
    </cfRule>
  </conditionalFormatting>
  <conditionalFormatting sqref="N27:P27">
    <cfRule type="expression" dxfId="1686" priority="1">
      <formula>OR(ISNUMBER(SEARCH("PPP 1",N27)),ISNUMBER(SEARCH("PPP 2",N27)))</formula>
    </cfRule>
    <cfRule type="expression" dxfId="1685" priority="2">
      <formula>ISNUMBER(SEARCH("FORM",N27))</formula>
    </cfRule>
    <cfRule type="expression" dxfId="1684" priority="3">
      <formula>ISNUMBER(SEARCH("ASA",N27))</formula>
    </cfRule>
    <cfRule type="expression" dxfId="1683" priority="4">
      <formula>OR(ISNUMBER(SEARCH("ATM",N27)),ISNUMBER(SEARCH("ATA",N27)))</formula>
    </cfRule>
    <cfRule type="expression" dxfId="1682" priority="5">
      <formula>ISNUMBER(SEARCH("TP",N27))</formula>
    </cfRule>
    <cfRule type="expression" dxfId="1681" priority="6">
      <formula>ISNUMBER(SEARCH("CSE",N27))</formula>
    </cfRule>
    <cfRule type="expression" dxfId="1680" priority="7">
      <formula>OR(ISNUMBER(SEARCH("CA",N27)),ISNUMBER(SEARCH("RC",N27)))</formula>
    </cfRule>
  </conditionalFormatting>
  <dataValidations count="1">
    <dataValidation allowBlank="1" showInputMessage="1" showErrorMessage="1" sqref="G9" xr:uid="{00000000-0002-0000-0500-000000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CCFF"/>
  </sheetPr>
  <dimension ref="A1:AH595"/>
  <sheetViews>
    <sheetView topLeftCell="A22" zoomScaleNormal="100" workbookViewId="0">
      <pane xSplit="6" topLeftCell="G1" activePane="topRight" state="frozen"/>
      <selection pane="topRight" activeCell="R25" sqref="R25"/>
      <selection activeCell="A22" sqref="A22"/>
    </sheetView>
  </sheetViews>
  <sheetFormatPr defaultColWidth="8.85546875" defaultRowHeight="15"/>
  <cols>
    <col min="1" max="1" width="12.42578125" customWidth="1"/>
    <col min="2" max="2" width="21" customWidth="1"/>
    <col min="3" max="3" width="16.85546875" customWidth="1"/>
    <col min="4" max="4" width="21.42578125" customWidth="1"/>
    <col min="5" max="5" width="19.28515625" customWidth="1"/>
    <col min="6" max="6" width="13.7109375" customWidth="1"/>
    <col min="7" max="10" width="10.85546875" customWidth="1"/>
    <col min="11" max="11" width="8" customWidth="1"/>
    <col min="12" max="12" width="8.28515625" customWidth="1"/>
    <col min="13" max="13" width="6.28515625" customWidth="1"/>
    <col min="14" max="14" width="10.85546875" customWidth="1"/>
    <col min="15" max="16" width="7.7109375" customWidth="1"/>
    <col min="17" max="17" width="7.85546875" customWidth="1"/>
    <col min="18" max="18" width="8.28515625" customWidth="1"/>
    <col min="19" max="19" width="7.7109375" customWidth="1"/>
    <col min="20" max="20" width="6.28515625" customWidth="1"/>
    <col min="21" max="21" width="12.7109375" customWidth="1"/>
    <col min="22" max="25" width="9.42578125" customWidth="1"/>
    <col min="26" max="26" width="8.28515625" customWidth="1"/>
    <col min="27" max="27" width="6.28515625" customWidth="1"/>
    <col min="28" max="30" width="10.42578125" customWidth="1"/>
    <col min="31" max="32" width="8.42578125" customWidth="1"/>
    <col min="33" max="33" width="8.28515625" customWidth="1"/>
    <col min="34" max="34" width="6.28515625" customWidth="1"/>
  </cols>
  <sheetData>
    <row r="1" spans="1:34" ht="18.75" customHeight="1">
      <c r="F1" s="13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ht="18.75" customHeight="1">
      <c r="F2" s="13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</row>
    <row r="3" spans="1:34" ht="34.5" customHeight="1">
      <c r="A3" s="15"/>
      <c r="B3" s="16"/>
      <c r="C3" s="16"/>
      <c r="D3" s="16"/>
      <c r="E3" s="16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4" spans="1:34" ht="18.75" customHeight="1">
      <c r="A4" s="18" t="s">
        <v>23</v>
      </c>
      <c r="B4" s="422" t="s">
        <v>290</v>
      </c>
      <c r="C4" s="422"/>
      <c r="D4" s="422"/>
      <c r="E4" s="422"/>
      <c r="F4" s="429"/>
      <c r="G4" s="411" t="s">
        <v>291</v>
      </c>
      <c r="H4" s="411"/>
      <c r="I4" s="411"/>
      <c r="J4" s="411"/>
      <c r="K4" s="411"/>
      <c r="L4" s="411"/>
      <c r="M4" s="411"/>
      <c r="N4" s="411" t="s">
        <v>292</v>
      </c>
      <c r="O4" s="411"/>
      <c r="P4" s="411"/>
      <c r="Q4" s="411"/>
      <c r="R4" s="411"/>
      <c r="S4" s="411"/>
      <c r="T4" s="411"/>
      <c r="U4" s="411" t="s">
        <v>293</v>
      </c>
      <c r="V4" s="411"/>
      <c r="W4" s="411"/>
      <c r="X4" s="411"/>
      <c r="Y4" s="411"/>
      <c r="Z4" s="411"/>
      <c r="AA4" s="411"/>
      <c r="AB4" s="411" t="s">
        <v>294</v>
      </c>
      <c r="AC4" s="411"/>
      <c r="AD4" s="411"/>
      <c r="AE4" s="411"/>
      <c r="AF4" s="411"/>
      <c r="AG4" s="411"/>
      <c r="AH4" s="411"/>
    </row>
    <row r="5" spans="1:34" ht="21" customHeight="1">
      <c r="A5" s="152" t="s">
        <v>24</v>
      </c>
      <c r="B5" s="422"/>
      <c r="C5" s="422"/>
      <c r="D5" s="422"/>
      <c r="E5" s="422"/>
      <c r="F5" s="429"/>
      <c r="G5" s="22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168"/>
    </row>
    <row r="6" spans="1:34" ht="19.5" customHeight="1">
      <c r="A6" s="27" t="s">
        <v>25</v>
      </c>
      <c r="B6" s="421" t="s">
        <v>60</v>
      </c>
      <c r="C6" s="421"/>
      <c r="D6" s="421"/>
      <c r="E6" s="421"/>
      <c r="F6" s="429"/>
      <c r="G6" s="169" t="s">
        <v>61</v>
      </c>
      <c r="H6" s="170" t="s">
        <v>62</v>
      </c>
      <c r="I6" s="170" t="s">
        <v>63</v>
      </c>
      <c r="J6" s="170" t="s">
        <v>64</v>
      </c>
      <c r="K6" s="170" t="s">
        <v>65</v>
      </c>
      <c r="L6" s="171" t="s">
        <v>66</v>
      </c>
      <c r="M6" s="171" t="s">
        <v>67</v>
      </c>
      <c r="N6" s="170" t="s">
        <v>68</v>
      </c>
      <c r="O6" s="170" t="s">
        <v>62</v>
      </c>
      <c r="P6" s="170" t="s">
        <v>63</v>
      </c>
      <c r="Q6" s="170" t="s">
        <v>64</v>
      </c>
      <c r="R6" s="170" t="s">
        <v>65</v>
      </c>
      <c r="S6" s="171" t="s">
        <v>66</v>
      </c>
      <c r="T6" s="171" t="s">
        <v>67</v>
      </c>
      <c r="U6" s="170" t="s">
        <v>68</v>
      </c>
      <c r="V6" s="170" t="s">
        <v>62</v>
      </c>
      <c r="W6" s="170" t="s">
        <v>63</v>
      </c>
      <c r="X6" s="170" t="s">
        <v>64</v>
      </c>
      <c r="Y6" s="170" t="s">
        <v>65</v>
      </c>
      <c r="Z6" s="171" t="s">
        <v>66</v>
      </c>
      <c r="AA6" s="171" t="s">
        <v>67</v>
      </c>
      <c r="AB6" s="170" t="s">
        <v>68</v>
      </c>
      <c r="AC6" s="170" t="s">
        <v>62</v>
      </c>
      <c r="AD6" s="170" t="s">
        <v>63</v>
      </c>
      <c r="AE6" s="170" t="s">
        <v>64</v>
      </c>
      <c r="AF6" s="170" t="s">
        <v>65</v>
      </c>
      <c r="AG6" s="171" t="s">
        <v>66</v>
      </c>
      <c r="AH6" s="172" t="s">
        <v>67</v>
      </c>
    </row>
    <row r="7" spans="1:34" ht="36" customHeight="1">
      <c r="A7" s="274" t="s">
        <v>26</v>
      </c>
      <c r="B7" s="275" t="s">
        <v>69</v>
      </c>
      <c r="C7" s="35" t="s">
        <v>70</v>
      </c>
      <c r="D7" s="276" t="s">
        <v>71</v>
      </c>
      <c r="E7" s="277" t="s">
        <v>72</v>
      </c>
      <c r="F7" s="429"/>
      <c r="G7" s="278">
        <v>1</v>
      </c>
      <c r="H7" s="279">
        <v>2</v>
      </c>
      <c r="I7" s="279">
        <v>3</v>
      </c>
      <c r="J7" s="279">
        <v>4</v>
      </c>
      <c r="K7" s="279">
        <v>5</v>
      </c>
      <c r="L7" s="281">
        <v>6</v>
      </c>
      <c r="M7" s="281">
        <v>7</v>
      </c>
      <c r="N7" s="279">
        <v>8</v>
      </c>
      <c r="O7" s="279">
        <v>9</v>
      </c>
      <c r="P7" s="279">
        <v>10</v>
      </c>
      <c r="Q7" s="279">
        <v>11</v>
      </c>
      <c r="R7" s="279">
        <v>12</v>
      </c>
      <c r="S7" s="281">
        <v>13</v>
      </c>
      <c r="T7" s="281">
        <v>14</v>
      </c>
      <c r="U7" s="279">
        <v>15</v>
      </c>
      <c r="V7" s="279">
        <v>16</v>
      </c>
      <c r="W7" s="279">
        <v>17</v>
      </c>
      <c r="X7" s="279">
        <v>18</v>
      </c>
      <c r="Y7" s="279">
        <v>19</v>
      </c>
      <c r="Z7" s="281">
        <v>20</v>
      </c>
      <c r="AA7" s="281">
        <v>21</v>
      </c>
      <c r="AB7" s="279">
        <v>22</v>
      </c>
      <c r="AC7" s="279">
        <v>23</v>
      </c>
      <c r="AD7" s="279">
        <v>24</v>
      </c>
      <c r="AE7" s="279">
        <v>25</v>
      </c>
      <c r="AF7" s="279">
        <v>26</v>
      </c>
      <c r="AG7" s="281">
        <v>27</v>
      </c>
      <c r="AH7" s="282">
        <v>28</v>
      </c>
    </row>
    <row r="8" spans="1:34" ht="37.5" customHeight="1">
      <c r="A8" s="283" t="s">
        <v>27</v>
      </c>
      <c r="B8" s="416" t="s">
        <v>73</v>
      </c>
      <c r="C8" s="416"/>
      <c r="D8" s="185" t="s">
        <v>74</v>
      </c>
      <c r="E8" s="177" t="s">
        <v>75</v>
      </c>
      <c r="F8" s="221">
        <v>1</v>
      </c>
      <c r="G8" s="204" t="s">
        <v>25</v>
      </c>
      <c r="H8" s="205"/>
      <c r="I8" s="205"/>
      <c r="J8" s="205"/>
      <c r="K8" s="205"/>
      <c r="L8" s="323"/>
      <c r="M8" s="323"/>
      <c r="N8" s="205"/>
      <c r="O8" s="322" t="s">
        <v>295</v>
      </c>
      <c r="P8" s="205"/>
      <c r="Q8" s="205"/>
      <c r="R8" s="205"/>
      <c r="S8" s="323"/>
      <c r="T8" s="323"/>
      <c r="U8" s="205"/>
      <c r="V8" s="205"/>
      <c r="W8" s="205"/>
      <c r="X8" s="205"/>
      <c r="Y8" s="205"/>
      <c r="Z8" s="323"/>
      <c r="AA8" s="323"/>
      <c r="AB8" s="205"/>
      <c r="AC8" s="205"/>
      <c r="AD8" s="205"/>
      <c r="AE8" s="205"/>
      <c r="AF8" s="205">
        <v>8027</v>
      </c>
      <c r="AG8" s="323"/>
      <c r="AH8" s="324"/>
    </row>
    <row r="9" spans="1:34" ht="37.5" customHeight="1">
      <c r="A9" s="292" t="s">
        <v>28</v>
      </c>
      <c r="B9" s="293" t="s">
        <v>77</v>
      </c>
      <c r="C9" s="294" t="s">
        <v>78</v>
      </c>
      <c r="D9" s="295" t="s">
        <v>79</v>
      </c>
      <c r="E9" s="296" t="s">
        <v>80</v>
      </c>
      <c r="F9" s="221">
        <v>1</v>
      </c>
      <c r="G9" s="113" t="s">
        <v>87</v>
      </c>
      <c r="H9" s="114" t="s">
        <v>87</v>
      </c>
      <c r="I9" s="114" t="s">
        <v>87</v>
      </c>
      <c r="J9" s="114" t="s">
        <v>87</v>
      </c>
      <c r="K9" s="114" t="s">
        <v>87</v>
      </c>
      <c r="L9" s="116"/>
      <c r="M9" s="116"/>
      <c r="N9" s="114" t="s">
        <v>87</v>
      </c>
      <c r="O9" s="114" t="s">
        <v>87</v>
      </c>
      <c r="P9" s="114" t="s">
        <v>87</v>
      </c>
      <c r="Q9" s="114" t="s">
        <v>87</v>
      </c>
      <c r="R9" s="114" t="s">
        <v>87</v>
      </c>
      <c r="S9" s="116"/>
      <c r="T9" s="116"/>
      <c r="U9" s="114" t="s">
        <v>87</v>
      </c>
      <c r="V9" s="114" t="s">
        <v>87</v>
      </c>
      <c r="W9" s="114" t="s">
        <v>87</v>
      </c>
      <c r="X9" s="114" t="s">
        <v>87</v>
      </c>
      <c r="Y9" s="114" t="s">
        <v>87</v>
      </c>
      <c r="Z9" s="116"/>
      <c r="AA9" s="116"/>
      <c r="AB9" s="114" t="s">
        <v>87</v>
      </c>
      <c r="AC9" s="114" t="s">
        <v>87</v>
      </c>
      <c r="AD9" s="114" t="s">
        <v>87</v>
      </c>
      <c r="AE9" s="114" t="s">
        <v>87</v>
      </c>
      <c r="AF9" s="114" t="s">
        <v>87</v>
      </c>
      <c r="AG9" s="116"/>
      <c r="AH9" s="117"/>
    </row>
    <row r="10" spans="1:34" ht="18.75" customHeight="1">
      <c r="A10" s="417" t="s">
        <v>88</v>
      </c>
      <c r="B10" s="64" t="s">
        <v>89</v>
      </c>
      <c r="C10" s="65" t="s">
        <v>90</v>
      </c>
      <c r="D10" s="186" t="s">
        <v>91</v>
      </c>
      <c r="E10" s="187" t="s">
        <v>92</v>
      </c>
      <c r="F10" s="336">
        <v>0.5</v>
      </c>
      <c r="G10" s="69"/>
      <c r="H10" s="61"/>
      <c r="I10" s="61"/>
      <c r="J10" s="61"/>
      <c r="K10" s="61"/>
      <c r="L10" s="70"/>
      <c r="M10" s="70"/>
      <c r="N10" s="61"/>
      <c r="O10" s="61"/>
      <c r="P10" s="61"/>
      <c r="Q10" s="61"/>
      <c r="R10" s="61"/>
      <c r="S10" s="70"/>
      <c r="T10" s="70"/>
      <c r="U10" s="188" t="s">
        <v>23</v>
      </c>
      <c r="V10" s="188" t="s">
        <v>23</v>
      </c>
      <c r="W10" s="188" t="s">
        <v>23</v>
      </c>
      <c r="X10" s="188" t="s">
        <v>23</v>
      </c>
      <c r="Y10" s="188" t="s">
        <v>23</v>
      </c>
      <c r="Z10" s="70"/>
      <c r="AA10" s="70"/>
      <c r="AB10" s="188" t="s">
        <v>23</v>
      </c>
      <c r="AC10" s="188" t="s">
        <v>23</v>
      </c>
      <c r="AD10" s="188" t="s">
        <v>23</v>
      </c>
      <c r="AE10" s="188" t="s">
        <v>23</v>
      </c>
      <c r="AF10" s="188" t="s">
        <v>23</v>
      </c>
      <c r="AG10" s="70"/>
      <c r="AH10" s="72"/>
    </row>
    <row r="11" spans="1:34" ht="18.75" customHeight="1">
      <c r="A11" s="417"/>
      <c r="B11" s="64" t="s">
        <v>94</v>
      </c>
      <c r="C11" s="65" t="s">
        <v>95</v>
      </c>
      <c r="D11" s="191" t="s">
        <v>96</v>
      </c>
      <c r="E11" s="192" t="s">
        <v>97</v>
      </c>
      <c r="F11" s="336">
        <v>1</v>
      </c>
      <c r="G11" s="76"/>
      <c r="H11" s="58"/>
      <c r="I11" s="58"/>
      <c r="J11" s="58"/>
      <c r="K11" s="58"/>
      <c r="L11" s="59"/>
      <c r="M11" s="59"/>
      <c r="N11" s="58"/>
      <c r="O11" s="58"/>
      <c r="P11" s="58"/>
      <c r="Q11" s="58"/>
      <c r="R11" s="58"/>
      <c r="S11" s="59"/>
      <c r="T11" s="59"/>
      <c r="U11" s="58"/>
      <c r="V11" s="58"/>
      <c r="W11" s="58"/>
      <c r="X11" s="58"/>
      <c r="Y11" s="58"/>
      <c r="Z11" s="59"/>
      <c r="AA11" s="59"/>
      <c r="AB11" s="61"/>
      <c r="AC11" s="61"/>
      <c r="AD11" s="61"/>
      <c r="AE11" s="61"/>
      <c r="AF11" s="303" t="s">
        <v>296</v>
      </c>
      <c r="AG11" s="59"/>
      <c r="AH11" s="63"/>
    </row>
    <row r="12" spans="1:34" ht="18.75" customHeight="1">
      <c r="A12" s="417"/>
      <c r="B12" s="64" t="s">
        <v>98</v>
      </c>
      <c r="C12" s="65" t="s">
        <v>99</v>
      </c>
      <c r="D12" s="193" t="s">
        <v>257</v>
      </c>
      <c r="E12" s="194" t="s">
        <v>193</v>
      </c>
      <c r="F12" s="336">
        <v>1</v>
      </c>
      <c r="G12" s="69"/>
      <c r="H12" s="61"/>
      <c r="I12" s="61"/>
      <c r="J12" s="61"/>
      <c r="K12" s="61"/>
      <c r="L12" s="70"/>
      <c r="M12" s="70"/>
      <c r="N12" s="61"/>
      <c r="O12" s="61"/>
      <c r="P12" s="61"/>
      <c r="Q12" s="58"/>
      <c r="R12" s="58"/>
      <c r="S12" s="59"/>
      <c r="T12" s="59"/>
      <c r="U12" s="61"/>
      <c r="V12" s="61"/>
      <c r="W12" s="58"/>
      <c r="X12" s="58"/>
      <c r="Y12" s="61"/>
      <c r="Z12" s="59"/>
      <c r="AA12" s="70"/>
      <c r="AB12" s="61"/>
      <c r="AC12" s="58"/>
      <c r="AD12" s="61"/>
      <c r="AE12" s="61"/>
      <c r="AF12" s="61"/>
      <c r="AG12" s="59"/>
      <c r="AH12" s="72"/>
    </row>
    <row r="13" spans="1:34" ht="18.75" customHeight="1">
      <c r="A13" s="417"/>
      <c r="B13" s="64" t="s">
        <v>102</v>
      </c>
      <c r="C13" s="65" t="s">
        <v>103</v>
      </c>
      <c r="D13" s="193" t="s">
        <v>104</v>
      </c>
      <c r="E13" s="194" t="s">
        <v>105</v>
      </c>
      <c r="F13" s="336">
        <v>0.8</v>
      </c>
      <c r="G13" s="69"/>
      <c r="H13" s="61"/>
      <c r="I13" s="62" t="s">
        <v>106</v>
      </c>
      <c r="J13" s="61"/>
      <c r="K13" s="61"/>
      <c r="L13" s="59"/>
      <c r="M13" s="70"/>
      <c r="N13" s="61"/>
      <c r="O13" s="61"/>
      <c r="P13" s="58"/>
      <c r="Q13" s="61"/>
      <c r="R13" s="58"/>
      <c r="S13" s="59"/>
      <c r="T13" s="59"/>
      <c r="U13" s="188" t="s">
        <v>23</v>
      </c>
      <c r="V13" s="188" t="s">
        <v>23</v>
      </c>
      <c r="W13" s="188" t="s">
        <v>23</v>
      </c>
      <c r="X13" s="188" t="s">
        <v>23</v>
      </c>
      <c r="Y13" s="188" t="s">
        <v>23</v>
      </c>
      <c r="Z13" s="59"/>
      <c r="AA13" s="70"/>
      <c r="AB13" s="61"/>
      <c r="AC13" s="61"/>
      <c r="AD13" s="61"/>
      <c r="AE13" s="61"/>
      <c r="AF13" s="61"/>
      <c r="AG13" s="59"/>
      <c r="AH13" s="72"/>
    </row>
    <row r="14" spans="1:34" ht="18.75" customHeight="1">
      <c r="A14" s="417"/>
      <c r="B14" s="64" t="s">
        <v>107</v>
      </c>
      <c r="C14" s="65" t="s">
        <v>108</v>
      </c>
      <c r="D14" s="193" t="s">
        <v>109</v>
      </c>
      <c r="E14" s="194" t="s">
        <v>110</v>
      </c>
      <c r="F14" s="336">
        <v>1</v>
      </c>
      <c r="G14" s="69"/>
      <c r="H14" s="61"/>
      <c r="I14" s="58"/>
      <c r="J14" s="61"/>
      <c r="K14" s="61"/>
      <c r="L14" s="70"/>
      <c r="M14" s="70"/>
      <c r="N14" s="61"/>
      <c r="O14" s="61"/>
      <c r="P14" s="61"/>
      <c r="Q14" s="58"/>
      <c r="R14" s="58"/>
      <c r="S14" s="59"/>
      <c r="T14" s="59"/>
      <c r="U14" s="61"/>
      <c r="V14" s="61"/>
      <c r="W14" s="61"/>
      <c r="X14" s="58"/>
      <c r="Y14" s="61"/>
      <c r="Z14" s="59"/>
      <c r="AA14" s="70"/>
      <c r="AB14" s="61"/>
      <c r="AC14" s="61"/>
      <c r="AD14" s="58"/>
      <c r="AE14" s="61"/>
      <c r="AF14" s="61"/>
      <c r="AG14" s="59"/>
      <c r="AH14" s="72"/>
    </row>
    <row r="15" spans="1:34" ht="18.75" customHeight="1">
      <c r="A15" s="417"/>
      <c r="B15" s="64" t="s">
        <v>111</v>
      </c>
      <c r="C15" s="65" t="s">
        <v>112</v>
      </c>
      <c r="D15" s="193" t="s">
        <v>113</v>
      </c>
      <c r="E15" s="194" t="s">
        <v>114</v>
      </c>
      <c r="F15" s="336">
        <v>1</v>
      </c>
      <c r="G15" s="69"/>
      <c r="H15" s="61"/>
      <c r="I15" s="61"/>
      <c r="J15" s="61"/>
      <c r="K15" s="61"/>
      <c r="L15" s="59"/>
      <c r="M15" s="70"/>
      <c r="N15" s="61"/>
      <c r="O15" s="61"/>
      <c r="P15" s="61"/>
      <c r="Q15" s="58"/>
      <c r="R15" s="58"/>
      <c r="S15" s="59"/>
      <c r="T15" s="59"/>
      <c r="U15" s="61"/>
      <c r="V15" s="61"/>
      <c r="W15" s="61"/>
      <c r="X15" s="61"/>
      <c r="Y15" s="61"/>
      <c r="Z15" s="59"/>
      <c r="AA15" s="70"/>
      <c r="AB15" s="61"/>
      <c r="AC15" s="61"/>
      <c r="AD15" s="61"/>
      <c r="AE15" s="61"/>
      <c r="AF15" s="58"/>
      <c r="AG15" s="59"/>
      <c r="AH15" s="72"/>
    </row>
    <row r="16" spans="1:34" ht="18.75" customHeight="1">
      <c r="A16" s="417"/>
      <c r="B16" s="64" t="s">
        <v>116</v>
      </c>
      <c r="C16" s="65" t="s">
        <v>117</v>
      </c>
      <c r="D16" s="193" t="s">
        <v>118</v>
      </c>
      <c r="E16" s="194" t="s">
        <v>119</v>
      </c>
      <c r="F16" s="336">
        <v>1</v>
      </c>
      <c r="G16" s="69"/>
      <c r="H16" s="61"/>
      <c r="I16" s="61"/>
      <c r="J16" s="58"/>
      <c r="K16" s="61"/>
      <c r="L16" s="70"/>
      <c r="M16" s="70"/>
      <c r="N16" s="61"/>
      <c r="O16" s="61"/>
      <c r="P16" s="61"/>
      <c r="Q16" s="58"/>
      <c r="R16" s="58"/>
      <c r="S16" s="59"/>
      <c r="T16" s="59"/>
      <c r="U16" s="61"/>
      <c r="V16" s="61"/>
      <c r="W16" s="61"/>
      <c r="X16" s="61"/>
      <c r="Y16" s="58"/>
      <c r="Z16" s="59"/>
      <c r="AA16" s="70"/>
      <c r="AB16" s="61"/>
      <c r="AC16" s="61"/>
      <c r="AD16" s="61"/>
      <c r="AE16" s="58"/>
      <c r="AF16" s="61"/>
      <c r="AG16" s="59"/>
      <c r="AH16" s="72"/>
    </row>
    <row r="17" spans="1:34" ht="18.75" customHeight="1">
      <c r="A17" s="417"/>
      <c r="B17" s="64" t="s">
        <v>120</v>
      </c>
      <c r="C17" s="65" t="s">
        <v>121</v>
      </c>
      <c r="D17" s="193" t="s">
        <v>122</v>
      </c>
      <c r="E17" s="194" t="s">
        <v>123</v>
      </c>
      <c r="F17" s="336">
        <v>1</v>
      </c>
      <c r="G17" s="69"/>
      <c r="H17" s="61"/>
      <c r="I17" s="61"/>
      <c r="J17" s="61"/>
      <c r="K17" s="61"/>
      <c r="L17" s="59"/>
      <c r="M17" s="70"/>
      <c r="N17" s="61"/>
      <c r="O17" s="61"/>
      <c r="P17" s="61"/>
      <c r="Q17" s="58"/>
      <c r="R17" s="58"/>
      <c r="S17" s="59"/>
      <c r="T17" s="59"/>
      <c r="U17" s="61"/>
      <c r="V17" s="61"/>
      <c r="W17" s="61"/>
      <c r="X17" s="58"/>
      <c r="Y17" s="61"/>
      <c r="Z17" s="59"/>
      <c r="AA17" s="70"/>
      <c r="AB17" s="58"/>
      <c r="AC17" s="61"/>
      <c r="AD17" s="61"/>
      <c r="AE17" s="61"/>
      <c r="AF17" s="61"/>
      <c r="AG17" s="59"/>
      <c r="AH17" s="72"/>
    </row>
    <row r="18" spans="1:34" ht="18.75" customHeight="1">
      <c r="A18" s="417"/>
      <c r="B18" s="64" t="s">
        <v>124</v>
      </c>
      <c r="C18" s="65" t="s">
        <v>125</v>
      </c>
      <c r="D18" s="193" t="s">
        <v>126</v>
      </c>
      <c r="E18" s="194" t="s">
        <v>127</v>
      </c>
      <c r="F18" s="336">
        <v>1</v>
      </c>
      <c r="G18" s="69"/>
      <c r="H18" s="61"/>
      <c r="I18" s="61"/>
      <c r="J18" s="61"/>
      <c r="K18" s="58"/>
      <c r="L18" s="70"/>
      <c r="M18" s="70"/>
      <c r="N18" s="61"/>
      <c r="O18" s="61"/>
      <c r="P18" s="61"/>
      <c r="Q18" s="58"/>
      <c r="R18" s="58"/>
      <c r="S18" s="59"/>
      <c r="T18" s="59"/>
      <c r="U18" s="303" t="s">
        <v>25</v>
      </c>
      <c r="V18" s="303" t="s">
        <v>25</v>
      </c>
      <c r="W18" s="303" t="s">
        <v>25</v>
      </c>
      <c r="X18" s="303" t="s">
        <v>25</v>
      </c>
      <c r="Y18" s="303" t="s">
        <v>25</v>
      </c>
      <c r="Z18" s="59"/>
      <c r="AA18" s="70"/>
      <c r="AB18" s="303" t="s">
        <v>25</v>
      </c>
      <c r="AC18" s="303" t="s">
        <v>25</v>
      </c>
      <c r="AD18" s="303" t="s">
        <v>25</v>
      </c>
      <c r="AE18" s="303" t="s">
        <v>25</v>
      </c>
      <c r="AF18" s="303" t="s">
        <v>25</v>
      </c>
      <c r="AG18" s="59"/>
      <c r="AH18" s="72"/>
    </row>
    <row r="19" spans="1:34" ht="18.75" customHeight="1">
      <c r="A19" s="417"/>
      <c r="B19" s="64" t="s">
        <v>129</v>
      </c>
      <c r="C19" s="65" t="s">
        <v>130</v>
      </c>
      <c r="D19" s="196" t="s">
        <v>131</v>
      </c>
      <c r="E19" s="197" t="s">
        <v>132</v>
      </c>
      <c r="F19" s="336">
        <v>1</v>
      </c>
      <c r="G19" s="91" t="s">
        <v>25</v>
      </c>
      <c r="H19" s="88" t="s">
        <v>25</v>
      </c>
      <c r="I19" s="88" t="s">
        <v>25</v>
      </c>
      <c r="J19" s="88" t="s">
        <v>25</v>
      </c>
      <c r="K19" s="88" t="s">
        <v>25</v>
      </c>
      <c r="L19" s="87"/>
      <c r="M19" s="87"/>
      <c r="N19" s="188" t="s">
        <v>23</v>
      </c>
      <c r="O19" s="188" t="s">
        <v>23</v>
      </c>
      <c r="P19" s="188" t="s">
        <v>23</v>
      </c>
      <c r="Q19" s="188" t="s">
        <v>23</v>
      </c>
      <c r="R19" s="188" t="s">
        <v>23</v>
      </c>
      <c r="S19" s="59"/>
      <c r="T19" s="59"/>
      <c r="U19" s="58"/>
      <c r="V19" s="61"/>
      <c r="W19" s="61"/>
      <c r="X19" s="61"/>
      <c r="Y19" s="61"/>
      <c r="Z19" s="59"/>
      <c r="AA19" s="70"/>
      <c r="AB19" s="303" t="s">
        <v>296</v>
      </c>
      <c r="AC19" s="303" t="s">
        <v>296</v>
      </c>
      <c r="AD19" s="303" t="s">
        <v>296</v>
      </c>
      <c r="AE19" s="303" t="s">
        <v>296</v>
      </c>
      <c r="AF19" s="303" t="s">
        <v>296</v>
      </c>
      <c r="AG19" s="59"/>
      <c r="AH19" s="90"/>
    </row>
    <row r="20" spans="1:34" ht="18.75" customHeight="1">
      <c r="A20" s="417"/>
      <c r="B20" s="64" t="s">
        <v>133</v>
      </c>
      <c r="C20" s="65" t="s">
        <v>134</v>
      </c>
      <c r="D20" s="196" t="s">
        <v>135</v>
      </c>
      <c r="E20" s="197" t="s">
        <v>136</v>
      </c>
      <c r="F20" s="336">
        <v>1</v>
      </c>
      <c r="G20" s="91"/>
      <c r="H20" s="88"/>
      <c r="I20" s="88"/>
      <c r="J20" s="88"/>
      <c r="K20" s="58"/>
      <c r="L20" s="87"/>
      <c r="M20" s="87"/>
      <c r="N20" s="88"/>
      <c r="O20" s="88"/>
      <c r="P20" s="88"/>
      <c r="Q20" s="58"/>
      <c r="R20" s="58"/>
      <c r="S20" s="59"/>
      <c r="T20" s="59"/>
      <c r="U20" s="58"/>
      <c r="V20" s="61"/>
      <c r="W20" s="61"/>
      <c r="X20" s="61"/>
      <c r="Y20" s="61"/>
      <c r="Z20" s="59"/>
      <c r="AA20" s="70"/>
      <c r="AB20" s="303" t="s">
        <v>25</v>
      </c>
      <c r="AC20" s="303" t="s">
        <v>25</v>
      </c>
      <c r="AD20" s="303" t="s">
        <v>25</v>
      </c>
      <c r="AE20" s="303" t="s">
        <v>25</v>
      </c>
      <c r="AF20" s="303" t="s">
        <v>25</v>
      </c>
      <c r="AG20" s="59"/>
      <c r="AH20" s="90"/>
    </row>
    <row r="21" spans="1:34" ht="18.75" customHeight="1">
      <c r="A21" s="417"/>
      <c r="B21" s="64" t="s">
        <v>137</v>
      </c>
      <c r="C21" s="65" t="s">
        <v>138</v>
      </c>
      <c r="D21" s="196" t="s">
        <v>139</v>
      </c>
      <c r="E21" s="197" t="s">
        <v>140</v>
      </c>
      <c r="F21" s="336">
        <v>1</v>
      </c>
      <c r="G21" s="91"/>
      <c r="H21" s="88"/>
      <c r="I21" s="88"/>
      <c r="J21" s="88"/>
      <c r="K21" s="58"/>
      <c r="L21" s="87"/>
      <c r="M21" s="87"/>
      <c r="N21" s="88"/>
      <c r="O21" s="88"/>
      <c r="P21" s="88"/>
      <c r="Q21" s="58"/>
      <c r="R21" s="58"/>
      <c r="S21" s="59"/>
      <c r="T21" s="59"/>
      <c r="U21" s="58"/>
      <c r="V21" s="61"/>
      <c r="W21" s="61"/>
      <c r="X21" s="61"/>
      <c r="Y21" s="61"/>
      <c r="Z21" s="59"/>
      <c r="AA21" s="70"/>
      <c r="AB21" s="61"/>
      <c r="AC21" s="61"/>
      <c r="AD21" s="61"/>
      <c r="AE21" s="61"/>
      <c r="AF21" s="58"/>
      <c r="AG21" s="59"/>
      <c r="AH21" s="90"/>
    </row>
    <row r="22" spans="1:34" ht="18.75" customHeight="1">
      <c r="A22" s="417"/>
      <c r="B22" s="64" t="s">
        <v>141</v>
      </c>
      <c r="C22" s="65" t="s">
        <v>142</v>
      </c>
      <c r="D22" s="196" t="s">
        <v>143</v>
      </c>
      <c r="E22" s="197" t="s">
        <v>144</v>
      </c>
      <c r="F22" s="336">
        <v>1</v>
      </c>
      <c r="G22" s="91"/>
      <c r="H22" s="88"/>
      <c r="I22" s="88"/>
      <c r="J22" s="88"/>
      <c r="K22" s="58"/>
      <c r="L22" s="87"/>
      <c r="M22" s="87"/>
      <c r="N22" s="88"/>
      <c r="O22" s="88"/>
      <c r="P22" s="88"/>
      <c r="Q22" s="58"/>
      <c r="R22" s="58"/>
      <c r="S22" s="87"/>
      <c r="T22" s="87"/>
      <c r="U22" s="58"/>
      <c r="V22" s="61"/>
      <c r="W22" s="61"/>
      <c r="X22" s="61"/>
      <c r="Y22" s="61"/>
      <c r="Z22" s="59"/>
      <c r="AA22" s="70"/>
      <c r="AB22" s="61"/>
      <c r="AC22" s="61"/>
      <c r="AD22" s="61"/>
      <c r="AE22" s="61"/>
      <c r="AF22" s="58"/>
      <c r="AG22" s="87"/>
      <c r="AH22" s="90"/>
    </row>
    <row r="23" spans="1:34" ht="18.75" customHeight="1">
      <c r="A23" s="417"/>
      <c r="B23" s="64" t="s">
        <v>146</v>
      </c>
      <c r="C23" s="65"/>
      <c r="D23" s="95" t="s">
        <v>147</v>
      </c>
      <c r="E23" s="85" t="s">
        <v>148</v>
      </c>
      <c r="F23" s="336">
        <v>1</v>
      </c>
      <c r="G23" s="91"/>
      <c r="H23" s="88"/>
      <c r="I23" s="88"/>
      <c r="J23" s="88"/>
      <c r="K23" s="88"/>
      <c r="L23" s="87"/>
      <c r="M23" s="87"/>
      <c r="N23" s="88"/>
      <c r="O23" s="88"/>
      <c r="P23" s="88"/>
      <c r="Q23" s="88"/>
      <c r="R23" s="88" t="s">
        <v>211</v>
      </c>
      <c r="S23" s="87"/>
      <c r="T23" s="87"/>
      <c r="U23" s="88" t="s">
        <v>154</v>
      </c>
      <c r="V23" s="88" t="s">
        <v>154</v>
      </c>
      <c r="W23" s="88" t="s">
        <v>154</v>
      </c>
      <c r="X23" s="88" t="s">
        <v>154</v>
      </c>
      <c r="Y23" s="88" t="s">
        <v>154</v>
      </c>
      <c r="Z23" s="87"/>
      <c r="AA23" s="87"/>
      <c r="AB23" s="88" t="s">
        <v>297</v>
      </c>
      <c r="AC23" s="88" t="s">
        <v>297</v>
      </c>
      <c r="AD23" s="88" t="s">
        <v>297</v>
      </c>
      <c r="AE23" s="88" t="s">
        <v>297</v>
      </c>
      <c r="AF23" s="88" t="s">
        <v>297</v>
      </c>
      <c r="AG23" s="87"/>
      <c r="AH23" s="90"/>
    </row>
    <row r="24" spans="1:34" ht="18.75" customHeight="1">
      <c r="A24" s="417"/>
      <c r="B24" s="101" t="s">
        <v>150</v>
      </c>
      <c r="C24" s="65"/>
      <c r="D24" s="84" t="s">
        <v>151</v>
      </c>
      <c r="E24" s="85" t="s">
        <v>152</v>
      </c>
      <c r="F24" s="337">
        <v>1</v>
      </c>
      <c r="G24" s="139"/>
      <c r="H24" s="140"/>
      <c r="I24" s="140"/>
      <c r="J24" s="140"/>
      <c r="K24" s="140"/>
      <c r="L24" s="141"/>
      <c r="M24" s="141"/>
      <c r="N24" s="140"/>
      <c r="O24" s="140"/>
      <c r="P24" s="140"/>
      <c r="Q24" s="140"/>
      <c r="R24" s="140" t="s">
        <v>298</v>
      </c>
      <c r="S24" s="141"/>
      <c r="T24" s="141"/>
      <c r="U24" s="140" t="s">
        <v>299</v>
      </c>
      <c r="V24" s="140" t="s">
        <v>299</v>
      </c>
      <c r="W24" s="140" t="s">
        <v>299</v>
      </c>
      <c r="X24" s="140" t="s">
        <v>299</v>
      </c>
      <c r="Y24" s="140" t="s">
        <v>299</v>
      </c>
      <c r="Z24" s="141"/>
      <c r="AA24" s="141"/>
      <c r="AB24" s="140" t="s">
        <v>300</v>
      </c>
      <c r="AC24" s="140" t="s">
        <v>300</v>
      </c>
      <c r="AD24" s="140" t="s">
        <v>300</v>
      </c>
      <c r="AE24" s="140" t="s">
        <v>300</v>
      </c>
      <c r="AF24" s="140" t="s">
        <v>300</v>
      </c>
      <c r="AG24" s="141"/>
      <c r="AH24" s="142"/>
    </row>
    <row r="25" spans="1:34" ht="18.75" customHeight="1">
      <c r="A25" s="430" t="s">
        <v>156</v>
      </c>
      <c r="B25" s="108" t="s">
        <v>157</v>
      </c>
      <c r="C25" s="109" t="s">
        <v>158</v>
      </c>
      <c r="D25" s="110" t="s">
        <v>159</v>
      </c>
      <c r="E25" s="111" t="s">
        <v>160</v>
      </c>
      <c r="F25" s="338">
        <v>1</v>
      </c>
      <c r="G25" s="57" t="s">
        <v>157</v>
      </c>
      <c r="H25" s="58" t="s">
        <v>157</v>
      </c>
      <c r="I25" s="58" t="s">
        <v>157</v>
      </c>
      <c r="J25" s="58" t="s">
        <v>157</v>
      </c>
      <c r="K25" s="58"/>
      <c r="L25" s="59"/>
      <c r="M25" s="59"/>
      <c r="N25" s="58" t="s">
        <v>157</v>
      </c>
      <c r="O25" s="58" t="s">
        <v>157</v>
      </c>
      <c r="P25" s="58" t="s">
        <v>157</v>
      </c>
      <c r="Q25" s="58" t="s">
        <v>157</v>
      </c>
      <c r="R25" s="339" t="s">
        <v>285</v>
      </c>
      <c r="S25" s="59"/>
      <c r="T25" s="59"/>
      <c r="U25" s="58" t="s">
        <v>157</v>
      </c>
      <c r="V25" s="58" t="s">
        <v>157</v>
      </c>
      <c r="W25" s="58" t="s">
        <v>157</v>
      </c>
      <c r="X25" s="58" t="s">
        <v>157</v>
      </c>
      <c r="Y25" s="58" t="s">
        <v>157</v>
      </c>
      <c r="Z25" s="59"/>
      <c r="AA25" s="59"/>
      <c r="AB25" s="58" t="s">
        <v>157</v>
      </c>
      <c r="AC25" s="58" t="s">
        <v>157</v>
      </c>
      <c r="AD25" s="58" t="s">
        <v>157</v>
      </c>
      <c r="AE25" s="58" t="s">
        <v>157</v>
      </c>
      <c r="AF25" s="58" t="s">
        <v>157</v>
      </c>
      <c r="AG25" s="59"/>
      <c r="AH25" s="63"/>
    </row>
    <row r="26" spans="1:34" ht="18.75" customHeight="1">
      <c r="A26" s="430"/>
      <c r="B26" s="118" t="s">
        <v>161</v>
      </c>
      <c r="C26" s="119" t="s">
        <v>158</v>
      </c>
      <c r="D26" s="120" t="s">
        <v>162</v>
      </c>
      <c r="E26" s="121" t="s">
        <v>163</v>
      </c>
      <c r="F26" s="336">
        <v>1</v>
      </c>
      <c r="G26" s="91" t="s">
        <v>161</v>
      </c>
      <c r="H26" s="88" t="s">
        <v>161</v>
      </c>
      <c r="I26" s="88" t="s">
        <v>161</v>
      </c>
      <c r="J26" s="88" t="s">
        <v>161</v>
      </c>
      <c r="K26" s="61"/>
      <c r="L26" s="70"/>
      <c r="M26" s="70"/>
      <c r="N26" s="88" t="s">
        <v>161</v>
      </c>
      <c r="O26" s="88" t="s">
        <v>161</v>
      </c>
      <c r="P26" s="88" t="s">
        <v>161</v>
      </c>
      <c r="Q26" s="88" t="s">
        <v>161</v>
      </c>
      <c r="R26" s="88" t="s">
        <v>161</v>
      </c>
      <c r="S26" s="94"/>
      <c r="T26" s="94"/>
      <c r="U26" s="303" t="s">
        <v>208</v>
      </c>
      <c r="V26" s="303" t="s">
        <v>25</v>
      </c>
      <c r="W26" s="303" t="s">
        <v>25</v>
      </c>
      <c r="X26" s="303" t="s">
        <v>25</v>
      </c>
      <c r="Y26" s="303" t="s">
        <v>25</v>
      </c>
      <c r="Z26" s="94"/>
      <c r="AA26" s="94"/>
      <c r="AB26" s="88" t="s">
        <v>161</v>
      </c>
      <c r="AC26" s="88" t="s">
        <v>161</v>
      </c>
      <c r="AD26" s="88" t="s">
        <v>161</v>
      </c>
      <c r="AE26" s="88" t="s">
        <v>161</v>
      </c>
      <c r="AF26" s="88" t="s">
        <v>161</v>
      </c>
      <c r="AG26" s="70"/>
      <c r="AH26" s="124"/>
    </row>
    <row r="27" spans="1:34" ht="18.75" customHeight="1">
      <c r="A27" s="430"/>
      <c r="B27" s="118" t="s">
        <v>164</v>
      </c>
      <c r="C27" s="119" t="s">
        <v>158</v>
      </c>
      <c r="D27" s="119" t="s">
        <v>165</v>
      </c>
      <c r="E27" s="125" t="s">
        <v>105</v>
      </c>
      <c r="F27" s="336">
        <v>1</v>
      </c>
      <c r="G27" s="91" t="s">
        <v>271</v>
      </c>
      <c r="H27" s="88" t="s">
        <v>271</v>
      </c>
      <c r="I27" s="88" t="s">
        <v>271</v>
      </c>
      <c r="J27" s="88" t="s">
        <v>271</v>
      </c>
      <c r="K27" s="61"/>
      <c r="L27" s="70"/>
      <c r="M27" s="70"/>
      <c r="N27" s="88" t="s">
        <v>271</v>
      </c>
      <c r="O27" s="88" t="s">
        <v>271</v>
      </c>
      <c r="P27" s="88" t="s">
        <v>271</v>
      </c>
      <c r="Q27" s="88" t="s">
        <v>271</v>
      </c>
      <c r="R27" s="88" t="s">
        <v>271</v>
      </c>
      <c r="S27" s="87"/>
      <c r="T27" s="87"/>
      <c r="U27" s="88" t="s">
        <v>161</v>
      </c>
      <c r="V27" s="88" t="s">
        <v>161</v>
      </c>
      <c r="W27" s="88" t="s">
        <v>161</v>
      </c>
      <c r="X27" s="88" t="s">
        <v>161</v>
      </c>
      <c r="Y27" s="88" t="s">
        <v>161</v>
      </c>
      <c r="Z27" s="70"/>
      <c r="AA27" s="87"/>
      <c r="AB27" s="88" t="s">
        <v>169</v>
      </c>
      <c r="AC27" s="88" t="s">
        <v>169</v>
      </c>
      <c r="AD27" s="88" t="s">
        <v>169</v>
      </c>
      <c r="AE27" s="88" t="s">
        <v>169</v>
      </c>
      <c r="AF27" s="88" t="s">
        <v>169</v>
      </c>
      <c r="AG27" s="70"/>
      <c r="AH27" s="90"/>
    </row>
    <row r="28" spans="1:34" ht="18.75" customHeight="1">
      <c r="A28" s="430"/>
      <c r="B28" s="127" t="s">
        <v>170</v>
      </c>
      <c r="C28" s="128" t="s">
        <v>158</v>
      </c>
      <c r="D28" s="128" t="s">
        <v>171</v>
      </c>
      <c r="E28" s="129" t="s">
        <v>172</v>
      </c>
      <c r="F28" s="337">
        <v>1</v>
      </c>
      <c r="G28" s="139" t="s">
        <v>154</v>
      </c>
      <c r="H28" s="140" t="s">
        <v>154</v>
      </c>
      <c r="I28" s="140" t="s">
        <v>154</v>
      </c>
      <c r="J28" s="140" t="s">
        <v>154</v>
      </c>
      <c r="K28" s="140"/>
      <c r="L28" s="141"/>
      <c r="M28" s="141"/>
      <c r="N28" s="140"/>
      <c r="O28" s="140"/>
      <c r="P28" s="140"/>
      <c r="Q28" s="140"/>
      <c r="R28" s="140" t="s">
        <v>157</v>
      </c>
      <c r="S28" s="141"/>
      <c r="T28" s="141"/>
      <c r="U28" s="140" t="s">
        <v>271</v>
      </c>
      <c r="V28" s="140" t="s">
        <v>271</v>
      </c>
      <c r="W28" s="140" t="s">
        <v>271</v>
      </c>
      <c r="X28" s="140" t="s">
        <v>271</v>
      </c>
      <c r="Y28" s="140" t="s">
        <v>271</v>
      </c>
      <c r="Z28" s="141"/>
      <c r="AA28" s="141"/>
      <c r="AB28" s="340" t="s">
        <v>25</v>
      </c>
      <c r="AC28" s="340" t="s">
        <v>25</v>
      </c>
      <c r="AD28" s="340" t="s">
        <v>25</v>
      </c>
      <c r="AE28" s="340" t="s">
        <v>25</v>
      </c>
      <c r="AF28" s="340" t="s">
        <v>25</v>
      </c>
      <c r="AG28" s="141"/>
      <c r="AH28" s="142"/>
    </row>
    <row r="29" spans="1:34" ht="18.75" customHeight="1">
      <c r="A29" s="431" t="s">
        <v>174</v>
      </c>
      <c r="B29" s="431"/>
      <c r="C29" s="431"/>
      <c r="D29" s="431"/>
      <c r="E29" s="431"/>
      <c r="F29" s="199">
        <v>1</v>
      </c>
      <c r="G29" s="341"/>
      <c r="H29" s="92"/>
      <c r="I29" s="92"/>
      <c r="J29" s="92"/>
      <c r="K29" s="92"/>
      <c r="L29" s="59"/>
      <c r="M29" s="59"/>
      <c r="N29" s="92"/>
      <c r="O29" s="92"/>
      <c r="P29" s="92"/>
      <c r="Q29" s="92"/>
      <c r="R29" s="92" t="s">
        <v>301</v>
      </c>
      <c r="S29" s="59"/>
      <c r="T29" s="59"/>
      <c r="U29" s="92"/>
      <c r="V29" s="92"/>
      <c r="W29" s="92"/>
      <c r="X29" s="92"/>
      <c r="Y29" s="92"/>
      <c r="Z29" s="59"/>
      <c r="AA29" s="59"/>
      <c r="AB29" s="92"/>
      <c r="AC29" s="92"/>
      <c r="AD29" s="92"/>
      <c r="AE29" s="92"/>
      <c r="AF29" s="92"/>
      <c r="AG29" s="59"/>
      <c r="AH29" s="63"/>
    </row>
    <row r="30" spans="1:34" ht="18.75" customHeight="1">
      <c r="A30" s="431"/>
      <c r="B30" s="431"/>
      <c r="C30" s="431"/>
      <c r="D30" s="431"/>
      <c r="E30" s="431"/>
      <c r="F30" s="337">
        <v>1</v>
      </c>
      <c r="G30" s="91"/>
      <c r="H30" s="88"/>
      <c r="I30" s="88"/>
      <c r="J30" s="88"/>
      <c r="K30" s="88"/>
      <c r="L30" s="70"/>
      <c r="M30" s="70"/>
      <c r="N30" s="88"/>
      <c r="O30" s="88"/>
      <c r="P30" s="88"/>
      <c r="Q30" s="88"/>
      <c r="R30" s="88"/>
      <c r="S30" s="70"/>
      <c r="T30" s="70"/>
      <c r="U30" s="88"/>
      <c r="V30" s="88"/>
      <c r="W30" s="88"/>
      <c r="X30" s="88"/>
      <c r="Y30" s="88"/>
      <c r="Z30" s="70"/>
      <c r="AA30" s="70"/>
      <c r="AB30" s="88"/>
      <c r="AC30" s="88"/>
      <c r="AD30" s="88"/>
      <c r="AE30" s="88"/>
      <c r="AF30" s="88" t="s">
        <v>302</v>
      </c>
      <c r="AG30" s="70"/>
      <c r="AH30" s="72"/>
    </row>
    <row r="31" spans="1:34" ht="18.75" customHeight="1">
      <c r="A31" s="431"/>
      <c r="B31" s="431"/>
      <c r="C31" s="431"/>
      <c r="D31" s="431"/>
      <c r="E31" s="431"/>
      <c r="F31" s="342">
        <v>1</v>
      </c>
      <c r="G31" s="139"/>
      <c r="H31" s="140"/>
      <c r="I31" s="140"/>
      <c r="J31" s="140"/>
      <c r="K31" s="140"/>
      <c r="L31" s="141"/>
      <c r="M31" s="141"/>
      <c r="N31" s="140"/>
      <c r="O31" s="140"/>
      <c r="P31" s="140"/>
      <c r="Q31" s="140"/>
      <c r="R31" s="140"/>
      <c r="S31" s="141"/>
      <c r="T31" s="141"/>
      <c r="U31" s="140"/>
      <c r="V31" s="140"/>
      <c r="W31" s="140"/>
      <c r="X31" s="140"/>
      <c r="Y31" s="140"/>
      <c r="Z31" s="141"/>
      <c r="AA31" s="141"/>
      <c r="AB31" s="140"/>
      <c r="AC31" s="140"/>
      <c r="AD31" s="140"/>
      <c r="AE31" s="140"/>
      <c r="AF31" s="140"/>
      <c r="AG31" s="141"/>
      <c r="AH31" s="142"/>
    </row>
    <row r="32" spans="1:34" ht="24" customHeight="1">
      <c r="F32" s="21"/>
      <c r="G32" s="144">
        <f>COUNTA(G29:G31)</f>
        <v>0</v>
      </c>
      <c r="H32" s="144">
        <f>COUNTA(H29:H31)</f>
        <v>0</v>
      </c>
      <c r="I32" s="144">
        <f>COUNTA(I29:I31)</f>
        <v>0</v>
      </c>
      <c r="J32" s="144">
        <f>COUNTA(J29:J31)</f>
        <v>0</v>
      </c>
      <c r="K32" s="144">
        <f>COUNTA(K29:K31)</f>
        <v>0</v>
      </c>
      <c r="L32" s="145"/>
      <c r="M32" s="145"/>
      <c r="N32" s="144">
        <f>COUNTA(N29:N31)</f>
        <v>0</v>
      </c>
      <c r="O32" s="144">
        <f>COUNTA(O29:O31)</f>
        <v>0</v>
      </c>
      <c r="P32" s="144">
        <f>COUNTA(P29:P31)</f>
        <v>0</v>
      </c>
      <c r="Q32" s="144">
        <f>COUNTA(Q29:Q31)</f>
        <v>0</v>
      </c>
      <c r="R32" s="144">
        <f>COUNTA(R29:R31)</f>
        <v>1</v>
      </c>
      <c r="S32" s="146"/>
      <c r="T32" s="146"/>
      <c r="U32" s="144">
        <f>COUNTA(U29:U31)</f>
        <v>0</v>
      </c>
      <c r="V32" s="144">
        <f>COUNTA(V29:V31)</f>
        <v>0</v>
      </c>
      <c r="W32" s="144">
        <f>COUNTA(W29:W31)</f>
        <v>0</v>
      </c>
      <c r="X32" s="144">
        <f>COUNTA(X29:X31)</f>
        <v>0</v>
      </c>
      <c r="Y32" s="144">
        <f>COUNTA(Y29:Y31)</f>
        <v>0</v>
      </c>
      <c r="Z32" s="146"/>
      <c r="AA32" s="146"/>
      <c r="AB32" s="144">
        <f>COUNTA(AB29:AB31)</f>
        <v>0</v>
      </c>
      <c r="AC32" s="144">
        <f>COUNTA(AC29:AC31)</f>
        <v>0</v>
      </c>
      <c r="AD32" s="144">
        <f>COUNTA(AD29:AD31)</f>
        <v>0</v>
      </c>
      <c r="AE32" s="144">
        <f>COUNTA(AE29:AE31)</f>
        <v>0</v>
      </c>
      <c r="AF32" s="144">
        <f>COUNTA(AF29:AF31)</f>
        <v>1</v>
      </c>
      <c r="AG32" s="146"/>
      <c r="AH32" s="147"/>
    </row>
    <row r="33" spans="4:34" ht="24" customHeight="1">
      <c r="D33" s="86" t="s">
        <v>176</v>
      </c>
      <c r="E33" s="86">
        <f t="shared" ref="E33:E38" si="0">SUM(L33,S33,Z33,AG33,AN33)</f>
        <v>20</v>
      </c>
      <c r="F33" s="86" t="s">
        <v>23</v>
      </c>
      <c r="G33" s="148">
        <f>COUNTIF(G8:G31,"TP")</f>
        <v>0</v>
      </c>
      <c r="H33" s="148">
        <f>COUNTIF(H8:H31,"TP")</f>
        <v>0</v>
      </c>
      <c r="I33" s="148">
        <f>COUNTIF(I8:I31,"TP")</f>
        <v>0</v>
      </c>
      <c r="J33" s="148">
        <f>COUNTIF(J8:J31,"TP")</f>
        <v>0</v>
      </c>
      <c r="K33" s="148">
        <f>COUNTIF(K8:K31,"TP")</f>
        <v>0</v>
      </c>
      <c r="L33" s="149">
        <f t="shared" ref="L33:L38" si="1">SUM(G33:K33)</f>
        <v>0</v>
      </c>
      <c r="M33" s="149"/>
      <c r="N33" s="148">
        <f>COUNTIF(N8:N31,"TP")</f>
        <v>1</v>
      </c>
      <c r="O33" s="148">
        <f>COUNTIF(O8:O31,"TP")</f>
        <v>1</v>
      </c>
      <c r="P33" s="148">
        <f>COUNTIF(P8:P31,"TP")</f>
        <v>1</v>
      </c>
      <c r="Q33" s="148">
        <f>COUNTIF(Q8:Q31,"TP")</f>
        <v>1</v>
      </c>
      <c r="R33" s="148">
        <f>COUNTIF(R8:R31,"TP")</f>
        <v>1</v>
      </c>
      <c r="S33" s="150">
        <f t="shared" ref="S33:S38" si="2">SUM(N33:R33)</f>
        <v>5</v>
      </c>
      <c r="T33" s="150"/>
      <c r="U33" s="148">
        <f>COUNTIF(U8:U31,"TP")</f>
        <v>2</v>
      </c>
      <c r="V33" s="148">
        <f>COUNTIF(V8:V31,"TP")</f>
        <v>2</v>
      </c>
      <c r="W33" s="148">
        <f>COUNTIF(W8:W31,"TP")</f>
        <v>2</v>
      </c>
      <c r="X33" s="148">
        <f>COUNTIF(X8:X31,"TP")</f>
        <v>2</v>
      </c>
      <c r="Y33" s="148">
        <f>COUNTIF(Y8:Y31,"TP")</f>
        <v>2</v>
      </c>
      <c r="Z33" s="150">
        <f t="shared" ref="Z33:Z38" si="3">SUM(U33:Y33)</f>
        <v>10</v>
      </c>
      <c r="AA33" s="150"/>
      <c r="AB33" s="148">
        <f>COUNTIF(AB8:AB31,"TP")</f>
        <v>1</v>
      </c>
      <c r="AC33" s="148">
        <f>COUNTIF(AC8:AC31,"TP")</f>
        <v>1</v>
      </c>
      <c r="AD33" s="148">
        <f>COUNTIF(AD8:AD31,"TP")</f>
        <v>1</v>
      </c>
      <c r="AE33" s="148">
        <f>COUNTIF(AE8:AE31,"TP")</f>
        <v>1</v>
      </c>
      <c r="AF33" s="148">
        <f>COUNTIF(AF8:AF31,"TP")</f>
        <v>1</v>
      </c>
      <c r="AG33" s="150">
        <f t="shared" ref="AG33:AG38" si="4">SUM(AB33:AF33)</f>
        <v>5</v>
      </c>
      <c r="AH33" s="151"/>
    </row>
    <row r="34" spans="4:34" ht="24" customHeight="1">
      <c r="D34" s="152" t="s">
        <v>176</v>
      </c>
      <c r="E34" s="152">
        <f t="shared" si="0"/>
        <v>1</v>
      </c>
      <c r="F34" s="152" t="s">
        <v>24</v>
      </c>
      <c r="G34" s="148">
        <f>COUNTIF(G8:G31,"CSE") + COUNTIF(G8:G31,"RPX")</f>
        <v>0</v>
      </c>
      <c r="H34" s="148">
        <f>COUNTIF(H8:H31,"CSE") + COUNTIF(H8:H31,"RPX")</f>
        <v>0</v>
      </c>
      <c r="I34" s="148">
        <f>COUNTIF(I8:I31,"CSE") + COUNTIF(I8:I31,"RPX")</f>
        <v>1</v>
      </c>
      <c r="J34" s="148">
        <f>COUNTIF(J8:J31,"CSE") + COUNTIF(J8:J31,"RPX")</f>
        <v>0</v>
      </c>
      <c r="K34" s="148">
        <f>COUNTIF(K8:K31,"CSE") + COUNTIF(K8:K31,"RPX")</f>
        <v>0</v>
      </c>
      <c r="L34" s="149">
        <f t="shared" si="1"/>
        <v>1</v>
      </c>
      <c r="M34" s="149"/>
      <c r="N34" s="148">
        <f>COUNTIF(N8:N31,"CSE") + COUNTIF(N8:N31,"RPX")</f>
        <v>0</v>
      </c>
      <c r="O34" s="148">
        <f>COUNTIF(O8:O31,"CSE") + COUNTIF(O8:O31,"RPX")</f>
        <v>0</v>
      </c>
      <c r="P34" s="148">
        <f>COUNTIF(P8:P31,"CSE") + COUNTIF(P8:P31,"RPX")</f>
        <v>0</v>
      </c>
      <c r="Q34" s="148">
        <f>COUNTIF(Q8:Q31,"CSE") + COUNTIF(Q8:Q31,"RPX")</f>
        <v>0</v>
      </c>
      <c r="R34" s="148">
        <f>COUNTIF(R8:R31,"CSE") + COUNTIF(R8:R31,"RPX")</f>
        <v>0</v>
      </c>
      <c r="S34" s="150">
        <f t="shared" si="2"/>
        <v>0</v>
      </c>
      <c r="T34" s="150"/>
      <c r="U34" s="148">
        <f>COUNTIF(U9:U31,"CSE") + COUNTIF(U9:U31,"RPX")</f>
        <v>0</v>
      </c>
      <c r="V34" s="148">
        <f>COUNTIF(V9:V31,"CSE") + COUNTIF(V9:V31,"RPX")</f>
        <v>0</v>
      </c>
      <c r="W34" s="148">
        <f>COUNTIF(W9:W31,"CSE") + COUNTIF(W9:W31,"RPX")</f>
        <v>0</v>
      </c>
      <c r="X34" s="148">
        <f>COUNTIF(X9:X31,"CSE") + COUNTIF(X9:X31,"RPX")</f>
        <v>0</v>
      </c>
      <c r="Y34" s="148">
        <f>COUNTIF(Y9:Y31,"CSE") + COUNTIF(Y9:Y31,"RPX")</f>
        <v>0</v>
      </c>
      <c r="Z34" s="150">
        <f t="shared" si="3"/>
        <v>0</v>
      </c>
      <c r="AA34" s="150"/>
      <c r="AB34" s="148">
        <f>COUNTIF(AB8:AB31,"CSE") + COUNTIF(AB8:AB31,"RPX")</f>
        <v>0</v>
      </c>
      <c r="AC34" s="148">
        <f>COUNTIF(AC8:AC31,"CSE") + COUNTIF(AC8:AC31,"RPX")</f>
        <v>0</v>
      </c>
      <c r="AD34" s="148">
        <f>COUNTIF(AD8:AD31,"CSE") + COUNTIF(AD8:AD31,"RPX")</f>
        <v>0</v>
      </c>
      <c r="AE34" s="148">
        <f>COUNTIF(AE8:AE31,"CSE") + COUNTIF(AE8:AE31,"RPX")</f>
        <v>0</v>
      </c>
      <c r="AF34" s="148">
        <f>COUNTIF(AF8:AF31,"CSE") + COUNTIF(AF8:AF31,"RPX")</f>
        <v>0</v>
      </c>
      <c r="AG34" s="150">
        <f t="shared" si="4"/>
        <v>0</v>
      </c>
      <c r="AH34" s="151"/>
    </row>
    <row r="35" spans="4:34" ht="24" customHeight="1">
      <c r="D35" s="153" t="s">
        <v>176</v>
      </c>
      <c r="E35" s="153">
        <f t="shared" si="0"/>
        <v>30</v>
      </c>
      <c r="F35" s="153" t="s">
        <v>25</v>
      </c>
      <c r="G35" s="148">
        <f>COUNTIF(G8:G31,"CA/RC")</f>
        <v>2</v>
      </c>
      <c r="H35" s="148">
        <f>COUNTIF(H8:H31,"CA/RC")</f>
        <v>1</v>
      </c>
      <c r="I35" s="148">
        <f>COUNTIF(I8:I31,"CA/RC")</f>
        <v>1</v>
      </c>
      <c r="J35" s="148">
        <f>COUNTIF(J8:J31,"CA/RC")</f>
        <v>1</v>
      </c>
      <c r="K35" s="148">
        <f>COUNTIF(K8:K31,"CA/RC")</f>
        <v>1</v>
      </c>
      <c r="L35" s="149">
        <f t="shared" si="1"/>
        <v>6</v>
      </c>
      <c r="M35" s="149"/>
      <c r="N35" s="148">
        <f>COUNTIF(N8:N31,"CA/RC")</f>
        <v>0</v>
      </c>
      <c r="O35" s="148">
        <f>COUNTIF(O8:O31,"CA/RC")</f>
        <v>0</v>
      </c>
      <c r="P35" s="148">
        <f>COUNTIF(P8:P31,"CA/RC")</f>
        <v>0</v>
      </c>
      <c r="Q35" s="148">
        <f>COUNTIF(Q8:Q31,"CA/RC")</f>
        <v>0</v>
      </c>
      <c r="R35" s="148">
        <f>COUNTIF(R8:R31,"CA/RC")</f>
        <v>0</v>
      </c>
      <c r="S35" s="150">
        <f t="shared" si="2"/>
        <v>0</v>
      </c>
      <c r="T35" s="150"/>
      <c r="U35" s="148">
        <f>COUNTIF(U8:U31,"CA/RC")</f>
        <v>1</v>
      </c>
      <c r="V35" s="148">
        <f>COUNTIF(V8:V31,"CA/RC")</f>
        <v>2</v>
      </c>
      <c r="W35" s="148">
        <f>COUNTIF(W8:W31,"CA/RC")</f>
        <v>2</v>
      </c>
      <c r="X35" s="148">
        <f>COUNTIF(X8:X31,"CA/RC")</f>
        <v>2</v>
      </c>
      <c r="Y35" s="148">
        <f>COUNTIF(Y8:Y31,"CA/RC")</f>
        <v>2</v>
      </c>
      <c r="Z35" s="150">
        <f t="shared" si="3"/>
        <v>9</v>
      </c>
      <c r="AA35" s="150"/>
      <c r="AB35" s="148">
        <f>COUNTIF(AB8:AB31,"CA/RC")</f>
        <v>3</v>
      </c>
      <c r="AC35" s="148">
        <f>COUNTIF(AC8:AC31,"CA/RC")</f>
        <v>3</v>
      </c>
      <c r="AD35" s="148">
        <f>COUNTIF(AD8:AD31,"CA/RC")</f>
        <v>3</v>
      </c>
      <c r="AE35" s="148">
        <f>COUNTIF(AE8:AE31,"CA/RC")</f>
        <v>3</v>
      </c>
      <c r="AF35" s="148">
        <f>COUNTIF(AF8:AF31,"CA/RC")</f>
        <v>3</v>
      </c>
      <c r="AG35" s="150">
        <f t="shared" si="4"/>
        <v>15</v>
      </c>
      <c r="AH35" s="151"/>
    </row>
    <row r="36" spans="4:34" ht="24" customHeight="1">
      <c r="D36" s="154" t="s">
        <v>176</v>
      </c>
      <c r="E36" s="154">
        <f t="shared" si="0"/>
        <v>0</v>
      </c>
      <c r="F36" s="154" t="s">
        <v>26</v>
      </c>
      <c r="G36" s="148">
        <f>COUNTIF(G8:G31,"ATM/ATA")</f>
        <v>0</v>
      </c>
      <c r="H36" s="148">
        <f>COUNTIF(H8:H31,"ATM/ATA")</f>
        <v>0</v>
      </c>
      <c r="I36" s="148">
        <f>COUNTIF(I8:I31,"ATM/ATA")</f>
        <v>0</v>
      </c>
      <c r="J36" s="148">
        <f>COUNTIF(J8:J31,"ATM/ATA")</f>
        <v>0</v>
      </c>
      <c r="K36" s="148">
        <f>COUNTIF(K8:K31,"ATM/ATA")</f>
        <v>0</v>
      </c>
      <c r="L36" s="149">
        <f t="shared" si="1"/>
        <v>0</v>
      </c>
      <c r="M36" s="149"/>
      <c r="N36" s="148">
        <f>COUNTIF(N8:N31,"ATM/ATA")</f>
        <v>0</v>
      </c>
      <c r="O36" s="148">
        <f>COUNTIF(O8:O31,"ATM/ATA")</f>
        <v>0</v>
      </c>
      <c r="P36" s="148">
        <f>COUNTIF(P8:P31,"ATM/ATA")</f>
        <v>0</v>
      </c>
      <c r="Q36" s="148">
        <f>COUNTIF(Q8:Q31,"ATM/ATA")</f>
        <v>0</v>
      </c>
      <c r="R36" s="148">
        <f>COUNTIF(R8:R31,"ATM/ATA")</f>
        <v>0</v>
      </c>
      <c r="S36" s="150">
        <f t="shared" si="2"/>
        <v>0</v>
      </c>
      <c r="T36" s="150"/>
      <c r="U36" s="148">
        <f>COUNTIF(U8:U31,"ATM/ATA")</f>
        <v>0</v>
      </c>
      <c r="V36" s="148">
        <f>COUNTIF(V8:V31,"ATM/ATA")</f>
        <v>0</v>
      </c>
      <c r="W36" s="148">
        <f>COUNTIF(W8:W31,"ATM/ATA")</f>
        <v>0</v>
      </c>
      <c r="X36" s="148">
        <f>COUNTIF(X8:X31,"ATM/ATA")</f>
        <v>0</v>
      </c>
      <c r="Y36" s="148">
        <f>COUNTIF(Y8:Y31,"ATM/ATA")</f>
        <v>0</v>
      </c>
      <c r="Z36" s="150">
        <f t="shared" si="3"/>
        <v>0</v>
      </c>
      <c r="AA36" s="150"/>
      <c r="AB36" s="148">
        <f>COUNTIF(AB8:AB31,"ATM/ATA")</f>
        <v>0</v>
      </c>
      <c r="AC36" s="148">
        <f>COUNTIF(AC8:AC31,"ATM/ATA")</f>
        <v>0</v>
      </c>
      <c r="AD36" s="148">
        <f>COUNTIF(AD8:AD31,"ATM/ATA")</f>
        <v>0</v>
      </c>
      <c r="AE36" s="148">
        <f>COUNTIF(AE8:AE31,"ATM/ATA")</f>
        <v>0</v>
      </c>
      <c r="AF36" s="148">
        <f>COUNTIF(AF8:AF31,"ATM/ATA")</f>
        <v>0</v>
      </c>
      <c r="AG36" s="150">
        <f t="shared" si="4"/>
        <v>0</v>
      </c>
      <c r="AH36" s="151"/>
    </row>
    <row r="37" spans="4:34" ht="24" customHeight="1">
      <c r="D37" s="122" t="s">
        <v>176</v>
      </c>
      <c r="E37" s="122">
        <f t="shared" si="0"/>
        <v>0</v>
      </c>
      <c r="F37" s="122" t="s">
        <v>27</v>
      </c>
      <c r="G37" s="148">
        <f>COUNTIF(G8:G31,"ASA")</f>
        <v>0</v>
      </c>
      <c r="H37" s="148">
        <f>COUNTIF(H8:H31,"ASA")</f>
        <v>0</v>
      </c>
      <c r="I37" s="148">
        <f>COUNTIF(I8:I31,"ASA")</f>
        <v>0</v>
      </c>
      <c r="J37" s="148">
        <f>COUNTIF(J8:J31,"ASA")</f>
        <v>0</v>
      </c>
      <c r="K37" s="148">
        <f>COUNTIF(K8:K31,"ASA")</f>
        <v>0</v>
      </c>
      <c r="L37" s="149">
        <f t="shared" si="1"/>
        <v>0</v>
      </c>
      <c r="M37" s="149"/>
      <c r="N37" s="148">
        <f>COUNTIF(N8:N31,"ASA")</f>
        <v>0</v>
      </c>
      <c r="O37" s="148">
        <f>COUNTIF(O8:O31,"ASA")</f>
        <v>0</v>
      </c>
      <c r="P37" s="148">
        <f>COUNTIF(P8:P31,"ASA")</f>
        <v>0</v>
      </c>
      <c r="Q37" s="148">
        <f>COUNTIF(Q8:Q31,"ASA")</f>
        <v>0</v>
      </c>
      <c r="R37" s="148">
        <f>COUNTIF(R8:R31,"ASA")</f>
        <v>0</v>
      </c>
      <c r="S37" s="150">
        <f t="shared" si="2"/>
        <v>0</v>
      </c>
      <c r="T37" s="150"/>
      <c r="U37" s="148">
        <f>COUNTIF(U8:U31,"ASA")</f>
        <v>0</v>
      </c>
      <c r="V37" s="148">
        <f>COUNTIF(V8:V31,"ASA")</f>
        <v>0</v>
      </c>
      <c r="W37" s="148">
        <f>COUNTIF(W8:W31,"ASA")</f>
        <v>0</v>
      </c>
      <c r="X37" s="148">
        <f>COUNTIF(X8:X31,"ASA")</f>
        <v>0</v>
      </c>
      <c r="Y37" s="148">
        <f>COUNTIF(Y8:Y31,"ASA")</f>
        <v>0</v>
      </c>
      <c r="Z37" s="150">
        <f t="shared" si="3"/>
        <v>0</v>
      </c>
      <c r="AA37" s="150"/>
      <c r="AB37" s="148">
        <f>COUNTIF(AB8:AB31,"ASA")</f>
        <v>0</v>
      </c>
      <c r="AC37" s="148">
        <f>COUNTIF(AC8:AC31,"ASA")</f>
        <v>0</v>
      </c>
      <c r="AD37" s="148">
        <f>COUNTIF(AD8:AD31,"ASA")</f>
        <v>0</v>
      </c>
      <c r="AE37" s="148">
        <f>COUNTIF(AE8:AE31,"ASA")</f>
        <v>0</v>
      </c>
      <c r="AF37" s="148">
        <f>COUNTIF(AF8:AF31,"ASA")</f>
        <v>0</v>
      </c>
      <c r="AG37" s="150">
        <f t="shared" si="4"/>
        <v>0</v>
      </c>
      <c r="AH37" s="151"/>
    </row>
    <row r="38" spans="4:34" ht="24" customHeight="1">
      <c r="D38" s="155" t="s">
        <v>176</v>
      </c>
      <c r="E38" s="155">
        <f t="shared" si="0"/>
        <v>0</v>
      </c>
      <c r="F38" s="155" t="s">
        <v>28</v>
      </c>
      <c r="G38" s="148">
        <f>COUNTIF(G8:G31,"FORM")</f>
        <v>0</v>
      </c>
      <c r="H38" s="148">
        <f>COUNTIF(H8:H31,"FORM")</f>
        <v>0</v>
      </c>
      <c r="I38" s="148">
        <f>COUNTIF(I8:I31,"FORM")</f>
        <v>0</v>
      </c>
      <c r="J38" s="148">
        <f>COUNTIF(J8:J31,"FORM")</f>
        <v>0</v>
      </c>
      <c r="K38" s="148">
        <f>COUNTIF(K8:K31,"FORM")</f>
        <v>0</v>
      </c>
      <c r="L38" s="149">
        <f t="shared" si="1"/>
        <v>0</v>
      </c>
      <c r="M38" s="149"/>
      <c r="N38" s="148">
        <f>COUNTIF(N8:N31,"FORM")</f>
        <v>0</v>
      </c>
      <c r="O38" s="148">
        <f>COUNTIF(O8:O31,"FORM")</f>
        <v>0</v>
      </c>
      <c r="P38" s="148">
        <f>COUNTIF(P8:P31,"FORM")</f>
        <v>0</v>
      </c>
      <c r="Q38" s="148">
        <f>COUNTIF(Q8:Q31,"FORM")</f>
        <v>0</v>
      </c>
      <c r="R38" s="148">
        <f>COUNTIF(R8:R31,"FORM")</f>
        <v>0</v>
      </c>
      <c r="S38" s="150">
        <f t="shared" si="2"/>
        <v>0</v>
      </c>
      <c r="T38" s="150"/>
      <c r="U38" s="148">
        <f>COUNTIF(U8:U31,"FORM")</f>
        <v>0</v>
      </c>
      <c r="V38" s="148">
        <f>COUNTIF(V8:V31,"FORM")</f>
        <v>0</v>
      </c>
      <c r="W38" s="148">
        <f>COUNTIF(W8:W31,"FORM")</f>
        <v>0</v>
      </c>
      <c r="X38" s="148">
        <f>COUNTIF(X8:X31,"FORM")</f>
        <v>0</v>
      </c>
      <c r="Y38" s="148">
        <f>COUNTIF(Y8:Y31,"FORM")</f>
        <v>0</v>
      </c>
      <c r="Z38" s="150">
        <f t="shared" si="3"/>
        <v>0</v>
      </c>
      <c r="AA38" s="150"/>
      <c r="AB38" s="148">
        <f>COUNTIF(AB8:AB31,"FORM")</f>
        <v>0</v>
      </c>
      <c r="AC38" s="148">
        <f>COUNTIF(AC8:AC31,"FORM")</f>
        <v>0</v>
      </c>
      <c r="AD38" s="148">
        <f>COUNTIF(AD8:AD31,"FORM")</f>
        <v>0</v>
      </c>
      <c r="AE38" s="148">
        <f>COUNTIF(AE8:AE31,"FORM")</f>
        <v>0</v>
      </c>
      <c r="AF38" s="148">
        <f>COUNTIF(AF8:AF31,"FORM")</f>
        <v>0</v>
      </c>
      <c r="AG38" s="150">
        <f t="shared" si="4"/>
        <v>0</v>
      </c>
      <c r="AH38" s="151"/>
    </row>
    <row r="39" spans="4:34" ht="24" customHeight="1">
      <c r="D39" s="156" t="s">
        <v>177</v>
      </c>
      <c r="E39" s="156">
        <f>AVERAGE(G39:AM39)</f>
        <v>2.5499999999999998</v>
      </c>
      <c r="F39" s="215" t="s">
        <v>178</v>
      </c>
      <c r="G39" s="158">
        <f>SUM(G33:G38)</f>
        <v>2</v>
      </c>
      <c r="H39" s="158">
        <f>SUM(H33:H38)</f>
        <v>1</v>
      </c>
      <c r="I39" s="158">
        <f>SUM(I33:I38)</f>
        <v>2</v>
      </c>
      <c r="J39" s="158">
        <f>SUM(J33:J38)</f>
        <v>1</v>
      </c>
      <c r="K39" s="158">
        <f>SUM(K33:K38)</f>
        <v>1</v>
      </c>
      <c r="L39" s="158"/>
      <c r="M39" s="158"/>
      <c r="N39" s="158">
        <f>SUM(N33:N38)</f>
        <v>1</v>
      </c>
      <c r="O39" s="158">
        <f>SUM(O33:O38)</f>
        <v>1</v>
      </c>
      <c r="P39" s="158">
        <f>SUM(P33:P38)</f>
        <v>1</v>
      </c>
      <c r="Q39" s="158">
        <f>SUM(Q33:Q38)</f>
        <v>1</v>
      </c>
      <c r="R39" s="158">
        <f>SUM(R33:R38)</f>
        <v>1</v>
      </c>
      <c r="S39" s="158"/>
      <c r="T39" s="158"/>
      <c r="U39" s="158">
        <f>SUM(U33:U38)</f>
        <v>3</v>
      </c>
      <c r="V39" s="158">
        <f>SUM(V33:V38)</f>
        <v>4</v>
      </c>
      <c r="W39" s="158">
        <f>SUM(W33:W38)</f>
        <v>4</v>
      </c>
      <c r="X39" s="158">
        <f>SUM(X33:X38)</f>
        <v>4</v>
      </c>
      <c r="Y39" s="158">
        <f>SUM(Y33:Y38)</f>
        <v>4</v>
      </c>
      <c r="Z39" s="158"/>
      <c r="AA39" s="158"/>
      <c r="AB39" s="158">
        <f>SUM(AB33:AB38)</f>
        <v>4</v>
      </c>
      <c r="AC39" s="158">
        <f>SUM(AC33:AC38)</f>
        <v>4</v>
      </c>
      <c r="AD39" s="158">
        <f>SUM(AD33:AD38)</f>
        <v>4</v>
      </c>
      <c r="AE39" s="158">
        <f>SUM(AE33:AE38)</f>
        <v>4</v>
      </c>
      <c r="AF39" s="158">
        <f>SUM(AF33:AF38)</f>
        <v>4</v>
      </c>
      <c r="AG39" s="158"/>
      <c r="AH39" s="159"/>
    </row>
    <row r="40" spans="4:34" ht="24" customHeight="1">
      <c r="D40" s="156" t="s">
        <v>177</v>
      </c>
      <c r="E40" s="156">
        <f>AVERAGE(G40:AM40)</f>
        <v>17.55</v>
      </c>
      <c r="F40" s="215" t="s">
        <v>179</v>
      </c>
      <c r="G40" s="158">
        <f>(20+G32)-G39</f>
        <v>18</v>
      </c>
      <c r="H40" s="158">
        <f>(20+H32)-H39</f>
        <v>19</v>
      </c>
      <c r="I40" s="158">
        <f>(20+I32)-I39</f>
        <v>18</v>
      </c>
      <c r="J40" s="158">
        <f>(20+J32)-J39</f>
        <v>19</v>
      </c>
      <c r="K40" s="158">
        <f>(20+K32)-K39</f>
        <v>19</v>
      </c>
      <c r="L40" s="158"/>
      <c r="M40" s="158"/>
      <c r="N40" s="158">
        <f>(20+N32)-N39</f>
        <v>19</v>
      </c>
      <c r="O40" s="158">
        <f>(20+O32)-O39</f>
        <v>19</v>
      </c>
      <c r="P40" s="158">
        <f>(20+P32)-P39</f>
        <v>19</v>
      </c>
      <c r="Q40" s="158">
        <f>(20+Q32)-Q39</f>
        <v>19</v>
      </c>
      <c r="R40" s="158">
        <f>(20+R32)-R39</f>
        <v>20</v>
      </c>
      <c r="S40" s="158"/>
      <c r="T40" s="158"/>
      <c r="U40" s="158">
        <f>(20+U32)-U39</f>
        <v>17</v>
      </c>
      <c r="V40" s="158">
        <f>(20+V32)-V39</f>
        <v>16</v>
      </c>
      <c r="W40" s="158">
        <f>(20+W32)-W39</f>
        <v>16</v>
      </c>
      <c r="X40" s="158">
        <f>(20+X32)-X39</f>
        <v>16</v>
      </c>
      <c r="Y40" s="158">
        <f>(20+Y32)-Y39</f>
        <v>16</v>
      </c>
      <c r="Z40" s="158"/>
      <c r="AA40" s="158"/>
      <c r="AB40" s="158">
        <f>(20+AB32)-AB39</f>
        <v>16</v>
      </c>
      <c r="AC40" s="158">
        <f>(20+AC32)-AC39</f>
        <v>16</v>
      </c>
      <c r="AD40" s="158">
        <f>(20+AD32)-AD39</f>
        <v>16</v>
      </c>
      <c r="AE40" s="158">
        <f>(20+AE32)-AE39</f>
        <v>16</v>
      </c>
      <c r="AF40" s="158">
        <f>(20+AF32)-AF39</f>
        <v>17</v>
      </c>
      <c r="AG40" s="158"/>
      <c r="AH40" s="159"/>
    </row>
    <row r="41" spans="4:34" ht="24" customHeight="1">
      <c r="D41" s="156" t="s">
        <v>177</v>
      </c>
      <c r="E41" s="156">
        <f>AVERAGE(G41:AM41)</f>
        <v>16</v>
      </c>
      <c r="F41" s="216" t="s">
        <v>180</v>
      </c>
      <c r="G41" s="161">
        <v>16</v>
      </c>
      <c r="H41" s="161">
        <v>16</v>
      </c>
      <c r="I41" s="161">
        <v>16</v>
      </c>
      <c r="J41" s="161">
        <v>16</v>
      </c>
      <c r="K41" s="161">
        <v>16</v>
      </c>
      <c r="L41" s="161"/>
      <c r="M41" s="161"/>
      <c r="N41" s="161">
        <v>16</v>
      </c>
      <c r="O41" s="161">
        <v>16</v>
      </c>
      <c r="P41" s="161">
        <v>16</v>
      </c>
      <c r="Q41" s="161">
        <v>16</v>
      </c>
      <c r="R41" s="161">
        <v>16</v>
      </c>
      <c r="S41" s="162"/>
      <c r="T41" s="162"/>
      <c r="U41" s="161">
        <v>16</v>
      </c>
      <c r="V41" s="161">
        <v>16</v>
      </c>
      <c r="W41" s="161">
        <v>16</v>
      </c>
      <c r="X41" s="161">
        <v>16</v>
      </c>
      <c r="Y41" s="161">
        <v>16</v>
      </c>
      <c r="Z41" s="162"/>
      <c r="AA41" s="162"/>
      <c r="AB41" s="161">
        <v>16</v>
      </c>
      <c r="AC41" s="161">
        <v>16</v>
      </c>
      <c r="AD41" s="161">
        <v>16</v>
      </c>
      <c r="AE41" s="161">
        <v>16</v>
      </c>
      <c r="AF41" s="161">
        <v>16</v>
      </c>
      <c r="AG41" s="162"/>
      <c r="AH41" s="163"/>
    </row>
    <row r="42" spans="4:34" ht="24" customHeight="1">
      <c r="D42" s="156" t="s">
        <v>177</v>
      </c>
      <c r="E42" s="156">
        <f>AVERAGE(G42:AM42)</f>
        <v>1.55</v>
      </c>
      <c r="F42" s="217" t="s">
        <v>181</v>
      </c>
      <c r="G42" s="166">
        <f>G40-G41</f>
        <v>2</v>
      </c>
      <c r="H42" s="166">
        <f>H40-H41</f>
        <v>3</v>
      </c>
      <c r="I42" s="166">
        <f>I40-I41</f>
        <v>2</v>
      </c>
      <c r="J42" s="166">
        <f>J40-J41</f>
        <v>3</v>
      </c>
      <c r="K42" s="166">
        <f>K40-K41</f>
        <v>3</v>
      </c>
      <c r="L42" s="166"/>
      <c r="M42" s="166"/>
      <c r="N42" s="166">
        <f>N40-N41</f>
        <v>3</v>
      </c>
      <c r="O42" s="166">
        <f>O40-O41</f>
        <v>3</v>
      </c>
      <c r="P42" s="166">
        <f>P40-P41</f>
        <v>3</v>
      </c>
      <c r="Q42" s="166">
        <f>Q40-Q41</f>
        <v>3</v>
      </c>
      <c r="R42" s="166">
        <f>R40-R41</f>
        <v>4</v>
      </c>
      <c r="S42" s="166"/>
      <c r="T42" s="166"/>
      <c r="U42" s="166">
        <f>U40-U41</f>
        <v>1</v>
      </c>
      <c r="V42" s="166">
        <f>V40-V41</f>
        <v>0</v>
      </c>
      <c r="W42" s="166">
        <f>W40-W41</f>
        <v>0</v>
      </c>
      <c r="X42" s="166">
        <f>X40-X41</f>
        <v>0</v>
      </c>
      <c r="Y42" s="166">
        <f>Y40-Y41</f>
        <v>0</v>
      </c>
      <c r="Z42" s="166"/>
      <c r="AA42" s="166"/>
      <c r="AB42" s="166">
        <f>AB40-AB41</f>
        <v>0</v>
      </c>
      <c r="AC42" s="166">
        <f>AC40-AC41</f>
        <v>0</v>
      </c>
      <c r="AD42" s="166">
        <f>AD40-AD41</f>
        <v>0</v>
      </c>
      <c r="AE42" s="166">
        <f>AE40-AE41</f>
        <v>0</v>
      </c>
      <c r="AF42" s="166">
        <f>AF40-AF41</f>
        <v>1</v>
      </c>
      <c r="AG42" s="166"/>
      <c r="AH42" s="167"/>
    </row>
    <row r="43" spans="4:34" ht="18.75" customHeight="1">
      <c r="F43" s="13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4:34" ht="18.75" customHeight="1">
      <c r="F44" s="13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4:34" ht="18.75" customHeight="1">
      <c r="F45" s="13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4:34" ht="18.75" customHeight="1">
      <c r="F46" s="13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4:34" ht="18.75" customHeight="1">
      <c r="F47" s="13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4:34" ht="18.75" customHeight="1">
      <c r="F48" s="13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6:34" ht="18.75" customHeight="1">
      <c r="F49" s="13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  <row r="50" spans="6:34" ht="18.75" customHeight="1">
      <c r="F50" s="13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</row>
    <row r="51" spans="6:34" ht="18.75" customHeight="1">
      <c r="F51" s="13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</row>
    <row r="52" spans="6:34" ht="18.75" customHeight="1">
      <c r="F52" s="13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</row>
    <row r="53" spans="6:34" ht="18.75" customHeight="1">
      <c r="F53" s="13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</row>
    <row r="54" spans="6:34" ht="18.75" customHeight="1">
      <c r="F54" s="13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</row>
    <row r="55" spans="6:34" ht="18.75" customHeight="1">
      <c r="F55" s="13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</row>
    <row r="56" spans="6:34" ht="18.75" customHeight="1">
      <c r="F56" s="13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</row>
    <row r="57" spans="6:34" ht="18.75" customHeight="1">
      <c r="F57" s="13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</row>
    <row r="58" spans="6:34" ht="18.75" customHeight="1">
      <c r="F58" s="13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</row>
    <row r="59" spans="6:34" ht="18.75" customHeight="1">
      <c r="F59" s="13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</row>
    <row r="60" spans="6:34" ht="18.75" customHeight="1">
      <c r="F60" s="13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</row>
    <row r="61" spans="6:34" ht="18.75" customHeight="1">
      <c r="F61" s="13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</row>
    <row r="62" spans="6:34" ht="18.75" customHeight="1">
      <c r="F62" s="13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</row>
    <row r="63" spans="6:34" ht="18.75" customHeight="1">
      <c r="F63" s="13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</row>
    <row r="64" spans="6:34" ht="18.75" customHeight="1">
      <c r="F64" s="13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</row>
    <row r="65" spans="6:34" ht="18.75" customHeight="1">
      <c r="F65" s="13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</row>
    <row r="66" spans="6:34" ht="18.75" customHeight="1">
      <c r="F66" s="13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</row>
    <row r="67" spans="6:34" ht="18.75" customHeight="1">
      <c r="F67" s="13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</row>
    <row r="68" spans="6:34" ht="18.75" customHeight="1">
      <c r="F68" s="13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</row>
    <row r="69" spans="6:34" ht="18.75" customHeight="1">
      <c r="F69" s="13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</row>
    <row r="70" spans="6:34" ht="18.75" customHeight="1">
      <c r="F70" s="13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</row>
    <row r="71" spans="6:34" ht="18.75" customHeight="1">
      <c r="F71" s="13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</row>
    <row r="72" spans="6:34" ht="18.75" customHeight="1">
      <c r="F72" s="13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</row>
    <row r="73" spans="6:34" ht="18.75" customHeight="1">
      <c r="F73" s="13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</row>
    <row r="74" spans="6:34" ht="18.75" customHeight="1">
      <c r="F74" s="13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</row>
    <row r="75" spans="6:34" ht="18.75" customHeight="1">
      <c r="F75" s="13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</row>
    <row r="76" spans="6:34" ht="18.75" customHeight="1">
      <c r="F76" s="13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</row>
    <row r="77" spans="6:34" ht="18.75" customHeight="1">
      <c r="F77" s="13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</row>
    <row r="78" spans="6:34" ht="18.75" customHeight="1">
      <c r="F78" s="13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</row>
    <row r="79" spans="6:34" ht="18.75" customHeight="1">
      <c r="F79" s="13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</row>
    <row r="80" spans="6:34" ht="18.75" customHeight="1">
      <c r="F80" s="13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</row>
    <row r="81" spans="6:34" ht="18.75" customHeight="1">
      <c r="F81" s="13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</row>
    <row r="82" spans="6:34" ht="18.75" customHeight="1">
      <c r="F82" s="13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</row>
    <row r="83" spans="6:34" ht="18.75" customHeight="1">
      <c r="F83" s="13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</row>
    <row r="84" spans="6:34" ht="18.75" customHeight="1">
      <c r="F84" s="13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</row>
    <row r="85" spans="6:34" ht="18.75" customHeight="1">
      <c r="F85" s="13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</row>
    <row r="86" spans="6:34" ht="18.75" customHeight="1">
      <c r="F86" s="13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</row>
    <row r="87" spans="6:34" ht="18.75" customHeight="1">
      <c r="F87" s="13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</row>
    <row r="88" spans="6:34" ht="18.75" customHeight="1">
      <c r="F88" s="13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</row>
    <row r="89" spans="6:34" ht="18.75" customHeight="1">
      <c r="F89" s="13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</row>
    <row r="90" spans="6:34" ht="18.75" customHeight="1">
      <c r="F90" s="13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</row>
    <row r="91" spans="6:34" ht="18.75" customHeight="1">
      <c r="F91" s="13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</row>
    <row r="92" spans="6:34" ht="18.75" customHeight="1">
      <c r="F92" s="13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</row>
    <row r="93" spans="6:34" ht="18.75" customHeight="1">
      <c r="F93" s="13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</row>
    <row r="94" spans="6:34" ht="18.75" customHeight="1">
      <c r="F94" s="13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</row>
    <row r="95" spans="6:34" ht="18.75" customHeight="1">
      <c r="F95" s="13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</row>
    <row r="96" spans="6:34" ht="18.75" customHeight="1">
      <c r="F96" s="13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</row>
    <row r="97" spans="6:34" ht="18.75" customHeight="1">
      <c r="F97" s="13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</row>
    <row r="98" spans="6:34" ht="18.75" customHeight="1">
      <c r="F98" s="13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</row>
    <row r="99" spans="6:34" ht="18.75" customHeight="1">
      <c r="F99" s="13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</row>
    <row r="100" spans="6:34" ht="18.75" customHeight="1">
      <c r="F100" s="13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</row>
    <row r="101" spans="6:34" ht="18.75" customHeight="1">
      <c r="F101" s="13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</row>
    <row r="102" spans="6:34" ht="18.75" customHeight="1">
      <c r="F102" s="13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</row>
    <row r="103" spans="6:34" ht="18.75" customHeight="1">
      <c r="F103" s="13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</row>
    <row r="104" spans="6:34" ht="18.75" customHeight="1">
      <c r="F104" s="13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</row>
    <row r="105" spans="6:34" ht="18.75" customHeight="1">
      <c r="F105" s="13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</row>
    <row r="106" spans="6:34" ht="18.75" customHeight="1">
      <c r="F106" s="13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</row>
    <row r="107" spans="6:34" ht="18.75" customHeight="1">
      <c r="F107" s="13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</row>
    <row r="108" spans="6:34" ht="18.75" customHeight="1">
      <c r="F108" s="13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</row>
    <row r="109" spans="6:34" ht="18.75" customHeight="1">
      <c r="F109" s="13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</row>
    <row r="110" spans="6:34" ht="18.75" customHeight="1">
      <c r="F110" s="13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</row>
    <row r="111" spans="6:34" ht="18.75" customHeight="1">
      <c r="F111" s="13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</row>
    <row r="112" spans="6:34" ht="18.75" customHeight="1">
      <c r="F112" s="13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</row>
    <row r="113" spans="6:34" ht="18.75" customHeight="1">
      <c r="F113" s="13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</row>
    <row r="114" spans="6:34" ht="18.75" customHeight="1">
      <c r="F114" s="13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</row>
    <row r="115" spans="6:34" ht="18.75" customHeight="1">
      <c r="F115" s="13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</row>
    <row r="116" spans="6:34" ht="18.75" customHeight="1">
      <c r="F116" s="13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</row>
    <row r="117" spans="6:34" ht="18.75" customHeight="1">
      <c r="F117" s="13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</row>
    <row r="118" spans="6:34" ht="18.75" customHeight="1">
      <c r="F118" s="13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</row>
    <row r="119" spans="6:34" ht="18.75" customHeight="1">
      <c r="F119" s="13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</row>
    <row r="120" spans="6:34" ht="18.75" customHeight="1">
      <c r="F120" s="13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</row>
    <row r="121" spans="6:34" ht="18.75" customHeight="1">
      <c r="F121" s="13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</row>
    <row r="122" spans="6:34" ht="18.75" customHeight="1">
      <c r="F122" s="13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</row>
    <row r="123" spans="6:34" ht="18.75" customHeight="1">
      <c r="F123" s="13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</row>
    <row r="124" spans="6:34" ht="18.75" customHeight="1">
      <c r="F124" s="13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</row>
    <row r="125" spans="6:34" ht="18.75" customHeight="1">
      <c r="F125" s="13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</row>
    <row r="126" spans="6:34" ht="18.75" customHeight="1">
      <c r="F126" s="13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</row>
    <row r="127" spans="6:34" ht="18.75" customHeight="1">
      <c r="F127" s="13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</row>
    <row r="128" spans="6:34" ht="18.75" customHeight="1">
      <c r="F128" s="13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</row>
    <row r="129" spans="6:34" ht="18.75" customHeight="1">
      <c r="F129" s="13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</row>
    <row r="130" spans="6:34" ht="18.75" customHeight="1">
      <c r="F130" s="13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</row>
    <row r="131" spans="6:34" ht="18.75" customHeight="1">
      <c r="F131" s="13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</row>
    <row r="132" spans="6:34" ht="18.75" customHeight="1">
      <c r="F132" s="13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</row>
    <row r="133" spans="6:34" ht="18.75" customHeight="1">
      <c r="F133" s="13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</row>
    <row r="134" spans="6:34" ht="18.75" customHeight="1">
      <c r="F134" s="13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</row>
    <row r="135" spans="6:34" ht="18.75" customHeight="1">
      <c r="F135" s="13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</row>
    <row r="136" spans="6:34" ht="18.75" customHeight="1">
      <c r="F136" s="13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</row>
    <row r="137" spans="6:34" ht="18.75" customHeight="1">
      <c r="F137" s="13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</row>
    <row r="138" spans="6:34" ht="18.75" customHeight="1">
      <c r="F138" s="13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</row>
    <row r="139" spans="6:34" ht="18.75" customHeight="1">
      <c r="F139" s="13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</row>
    <row r="140" spans="6:34" ht="18.75" customHeight="1">
      <c r="F140" s="13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</row>
    <row r="141" spans="6:34" ht="18.75" customHeight="1">
      <c r="F141" s="13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</row>
    <row r="142" spans="6:34" ht="18.75" customHeight="1">
      <c r="F142" s="13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</row>
    <row r="143" spans="6:34" ht="18.75" customHeight="1">
      <c r="F143" s="13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</row>
    <row r="144" spans="6:34" ht="18.75" customHeight="1">
      <c r="F144" s="13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</row>
    <row r="145" spans="6:34" ht="18.75" customHeight="1">
      <c r="F145" s="13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</row>
    <row r="146" spans="6:34" ht="18.75" customHeight="1">
      <c r="F146" s="13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</row>
    <row r="147" spans="6:34" ht="18.75" customHeight="1">
      <c r="F147" s="13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</row>
    <row r="148" spans="6:34" ht="18.75" customHeight="1">
      <c r="F148" s="13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</row>
    <row r="149" spans="6:34" ht="18.75" customHeight="1">
      <c r="F149" s="13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</row>
    <row r="150" spans="6:34" ht="18.75" customHeight="1">
      <c r="F150" s="13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</row>
    <row r="151" spans="6:34" ht="18.75" customHeight="1">
      <c r="F151" s="13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</row>
    <row r="152" spans="6:34" ht="18.75" customHeight="1">
      <c r="F152" s="13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</row>
    <row r="153" spans="6:34" ht="18.75" customHeight="1">
      <c r="F153" s="13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</row>
    <row r="154" spans="6:34" ht="18.75" customHeight="1">
      <c r="F154" s="13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</row>
    <row r="155" spans="6:34" ht="18.75" customHeight="1">
      <c r="F155" s="13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</row>
    <row r="156" spans="6:34" ht="18.75" customHeight="1">
      <c r="F156" s="13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</row>
    <row r="157" spans="6:34" ht="18.75" customHeight="1">
      <c r="F157" s="13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</row>
    <row r="158" spans="6:34" ht="18.75" customHeight="1">
      <c r="F158" s="13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</row>
    <row r="159" spans="6:34" ht="18.75" customHeight="1">
      <c r="F159" s="13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</row>
    <row r="160" spans="6:34" ht="18.75" customHeight="1">
      <c r="F160" s="13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</row>
    <row r="161" spans="6:34" ht="18.75" customHeight="1">
      <c r="F161" s="13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</row>
    <row r="162" spans="6:34" ht="18.75" customHeight="1">
      <c r="F162" s="13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</row>
    <row r="163" spans="6:34" ht="18.75" customHeight="1">
      <c r="F163" s="13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</row>
    <row r="164" spans="6:34" ht="18.75" customHeight="1">
      <c r="F164" s="13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</row>
    <row r="165" spans="6:34" ht="18.75" customHeight="1">
      <c r="F165" s="13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</row>
    <row r="166" spans="6:34" ht="18.75" customHeight="1">
      <c r="F166" s="13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</row>
    <row r="167" spans="6:34" ht="18.75" customHeight="1">
      <c r="F167" s="13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</row>
    <row r="168" spans="6:34" ht="18.75" customHeight="1">
      <c r="F168" s="13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</row>
    <row r="169" spans="6:34" ht="18.75" customHeight="1">
      <c r="F169" s="13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</row>
    <row r="170" spans="6:34" ht="18.75" customHeight="1">
      <c r="F170" s="13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</row>
    <row r="171" spans="6:34" ht="18.75" customHeight="1">
      <c r="F171" s="13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</row>
    <row r="172" spans="6:34" ht="18.75" customHeight="1">
      <c r="F172" s="13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</row>
    <row r="173" spans="6:34" ht="18.75" customHeight="1">
      <c r="F173" s="13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</row>
    <row r="174" spans="6:34" ht="18.75" customHeight="1">
      <c r="F174" s="13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</row>
    <row r="175" spans="6:34" ht="18.75" customHeight="1">
      <c r="F175" s="13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</row>
    <row r="176" spans="6:34" ht="18.75" customHeight="1">
      <c r="F176" s="13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</row>
    <row r="177" spans="6:34" ht="18.75" customHeight="1">
      <c r="F177" s="13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</row>
    <row r="178" spans="6:34" ht="18.75" customHeight="1">
      <c r="F178" s="13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</row>
    <row r="179" spans="6:34" ht="18.75" customHeight="1">
      <c r="F179" s="13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</row>
    <row r="180" spans="6:34" ht="18.75" customHeight="1">
      <c r="F180" s="13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</row>
    <row r="181" spans="6:34" ht="18.75" customHeight="1">
      <c r="F181" s="13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</row>
    <row r="182" spans="6:34" ht="18.75" customHeight="1">
      <c r="F182" s="13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</row>
    <row r="183" spans="6:34" ht="18.75" customHeight="1">
      <c r="F183" s="13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</row>
    <row r="184" spans="6:34" ht="18.75" customHeight="1">
      <c r="F184" s="13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</row>
    <row r="185" spans="6:34" ht="18.75" customHeight="1">
      <c r="F185" s="13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</row>
    <row r="186" spans="6:34" ht="18.75" customHeight="1">
      <c r="F186" s="13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</row>
    <row r="187" spans="6:34" ht="18.75" customHeight="1">
      <c r="F187" s="13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</row>
    <row r="188" spans="6:34" ht="18.75" customHeight="1">
      <c r="F188" s="13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</row>
    <row r="189" spans="6:34" ht="18.75" customHeight="1">
      <c r="F189" s="13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</row>
    <row r="190" spans="6:34" ht="18.75" customHeight="1">
      <c r="F190" s="13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</row>
    <row r="191" spans="6:34" ht="18.75" customHeight="1">
      <c r="F191" s="13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</row>
    <row r="192" spans="6:34" ht="18.75" customHeight="1">
      <c r="F192" s="13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</row>
    <row r="193" spans="6:34" ht="18.75" customHeight="1">
      <c r="F193" s="13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</row>
    <row r="194" spans="6:34" ht="18.75" customHeight="1">
      <c r="F194" s="13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</row>
    <row r="195" spans="6:34" ht="18.75" customHeight="1">
      <c r="F195" s="13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</row>
    <row r="196" spans="6:34" ht="18.75" customHeight="1">
      <c r="F196" s="13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</row>
    <row r="197" spans="6:34" ht="18.75" customHeight="1">
      <c r="F197" s="13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</row>
    <row r="198" spans="6:34" ht="18.75" customHeight="1">
      <c r="F198" s="13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</row>
    <row r="199" spans="6:34" ht="18.75" customHeight="1">
      <c r="F199" s="13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</row>
    <row r="200" spans="6:34" ht="18.75" customHeight="1">
      <c r="F200" s="13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</row>
    <row r="201" spans="6:34" ht="18.75" customHeight="1">
      <c r="F201" s="13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</row>
    <row r="202" spans="6:34" ht="18.75" customHeight="1">
      <c r="F202" s="13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</row>
    <row r="203" spans="6:34" ht="18.75" customHeight="1">
      <c r="F203" s="13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</row>
    <row r="204" spans="6:34" ht="18.75" customHeight="1">
      <c r="F204" s="13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</row>
    <row r="205" spans="6:34" ht="18.75" customHeight="1">
      <c r="F205" s="13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</row>
    <row r="206" spans="6:34" ht="18.75" customHeight="1">
      <c r="F206" s="13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</row>
    <row r="207" spans="6:34" ht="18.75" customHeight="1">
      <c r="F207" s="13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</row>
    <row r="208" spans="6:34" ht="18.75" customHeight="1">
      <c r="F208" s="13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</row>
    <row r="209" spans="6:34" ht="18.75" customHeight="1">
      <c r="F209" s="13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</row>
    <row r="210" spans="6:34" ht="18.75" customHeight="1">
      <c r="F210" s="13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</row>
    <row r="211" spans="6:34" ht="18.75" customHeight="1">
      <c r="F211" s="13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</row>
    <row r="212" spans="6:34" ht="18.75" customHeight="1">
      <c r="F212" s="13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</row>
    <row r="213" spans="6:34" ht="18.75" customHeight="1">
      <c r="F213" s="13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</row>
    <row r="214" spans="6:34" ht="18.75" customHeight="1">
      <c r="F214" s="13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</row>
    <row r="215" spans="6:34" ht="18.75" customHeight="1">
      <c r="F215" s="13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</row>
    <row r="216" spans="6:34" ht="18.75" customHeight="1">
      <c r="F216" s="13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</row>
    <row r="217" spans="6:34" ht="18.75" customHeight="1">
      <c r="F217" s="13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</row>
    <row r="218" spans="6:34" ht="18.75" customHeight="1">
      <c r="F218" s="13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</row>
    <row r="219" spans="6:34" ht="18.75" customHeight="1">
      <c r="F219" s="13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</row>
    <row r="220" spans="6:34" ht="18.75" customHeight="1">
      <c r="F220" s="13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</row>
    <row r="221" spans="6:34" ht="18.75" customHeight="1">
      <c r="F221" s="13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</row>
    <row r="222" spans="6:34" ht="18.75" customHeight="1">
      <c r="F222" s="13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</row>
    <row r="223" spans="6:34" ht="18.75" customHeight="1">
      <c r="F223" s="13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</row>
    <row r="224" spans="6:34" ht="18.75" customHeight="1">
      <c r="F224" s="13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</row>
    <row r="225" spans="6:34" ht="18.75" customHeight="1">
      <c r="F225" s="13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</row>
    <row r="226" spans="6:34" ht="18.75" customHeight="1">
      <c r="F226" s="13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</row>
    <row r="227" spans="6:34" ht="18.75" customHeight="1">
      <c r="F227" s="13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</row>
    <row r="228" spans="6:34" ht="18.75" customHeight="1">
      <c r="F228" s="13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</row>
    <row r="229" spans="6:34" ht="18.75" customHeight="1">
      <c r="F229" s="13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</row>
    <row r="230" spans="6:34" ht="18.75" customHeight="1">
      <c r="F230" s="13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</row>
    <row r="231" spans="6:34" ht="18.75" customHeight="1">
      <c r="F231" s="13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</row>
    <row r="232" spans="6:34" ht="18.75" customHeight="1">
      <c r="F232" s="13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</row>
    <row r="233" spans="6:34" ht="18.75" customHeight="1">
      <c r="F233" s="13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</row>
    <row r="234" spans="6:34" ht="18.75" customHeight="1">
      <c r="F234" s="13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</row>
    <row r="235" spans="6:34" ht="18.75" customHeight="1">
      <c r="F235" s="13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</row>
    <row r="236" spans="6:34" ht="18.75" customHeight="1">
      <c r="F236" s="13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</row>
    <row r="237" spans="6:34" ht="18.75" customHeight="1">
      <c r="F237" s="13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</row>
    <row r="238" spans="6:34" ht="18.75" customHeight="1">
      <c r="F238" s="13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</row>
    <row r="239" spans="6:34" ht="18.75" customHeight="1">
      <c r="F239" s="13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</row>
    <row r="240" spans="6:34" ht="18.75" customHeight="1">
      <c r="F240" s="13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</row>
    <row r="241" spans="6:34" ht="18.75" customHeight="1">
      <c r="F241" s="13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</row>
    <row r="242" spans="6:34" ht="18.75" customHeight="1">
      <c r="F242" s="13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</row>
    <row r="243" spans="6:34" ht="18.75" customHeight="1">
      <c r="F243" s="13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</row>
    <row r="244" spans="6:34" ht="18.75" customHeight="1">
      <c r="F244" s="13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</row>
    <row r="245" spans="6:34" ht="18.75" customHeight="1">
      <c r="F245" s="13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</row>
    <row r="246" spans="6:34" ht="18.75" customHeight="1">
      <c r="F246" s="13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</row>
    <row r="247" spans="6:34" ht="18.75" customHeight="1">
      <c r="F247" s="13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</row>
    <row r="248" spans="6:34" ht="18.75" customHeight="1">
      <c r="F248" s="13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</row>
    <row r="249" spans="6:34" ht="18.75" customHeight="1">
      <c r="F249" s="13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</row>
    <row r="250" spans="6:34" ht="18.75" customHeight="1">
      <c r="F250" s="13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</row>
    <row r="251" spans="6:34" ht="18.75" customHeight="1">
      <c r="F251" s="13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</row>
    <row r="252" spans="6:34" ht="18.75" customHeight="1">
      <c r="F252" s="13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</row>
    <row r="253" spans="6:34" ht="18.75" customHeight="1">
      <c r="F253" s="13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</row>
    <row r="254" spans="6:34" ht="18.75" customHeight="1">
      <c r="F254" s="13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</row>
    <row r="255" spans="6:34" ht="18.75" customHeight="1">
      <c r="F255" s="13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</row>
    <row r="256" spans="6:34" ht="18.75" customHeight="1">
      <c r="F256" s="13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</row>
    <row r="257" spans="6:34" ht="18.75" customHeight="1">
      <c r="F257" s="13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</row>
    <row r="258" spans="6:34" ht="18.75" customHeight="1">
      <c r="F258" s="13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</row>
    <row r="259" spans="6:34" ht="18.75" customHeight="1">
      <c r="F259" s="13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</row>
    <row r="260" spans="6:34" ht="18.75" customHeight="1">
      <c r="F260" s="13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</row>
    <row r="261" spans="6:34" ht="18.75" customHeight="1">
      <c r="F261" s="13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</row>
    <row r="262" spans="6:34" ht="18.75" customHeight="1">
      <c r="F262" s="13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</row>
    <row r="263" spans="6:34" ht="18.75" customHeight="1">
      <c r="F263" s="13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</row>
    <row r="264" spans="6:34" ht="18.75" customHeight="1">
      <c r="F264" s="13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</row>
    <row r="265" spans="6:34" ht="18.75" customHeight="1">
      <c r="F265" s="13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</row>
    <row r="266" spans="6:34" ht="18.75" customHeight="1">
      <c r="F266" s="13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</row>
    <row r="267" spans="6:34" ht="18.75" customHeight="1">
      <c r="F267" s="13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</row>
    <row r="268" spans="6:34" ht="18.75" customHeight="1">
      <c r="F268" s="13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</row>
    <row r="269" spans="6:34" ht="18.75" customHeight="1">
      <c r="F269" s="13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</row>
    <row r="270" spans="6:34" ht="18.75" customHeight="1">
      <c r="F270" s="13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</row>
    <row r="271" spans="6:34" ht="18.75" customHeight="1">
      <c r="F271" s="13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</row>
    <row r="272" spans="6:34" ht="18.75" customHeight="1">
      <c r="F272" s="13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</row>
    <row r="273" spans="6:34" ht="18.75" customHeight="1">
      <c r="F273" s="13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</row>
    <row r="274" spans="6:34" ht="18.75" customHeight="1">
      <c r="F274" s="13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</row>
    <row r="275" spans="6:34" ht="18.75" customHeight="1">
      <c r="F275" s="13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</row>
    <row r="276" spans="6:34" ht="18.75" customHeight="1">
      <c r="F276" s="13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</row>
    <row r="277" spans="6:34" ht="18.75" customHeight="1">
      <c r="F277" s="13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</row>
    <row r="278" spans="6:34" ht="18.75" customHeight="1">
      <c r="F278" s="13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</row>
    <row r="279" spans="6:34" ht="18.75" customHeight="1">
      <c r="F279" s="13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</row>
    <row r="280" spans="6:34" ht="18.75" customHeight="1">
      <c r="F280" s="13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</row>
    <row r="281" spans="6:34" ht="18.75" customHeight="1">
      <c r="F281" s="13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</row>
    <row r="282" spans="6:34" ht="18.75" customHeight="1">
      <c r="F282" s="13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</row>
    <row r="283" spans="6:34" ht="18.75" customHeight="1">
      <c r="F283" s="13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</row>
    <row r="284" spans="6:34" ht="18.75" customHeight="1">
      <c r="F284" s="13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</row>
    <row r="285" spans="6:34" ht="18.75" customHeight="1">
      <c r="F285" s="13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</row>
    <row r="286" spans="6:34" ht="18.75" customHeight="1">
      <c r="F286" s="13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</row>
    <row r="287" spans="6:34" ht="18.75" customHeight="1">
      <c r="F287" s="13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</row>
    <row r="288" spans="6:34" ht="18.75" customHeight="1">
      <c r="F288" s="13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</row>
    <row r="289" spans="6:34" ht="18.75" customHeight="1">
      <c r="F289" s="13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</row>
    <row r="290" spans="6:34" ht="18.75" customHeight="1">
      <c r="F290" s="13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</row>
    <row r="291" spans="6:34" ht="18.75" customHeight="1">
      <c r="F291" s="13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</row>
    <row r="292" spans="6:34" ht="18.75" customHeight="1">
      <c r="F292" s="13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</row>
    <row r="293" spans="6:34" ht="18.75" customHeight="1">
      <c r="F293" s="13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</row>
    <row r="294" spans="6:34" ht="18.75" customHeight="1">
      <c r="F294" s="13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</row>
    <row r="295" spans="6:34" ht="18.75" customHeight="1">
      <c r="F295" s="13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</row>
    <row r="296" spans="6:34" ht="18.75" customHeight="1">
      <c r="F296" s="13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</row>
    <row r="297" spans="6:34" ht="18.75" customHeight="1">
      <c r="F297" s="13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</row>
    <row r="298" spans="6:34" ht="18.75" customHeight="1">
      <c r="F298" s="13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</row>
    <row r="299" spans="6:34" ht="18.75" customHeight="1">
      <c r="F299" s="13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</row>
    <row r="300" spans="6:34" ht="18.75" customHeight="1">
      <c r="F300" s="13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</row>
    <row r="301" spans="6:34" ht="18.75" customHeight="1">
      <c r="F301" s="13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</row>
    <row r="302" spans="6:34" ht="18.75" customHeight="1">
      <c r="F302" s="13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</row>
    <row r="303" spans="6:34" ht="18.75" customHeight="1">
      <c r="F303" s="13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</row>
    <row r="304" spans="6:34" ht="18.75" customHeight="1">
      <c r="F304" s="13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</row>
    <row r="305" spans="6:34" ht="18.75" customHeight="1">
      <c r="F305" s="13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</row>
    <row r="306" spans="6:34" ht="18.75" customHeight="1">
      <c r="F306" s="13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</row>
    <row r="307" spans="6:34" ht="18.75" customHeight="1">
      <c r="F307" s="13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</row>
    <row r="308" spans="6:34" ht="18.75" customHeight="1">
      <c r="F308" s="13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</row>
    <row r="309" spans="6:34" ht="18.75" customHeight="1">
      <c r="F309" s="13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</row>
    <row r="310" spans="6:34" ht="18.75" customHeight="1">
      <c r="F310" s="13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</row>
    <row r="311" spans="6:34" ht="18.75" customHeight="1">
      <c r="F311" s="13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</row>
    <row r="312" spans="6:34" ht="18.75" customHeight="1">
      <c r="F312" s="13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</row>
    <row r="313" spans="6:34" ht="18.75" customHeight="1">
      <c r="F313" s="13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</row>
    <row r="314" spans="6:34" ht="18.75" customHeight="1">
      <c r="F314" s="13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</row>
    <row r="315" spans="6:34" ht="18.75" customHeight="1">
      <c r="F315" s="13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</row>
    <row r="316" spans="6:34" ht="18.75" customHeight="1">
      <c r="F316" s="13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</row>
    <row r="317" spans="6:34" ht="18.75" customHeight="1">
      <c r="F317" s="13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</row>
    <row r="318" spans="6:34" ht="18.75" customHeight="1">
      <c r="F318" s="13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</row>
    <row r="319" spans="6:34" ht="18.75" customHeight="1">
      <c r="F319" s="13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</row>
    <row r="320" spans="6:34" ht="18.75" customHeight="1">
      <c r="F320" s="13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</row>
    <row r="321" spans="6:34" ht="18.75" customHeight="1">
      <c r="F321" s="13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</row>
    <row r="322" spans="6:34" ht="18.75" customHeight="1">
      <c r="F322" s="13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</row>
    <row r="323" spans="6:34" ht="18.75" customHeight="1">
      <c r="F323" s="13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</row>
    <row r="324" spans="6:34" ht="18.75" customHeight="1">
      <c r="F324" s="13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</row>
    <row r="325" spans="6:34" ht="18.75" customHeight="1">
      <c r="F325" s="13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</row>
    <row r="326" spans="6:34" ht="18.75" customHeight="1">
      <c r="F326" s="13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</row>
    <row r="327" spans="6:34" ht="18.75" customHeight="1">
      <c r="F327" s="13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</row>
    <row r="328" spans="6:34" ht="18.75" customHeight="1">
      <c r="F328" s="13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</row>
    <row r="329" spans="6:34" ht="18.75" customHeight="1">
      <c r="F329" s="13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</row>
    <row r="330" spans="6:34" ht="18.75" customHeight="1">
      <c r="F330" s="13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</row>
    <row r="331" spans="6:34" ht="18.75" customHeight="1">
      <c r="F331" s="13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</row>
    <row r="332" spans="6:34" ht="18.75" customHeight="1">
      <c r="F332" s="13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</row>
    <row r="333" spans="6:34" ht="18.75" customHeight="1">
      <c r="F333" s="13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</row>
    <row r="334" spans="6:34" ht="18.75" customHeight="1">
      <c r="F334" s="13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</row>
    <row r="335" spans="6:34" ht="18.75" customHeight="1">
      <c r="F335" s="13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</row>
    <row r="336" spans="6:34" ht="18.75" customHeight="1">
      <c r="F336" s="13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</row>
    <row r="337" spans="6:34" ht="18.75" customHeight="1">
      <c r="F337" s="13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</row>
    <row r="338" spans="6:34" ht="18.75" customHeight="1">
      <c r="F338" s="13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</row>
    <row r="339" spans="6:34" ht="18.75" customHeight="1">
      <c r="F339" s="13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</row>
    <row r="340" spans="6:34" ht="18.75" customHeight="1">
      <c r="F340" s="13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</row>
    <row r="341" spans="6:34" ht="18.75" customHeight="1">
      <c r="F341" s="13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</row>
    <row r="342" spans="6:34" ht="18.75" customHeight="1">
      <c r="F342" s="13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</row>
    <row r="343" spans="6:34" ht="18.75" customHeight="1">
      <c r="F343" s="13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</row>
    <row r="344" spans="6:34" ht="18.75" customHeight="1">
      <c r="F344" s="13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</row>
    <row r="345" spans="6:34" ht="18.75" customHeight="1">
      <c r="F345" s="13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</row>
    <row r="346" spans="6:34" ht="18.75" customHeight="1">
      <c r="F346" s="13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</row>
    <row r="347" spans="6:34" ht="18.75" customHeight="1">
      <c r="F347" s="13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</row>
    <row r="348" spans="6:34" ht="18.75" customHeight="1">
      <c r="F348" s="13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</row>
    <row r="349" spans="6:34" ht="18.75" customHeight="1">
      <c r="F349" s="13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</row>
    <row r="350" spans="6:34" ht="18.75" customHeight="1">
      <c r="F350" s="13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</row>
    <row r="351" spans="6:34" ht="18.75" customHeight="1">
      <c r="F351" s="13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</row>
    <row r="352" spans="6:34" ht="18.75" customHeight="1">
      <c r="F352" s="13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</row>
    <row r="353" spans="6:34" ht="18.75" customHeight="1">
      <c r="F353" s="13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</row>
    <row r="354" spans="6:34" ht="18.75" customHeight="1">
      <c r="F354" s="13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</row>
    <row r="355" spans="6:34" ht="18.75" customHeight="1">
      <c r="F355" s="13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</row>
    <row r="356" spans="6:34" ht="18.75" customHeight="1">
      <c r="F356" s="13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</row>
    <row r="357" spans="6:34" ht="18.75" customHeight="1">
      <c r="F357" s="13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</row>
    <row r="358" spans="6:34" ht="18.75" customHeight="1">
      <c r="F358" s="13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</row>
    <row r="359" spans="6:34" ht="18.75" customHeight="1">
      <c r="F359" s="13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</row>
    <row r="360" spans="6:34" ht="18.75" customHeight="1">
      <c r="F360" s="13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</row>
    <row r="361" spans="6:34" ht="18.75" customHeight="1">
      <c r="F361" s="13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</row>
    <row r="362" spans="6:34" ht="18.75" customHeight="1">
      <c r="F362" s="13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</row>
    <row r="363" spans="6:34" ht="18.75" customHeight="1">
      <c r="F363" s="13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</row>
    <row r="364" spans="6:34" ht="18.75" customHeight="1">
      <c r="F364" s="13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</row>
    <row r="365" spans="6:34" ht="18.75" customHeight="1">
      <c r="F365" s="13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</row>
    <row r="366" spans="6:34" ht="18.75" customHeight="1">
      <c r="F366" s="13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</row>
    <row r="367" spans="6:34" ht="18.75" customHeight="1">
      <c r="F367" s="13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</row>
    <row r="368" spans="6:34" ht="18.75" customHeight="1">
      <c r="F368" s="13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</row>
    <row r="369" spans="6:34" ht="18.75" customHeight="1">
      <c r="F369" s="13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</row>
    <row r="370" spans="6:34" ht="18.75" customHeight="1">
      <c r="F370" s="13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</row>
    <row r="371" spans="6:34" ht="18.75" customHeight="1">
      <c r="F371" s="13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</row>
    <row r="372" spans="6:34" ht="18.75" customHeight="1">
      <c r="F372" s="13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</row>
    <row r="373" spans="6:34" ht="18.75" customHeight="1">
      <c r="F373" s="13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</row>
    <row r="374" spans="6:34" ht="18.75" customHeight="1">
      <c r="F374" s="13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</row>
    <row r="375" spans="6:34" ht="18.75" customHeight="1">
      <c r="F375" s="13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</row>
    <row r="376" spans="6:34" ht="18.75" customHeight="1">
      <c r="F376" s="13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</row>
    <row r="377" spans="6:34" ht="18.75" customHeight="1">
      <c r="F377" s="13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</row>
    <row r="378" spans="6:34" ht="18.75" customHeight="1">
      <c r="F378" s="13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</row>
    <row r="379" spans="6:34" ht="18.75" customHeight="1">
      <c r="F379" s="13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</row>
    <row r="380" spans="6:34" ht="18.75" customHeight="1">
      <c r="F380" s="13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</row>
    <row r="381" spans="6:34" ht="18.75" customHeight="1">
      <c r="F381" s="13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</row>
    <row r="382" spans="6:34" ht="18.75" customHeight="1">
      <c r="F382" s="13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</row>
    <row r="383" spans="6:34" ht="18.75" customHeight="1">
      <c r="F383" s="13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</row>
    <row r="384" spans="6:34" ht="18.75" customHeight="1">
      <c r="F384" s="13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</row>
    <row r="385" spans="6:34" ht="18.75" customHeight="1">
      <c r="F385" s="13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</row>
    <row r="386" spans="6:34" ht="18.75" customHeight="1">
      <c r="F386" s="13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</row>
    <row r="387" spans="6:34" ht="18.75" customHeight="1">
      <c r="F387" s="13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</row>
    <row r="388" spans="6:34" ht="18.75" customHeight="1">
      <c r="F388" s="13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</row>
    <row r="389" spans="6:34" ht="18.75" customHeight="1">
      <c r="F389" s="13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</row>
    <row r="390" spans="6:34" ht="18.75" customHeight="1">
      <c r="F390" s="13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</row>
    <row r="391" spans="6:34" ht="18.75" customHeight="1">
      <c r="F391" s="13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</row>
    <row r="392" spans="6:34" ht="18.75" customHeight="1">
      <c r="F392" s="13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</row>
    <row r="393" spans="6:34" ht="18.75" customHeight="1">
      <c r="F393" s="13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</row>
    <row r="394" spans="6:34" ht="18.75" customHeight="1">
      <c r="F394" s="13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</row>
    <row r="395" spans="6:34" ht="18.75" customHeight="1">
      <c r="F395" s="13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</row>
    <row r="396" spans="6:34" ht="18.75" customHeight="1">
      <c r="F396" s="13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</row>
    <row r="397" spans="6:34" ht="18.75" customHeight="1">
      <c r="F397" s="13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</row>
    <row r="398" spans="6:34" ht="18.75" customHeight="1">
      <c r="F398" s="13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</row>
    <row r="399" spans="6:34" ht="18.75" customHeight="1">
      <c r="F399" s="13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</row>
    <row r="400" spans="6:34" ht="18.75" customHeight="1">
      <c r="F400" s="13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</row>
    <row r="401" spans="6:34" ht="18.75" customHeight="1">
      <c r="F401" s="13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</row>
    <row r="402" spans="6:34" ht="18.75" customHeight="1">
      <c r="F402" s="13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</row>
    <row r="403" spans="6:34" ht="18.75" customHeight="1">
      <c r="F403" s="13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</row>
    <row r="404" spans="6:34" ht="18.75" customHeight="1">
      <c r="F404" s="13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</row>
    <row r="405" spans="6:34" ht="18.75" customHeight="1">
      <c r="F405" s="13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</row>
    <row r="406" spans="6:34" ht="18.75" customHeight="1">
      <c r="F406" s="13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</row>
    <row r="407" spans="6:34" ht="18.75" customHeight="1">
      <c r="F407" s="13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</row>
    <row r="408" spans="6:34" ht="18.75" customHeight="1">
      <c r="F408" s="13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</row>
    <row r="409" spans="6:34" ht="18.75" customHeight="1">
      <c r="F409" s="13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</row>
    <row r="410" spans="6:34" ht="18.75" customHeight="1">
      <c r="F410" s="13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</row>
    <row r="411" spans="6:34" ht="18.75" customHeight="1">
      <c r="F411" s="13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</row>
    <row r="412" spans="6:34" ht="18.75" customHeight="1">
      <c r="F412" s="13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</row>
    <row r="413" spans="6:34" ht="18.75" customHeight="1">
      <c r="F413" s="13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</row>
    <row r="414" spans="6:34" ht="18.75" customHeight="1">
      <c r="F414" s="13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</row>
    <row r="415" spans="6:34" ht="18.75" customHeight="1">
      <c r="F415" s="13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</row>
    <row r="416" spans="6:34" ht="18.75" customHeight="1">
      <c r="F416" s="13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</row>
    <row r="417" spans="6:34" ht="18.75" customHeight="1">
      <c r="F417" s="13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</row>
    <row r="418" spans="6:34" ht="18.75" customHeight="1">
      <c r="F418" s="13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</row>
    <row r="419" spans="6:34" ht="18.75" customHeight="1">
      <c r="F419" s="13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</row>
    <row r="420" spans="6:34" ht="18.75" customHeight="1">
      <c r="F420" s="13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</row>
    <row r="421" spans="6:34" ht="18.75" customHeight="1">
      <c r="F421" s="13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</row>
    <row r="422" spans="6:34" ht="18.75" customHeight="1">
      <c r="F422" s="13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</row>
    <row r="423" spans="6:34" ht="18.75" customHeight="1">
      <c r="F423" s="13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</row>
    <row r="424" spans="6:34" ht="18.75" customHeight="1">
      <c r="F424" s="13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</row>
    <row r="425" spans="6:34" ht="18.75" customHeight="1">
      <c r="F425" s="13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</row>
    <row r="426" spans="6:34" ht="18.75" customHeight="1">
      <c r="F426" s="13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</row>
    <row r="427" spans="6:34" ht="18.75" customHeight="1">
      <c r="F427" s="13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</row>
    <row r="428" spans="6:34" ht="18.75" customHeight="1">
      <c r="F428" s="13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</row>
    <row r="429" spans="6:34" ht="18.75" customHeight="1">
      <c r="F429" s="13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</row>
    <row r="430" spans="6:34" ht="18.75" customHeight="1">
      <c r="F430" s="13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</row>
    <row r="431" spans="6:34" ht="18.75" customHeight="1">
      <c r="F431" s="13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</row>
    <row r="432" spans="6:34" ht="18.75" customHeight="1">
      <c r="F432" s="13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</row>
    <row r="433" spans="6:34" ht="18.75" customHeight="1">
      <c r="F433" s="13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</row>
    <row r="434" spans="6:34" ht="18.75" customHeight="1">
      <c r="F434" s="13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</row>
    <row r="435" spans="6:34" ht="18.75" customHeight="1">
      <c r="F435" s="13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</row>
    <row r="436" spans="6:34" ht="18.75" customHeight="1">
      <c r="F436" s="13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</row>
    <row r="437" spans="6:34" ht="18.75" customHeight="1">
      <c r="F437" s="13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</row>
    <row r="438" spans="6:34" ht="18.75" customHeight="1">
      <c r="F438" s="13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</row>
    <row r="439" spans="6:34" ht="18.75" customHeight="1">
      <c r="F439" s="13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</row>
    <row r="440" spans="6:34" ht="18.75" customHeight="1">
      <c r="F440" s="13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</row>
    <row r="441" spans="6:34" ht="18.75" customHeight="1">
      <c r="F441" s="13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</row>
    <row r="442" spans="6:34" ht="18.75" customHeight="1">
      <c r="F442" s="13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</row>
    <row r="443" spans="6:34" ht="18.75" customHeight="1">
      <c r="F443" s="13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</row>
    <row r="444" spans="6:34" ht="18.75" customHeight="1">
      <c r="F444" s="13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</row>
    <row r="445" spans="6:34" ht="18.75" customHeight="1">
      <c r="F445" s="13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</row>
    <row r="446" spans="6:34" ht="18.75" customHeight="1">
      <c r="F446" s="13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</row>
    <row r="447" spans="6:34" ht="18.75" customHeight="1">
      <c r="F447" s="13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</row>
    <row r="448" spans="6:34" ht="18.75" customHeight="1">
      <c r="F448" s="13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</row>
    <row r="449" spans="6:34" ht="18.75" customHeight="1">
      <c r="F449" s="13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</row>
    <row r="450" spans="6:34" ht="18.75" customHeight="1">
      <c r="F450" s="13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</row>
    <row r="451" spans="6:34" ht="18.75" customHeight="1">
      <c r="F451" s="13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</row>
    <row r="452" spans="6:34" ht="18.75" customHeight="1">
      <c r="F452" s="13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</row>
    <row r="453" spans="6:34" ht="18.75" customHeight="1">
      <c r="F453" s="13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</row>
    <row r="454" spans="6:34" ht="18.75" customHeight="1">
      <c r="F454" s="13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</row>
    <row r="455" spans="6:34" ht="18.75" customHeight="1">
      <c r="F455" s="13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</row>
    <row r="456" spans="6:34" ht="18.75" customHeight="1">
      <c r="F456" s="13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</row>
    <row r="457" spans="6:34" ht="18.75" customHeight="1">
      <c r="F457" s="13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</row>
    <row r="458" spans="6:34" ht="18.75" customHeight="1">
      <c r="F458" s="13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</row>
    <row r="459" spans="6:34" ht="18.75" customHeight="1">
      <c r="F459" s="13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</row>
    <row r="460" spans="6:34" ht="18.75" customHeight="1">
      <c r="F460" s="13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</row>
    <row r="461" spans="6:34" ht="18.75" customHeight="1">
      <c r="F461" s="13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</row>
    <row r="462" spans="6:34" ht="18.75" customHeight="1">
      <c r="F462" s="13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</row>
    <row r="463" spans="6:34" ht="18.75" customHeight="1">
      <c r="F463" s="13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</row>
    <row r="464" spans="6:34" ht="18.75" customHeight="1">
      <c r="F464" s="13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</row>
    <row r="465" spans="6:34" ht="18.75" customHeight="1">
      <c r="F465" s="13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</row>
    <row r="466" spans="6:34" ht="18.75" customHeight="1">
      <c r="F466" s="13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</row>
    <row r="467" spans="6:34" ht="18.75" customHeight="1">
      <c r="F467" s="13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</row>
    <row r="468" spans="6:34" ht="18.75" customHeight="1">
      <c r="F468" s="13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</row>
    <row r="469" spans="6:34" ht="18.75" customHeight="1">
      <c r="F469" s="13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</row>
    <row r="470" spans="6:34" ht="18.75" customHeight="1">
      <c r="F470" s="13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</row>
    <row r="471" spans="6:34" ht="18.75" customHeight="1">
      <c r="F471" s="13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</row>
    <row r="472" spans="6:34" ht="18.75" customHeight="1">
      <c r="F472" s="13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</row>
    <row r="473" spans="6:34" ht="18.75" customHeight="1">
      <c r="F473" s="13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</row>
    <row r="474" spans="6:34" ht="18.75" customHeight="1">
      <c r="F474" s="13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</row>
    <row r="475" spans="6:34" ht="18.75" customHeight="1">
      <c r="F475" s="13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</row>
    <row r="476" spans="6:34" ht="18.75" customHeight="1">
      <c r="F476" s="13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</row>
    <row r="477" spans="6:34" ht="18.75" customHeight="1">
      <c r="F477" s="13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</row>
    <row r="478" spans="6:34" ht="18.75" customHeight="1">
      <c r="F478" s="13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</row>
    <row r="479" spans="6:34" ht="18.75" customHeight="1">
      <c r="F479" s="13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</row>
    <row r="480" spans="6:34" ht="18.75" customHeight="1">
      <c r="F480" s="13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</row>
    <row r="481" spans="6:34" ht="18.75" customHeight="1">
      <c r="F481" s="13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</row>
    <row r="482" spans="6:34" ht="18.75" customHeight="1">
      <c r="F482" s="13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</row>
    <row r="483" spans="6:34" ht="18.75" customHeight="1">
      <c r="F483" s="13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</row>
    <row r="484" spans="6:34" ht="18.75" customHeight="1">
      <c r="F484" s="13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</row>
    <row r="485" spans="6:34" ht="18.75" customHeight="1">
      <c r="F485" s="13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</row>
    <row r="486" spans="6:34" ht="18.75" customHeight="1">
      <c r="F486" s="13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</row>
    <row r="487" spans="6:34" ht="18.75" customHeight="1">
      <c r="F487" s="13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</row>
    <row r="488" spans="6:34" ht="18.75" customHeight="1">
      <c r="F488" s="13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</row>
    <row r="489" spans="6:34" ht="18.75" customHeight="1">
      <c r="F489" s="13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</row>
    <row r="490" spans="6:34" ht="18.75" customHeight="1">
      <c r="F490" s="13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</row>
    <row r="491" spans="6:34" ht="18.75" customHeight="1">
      <c r="F491" s="13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</row>
    <row r="492" spans="6:34" ht="18.75" customHeight="1">
      <c r="F492" s="13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</row>
    <row r="493" spans="6:34" ht="18.75" customHeight="1">
      <c r="F493" s="13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</row>
    <row r="494" spans="6:34" ht="18.75" customHeight="1">
      <c r="F494" s="13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</row>
    <row r="495" spans="6:34" ht="18.75" customHeight="1">
      <c r="F495" s="13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</row>
    <row r="496" spans="6:34" ht="18.75" customHeight="1">
      <c r="F496" s="13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</row>
    <row r="497" spans="6:34" ht="18.75" customHeight="1">
      <c r="F497" s="13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</row>
    <row r="498" spans="6:34" ht="18.75" customHeight="1">
      <c r="F498" s="13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</row>
    <row r="499" spans="6:34" ht="18.75" customHeight="1">
      <c r="F499" s="13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</row>
    <row r="500" spans="6:34" ht="18.75" customHeight="1">
      <c r="F500" s="13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</row>
    <row r="501" spans="6:34" ht="18.75" customHeight="1">
      <c r="F501" s="13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</row>
    <row r="502" spans="6:34" ht="18.75" customHeight="1">
      <c r="F502" s="13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</row>
    <row r="503" spans="6:34" ht="18.75" customHeight="1">
      <c r="F503" s="13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</row>
    <row r="504" spans="6:34" ht="18.75" customHeight="1">
      <c r="F504" s="13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</row>
    <row r="505" spans="6:34" ht="18.75" customHeight="1">
      <c r="F505" s="13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</row>
    <row r="506" spans="6:34" ht="18.75" customHeight="1">
      <c r="F506" s="13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</row>
    <row r="507" spans="6:34" ht="18.75" customHeight="1">
      <c r="F507" s="13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</row>
    <row r="508" spans="6:34" ht="18.75" customHeight="1">
      <c r="F508" s="13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</row>
    <row r="509" spans="6:34" ht="18.75" customHeight="1">
      <c r="F509" s="13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</row>
    <row r="510" spans="6:34" ht="18.75" customHeight="1">
      <c r="F510" s="13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</row>
    <row r="511" spans="6:34" ht="18.75" customHeight="1">
      <c r="F511" s="13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</row>
    <row r="512" spans="6:34" ht="18.75" customHeight="1">
      <c r="F512" s="13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</row>
    <row r="513" spans="6:34" ht="18.75" customHeight="1">
      <c r="F513" s="13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</row>
    <row r="514" spans="6:34" ht="18.75" customHeight="1">
      <c r="F514" s="13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</row>
    <row r="515" spans="6:34" ht="18.75" customHeight="1">
      <c r="F515" s="13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</row>
    <row r="516" spans="6:34" ht="18.75" customHeight="1">
      <c r="F516" s="13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</row>
    <row r="517" spans="6:34" ht="18.75" customHeight="1">
      <c r="F517" s="13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</row>
    <row r="518" spans="6:34" ht="18.75" customHeight="1">
      <c r="F518" s="13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</row>
    <row r="519" spans="6:34" ht="18.75" customHeight="1">
      <c r="F519" s="13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</row>
    <row r="520" spans="6:34" ht="18.75" customHeight="1">
      <c r="F520" s="13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</row>
    <row r="521" spans="6:34" ht="18.75" customHeight="1">
      <c r="F521" s="13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</row>
    <row r="522" spans="6:34" ht="18.75" customHeight="1">
      <c r="F522" s="13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</row>
    <row r="523" spans="6:34" ht="18.75" customHeight="1">
      <c r="F523" s="13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</row>
    <row r="524" spans="6:34" ht="18.75" customHeight="1">
      <c r="F524" s="13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</row>
    <row r="525" spans="6:34" ht="18.75" customHeight="1">
      <c r="F525" s="13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</row>
    <row r="526" spans="6:34" ht="18.75" customHeight="1">
      <c r="F526" s="13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</row>
    <row r="527" spans="6:34" ht="18.75" customHeight="1">
      <c r="F527" s="13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</row>
    <row r="528" spans="6:34" ht="18.75" customHeight="1">
      <c r="F528" s="13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</row>
    <row r="529" spans="6:34" ht="18.75" customHeight="1">
      <c r="F529" s="13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</row>
    <row r="530" spans="6:34" ht="18.75" customHeight="1">
      <c r="F530" s="13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</row>
    <row r="531" spans="6:34" ht="18.75" customHeight="1">
      <c r="F531" s="13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</row>
    <row r="532" spans="6:34" ht="18.75" customHeight="1">
      <c r="F532" s="13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</row>
    <row r="533" spans="6:34" ht="18.75" customHeight="1">
      <c r="F533" s="13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</row>
    <row r="534" spans="6:34" ht="18.75" customHeight="1">
      <c r="F534" s="13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</row>
    <row r="535" spans="6:34" ht="18.75" customHeight="1">
      <c r="F535" s="13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</row>
    <row r="536" spans="6:34" ht="18.75" customHeight="1">
      <c r="F536" s="13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</row>
    <row r="537" spans="6:34" ht="18.75" customHeight="1">
      <c r="F537" s="13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</row>
    <row r="538" spans="6:34" ht="18.75" customHeight="1">
      <c r="F538" s="13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</row>
    <row r="539" spans="6:34" ht="18.75" customHeight="1">
      <c r="F539" s="13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</row>
    <row r="540" spans="6:34" ht="18.75" customHeight="1">
      <c r="F540" s="13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</row>
    <row r="541" spans="6:34" ht="18.75" customHeight="1">
      <c r="F541" s="13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</row>
    <row r="542" spans="6:34" ht="18.75" customHeight="1">
      <c r="F542" s="13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</row>
    <row r="543" spans="6:34" ht="18.75" customHeight="1">
      <c r="F543" s="13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</row>
    <row r="544" spans="6:34" ht="18.75" customHeight="1">
      <c r="F544" s="13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</row>
    <row r="545" spans="6:34" ht="18.75" customHeight="1">
      <c r="F545" s="13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</row>
    <row r="546" spans="6:34" ht="18.75" customHeight="1">
      <c r="F546" s="13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</row>
    <row r="547" spans="6:34" ht="18.75" customHeight="1">
      <c r="F547" s="13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</row>
    <row r="548" spans="6:34" ht="18.75" customHeight="1">
      <c r="F548" s="13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</row>
    <row r="549" spans="6:34" ht="18.75" customHeight="1">
      <c r="F549" s="13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</row>
    <row r="550" spans="6:34" ht="18.75" customHeight="1">
      <c r="F550" s="13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</row>
    <row r="551" spans="6:34" ht="18.75" customHeight="1">
      <c r="F551" s="13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</row>
    <row r="552" spans="6:34" ht="18.75" customHeight="1">
      <c r="F552" s="13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</row>
    <row r="553" spans="6:34" ht="18.75" customHeight="1">
      <c r="F553" s="13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</row>
    <row r="554" spans="6:34" ht="18.75" customHeight="1">
      <c r="F554" s="13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</row>
    <row r="555" spans="6:34" ht="18.75" customHeight="1">
      <c r="F555" s="13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</row>
    <row r="556" spans="6:34" ht="18.75" customHeight="1">
      <c r="F556" s="13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</row>
    <row r="557" spans="6:34" ht="18.75" customHeight="1">
      <c r="F557" s="13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</row>
    <row r="558" spans="6:34" ht="18.75" customHeight="1">
      <c r="F558" s="13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</row>
    <row r="559" spans="6:34" ht="18.75" customHeight="1">
      <c r="F559" s="13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</row>
    <row r="560" spans="6:34" ht="18.75" customHeight="1">
      <c r="F560" s="13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</row>
    <row r="561" spans="6:34" ht="18.75" customHeight="1">
      <c r="F561" s="13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</row>
    <row r="562" spans="6:34" ht="18.75" customHeight="1">
      <c r="F562" s="13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</row>
    <row r="563" spans="6:34" ht="18.75" customHeight="1">
      <c r="F563" s="13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</row>
    <row r="564" spans="6:34" ht="18.75" customHeight="1">
      <c r="F564" s="13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</row>
    <row r="565" spans="6:34" ht="18.75" customHeight="1">
      <c r="F565" s="13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</row>
    <row r="566" spans="6:34" ht="18.75" customHeight="1">
      <c r="F566" s="13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</row>
    <row r="567" spans="6:34" ht="18.75" customHeight="1">
      <c r="F567" s="13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</row>
    <row r="568" spans="6:34" ht="18.75" customHeight="1">
      <c r="F568" s="13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</row>
    <row r="569" spans="6:34" ht="18.75" customHeight="1">
      <c r="F569" s="13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</row>
    <row r="570" spans="6:34" ht="18.75" customHeight="1">
      <c r="F570" s="13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</row>
    <row r="571" spans="6:34" ht="18.75" customHeight="1">
      <c r="F571" s="13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</row>
    <row r="572" spans="6:34" ht="18.75" customHeight="1">
      <c r="F572" s="13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</row>
    <row r="573" spans="6:34" ht="18.75" customHeight="1">
      <c r="F573" s="13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</row>
    <row r="574" spans="6:34" ht="18.75" customHeight="1">
      <c r="F574" s="13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</row>
    <row r="575" spans="6:34" ht="18.75" customHeight="1">
      <c r="F575" s="13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</row>
    <row r="576" spans="6:34" ht="18.75" customHeight="1">
      <c r="F576" s="13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</row>
    <row r="577" spans="6:34" ht="18.75" customHeight="1">
      <c r="F577" s="13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</row>
    <row r="578" spans="6:34" ht="18.75" customHeight="1">
      <c r="F578" s="13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</row>
    <row r="579" spans="6:34" ht="18.75" customHeight="1">
      <c r="F579" s="13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</row>
    <row r="580" spans="6:34" ht="18.75" customHeight="1">
      <c r="F580" s="13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</row>
    <row r="581" spans="6:34" ht="18.75" customHeight="1">
      <c r="F581" s="13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</row>
    <row r="582" spans="6:34" ht="18.75" customHeight="1">
      <c r="F582" s="13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</row>
    <row r="583" spans="6:34" ht="18.75" customHeight="1">
      <c r="F583" s="13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</row>
    <row r="584" spans="6:34" ht="18.75" customHeight="1">
      <c r="F584" s="13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</row>
    <row r="585" spans="6:34" ht="18.75" customHeight="1">
      <c r="F585" s="13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</row>
    <row r="586" spans="6:34" ht="18.75" customHeight="1">
      <c r="F586" s="13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</row>
    <row r="587" spans="6:34" ht="18.75" customHeight="1">
      <c r="F587" s="13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</row>
    <row r="588" spans="6:34" ht="18.75" customHeight="1">
      <c r="F588" s="13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</row>
    <row r="589" spans="6:34" ht="18.75" customHeight="1">
      <c r="F589" s="13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</row>
    <row r="590" spans="6:34" ht="18.75" customHeight="1">
      <c r="F590" s="13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</row>
    <row r="591" spans="6:34" ht="18.75" customHeight="1">
      <c r="F591" s="13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</row>
    <row r="592" spans="6:34" ht="18.75" customHeight="1">
      <c r="F592" s="13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</row>
    <row r="593" spans="6:34" ht="18.75" customHeight="1">
      <c r="F593" s="13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</row>
    <row r="594" spans="6:34" ht="18.75" customHeight="1">
      <c r="F594" s="13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</row>
    <row r="595" spans="6:34" ht="18.75" customHeight="1">
      <c r="F595" s="13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</row>
  </sheetData>
  <mergeCells count="11">
    <mergeCell ref="A29:E31"/>
    <mergeCell ref="AB4:AH4"/>
    <mergeCell ref="B6:E6"/>
    <mergeCell ref="B8:C8"/>
    <mergeCell ref="A10:A24"/>
    <mergeCell ref="A25:A28"/>
    <mergeCell ref="B4:E5"/>
    <mergeCell ref="F4:F7"/>
    <mergeCell ref="G4:M4"/>
    <mergeCell ref="N4:T4"/>
    <mergeCell ref="U4:AA4"/>
  </mergeCells>
  <conditionalFormatting sqref="A12:E12">
    <cfRule type="expression" dxfId="1679" priority="9">
      <formula>ISNUMBER(SEARCH("JOK",A12))</formula>
    </cfRule>
  </conditionalFormatting>
  <conditionalFormatting sqref="A4:AH4 B5:AH5 A6:AH7 A8:B8 D8:AH8 A9:AH11 A12:C12 F12:AH12 A13:AH22 A23:A28 F23:AH28 A29:AH31">
    <cfRule type="expression" dxfId="1678" priority="101">
      <formula>ISNUMBER(SEARCH("FORM",A4))</formula>
    </cfRule>
    <cfRule type="expression" dxfId="1677" priority="102">
      <formula>ISNUMBER(SEARCH("ASA",A4))</formula>
    </cfRule>
    <cfRule type="expression" dxfId="1676" priority="103">
      <formula>OR(ISNUMBER(SEARCH("ATM",A4)),ISNUMBER(SEARCH("ATA",A4)))</formula>
    </cfRule>
    <cfRule type="expression" dxfId="1675" priority="104">
      <formula>ISNUMBER(SEARCH("TP",A4))</formula>
    </cfRule>
    <cfRule type="expression" dxfId="1674" priority="105">
      <formula>ISNUMBER(SEARCH("CSE",A4))</formula>
    </cfRule>
    <cfRule type="expression" dxfId="1673" priority="106">
      <formula>ISNUMBER(SEARCH("JOK",A4))</formula>
    </cfRule>
  </conditionalFormatting>
  <conditionalFormatting sqref="A4:AH4 B5:AH5 A6:AH7 A8:B8 D8:AH8 A9:AH11 F12:AH12 A13:AH22 A23:A28 F23:AH28 A29:AH31 A12:C12">
    <cfRule type="expression" dxfId="1672" priority="100">
      <formula>OR(ISNUMBER(SEARCH("PPP 1",A4)),ISNUMBER(SEARCH("PPP 2",A4)))</formula>
    </cfRule>
  </conditionalFormatting>
  <conditionalFormatting sqref="B8 D8:E8 B9:E11 B12:C12 B13:E22">
    <cfRule type="expression" dxfId="1671" priority="206">
      <formula>ISNUMBER(SEARCH("MRP",$B8))</formula>
    </cfRule>
  </conditionalFormatting>
  <conditionalFormatting sqref="B23:E28">
    <cfRule type="expression" dxfId="1670" priority="11">
      <formula>ISNUMBER(SEARCH("MRP",$B23))</formula>
    </cfRule>
  </conditionalFormatting>
  <conditionalFormatting sqref="D12:E12">
    <cfRule type="expression" dxfId="1669" priority="2">
      <formula>ISNUMBER(SEARCH("JOK",D12))</formula>
    </cfRule>
    <cfRule type="expression" dxfId="1668" priority="3">
      <formula>OR(ISNUMBER(SEARCH("PPP 1",D12)),ISNUMBER(SEARCH("PPP 2",D12)))</formula>
    </cfRule>
    <cfRule type="expression" dxfId="1667" priority="4">
      <formula>ISNUMBER(SEARCH("FORM",D12))</formula>
    </cfRule>
    <cfRule type="expression" dxfId="1666" priority="5">
      <formula>ISNUMBER(SEARCH("ASA",D12))</formula>
    </cfRule>
    <cfRule type="expression" dxfId="1665" priority="6">
      <formula>OR(ISNUMBER(SEARCH("ATM",D12)),ISNUMBER(SEARCH("ATA",D12)))</formula>
    </cfRule>
    <cfRule type="expression" dxfId="1664" priority="7">
      <formula>ISNUMBER(SEARCH("TP",D12))</formula>
    </cfRule>
    <cfRule type="expression" dxfId="1663" priority="8">
      <formula>ISNUMBER(SEARCH("CSE",D12))</formula>
    </cfRule>
    <cfRule type="expression" dxfId="1662" priority="10">
      <formula>ISNUMBER(SEARCH("MRP",$B12))</formula>
    </cfRule>
  </conditionalFormatting>
  <conditionalFormatting sqref="F10:F31">
    <cfRule type="expression" dxfId="1661" priority="91">
      <formula>OR(ISNUMBER(SEARCH("CA",F10)),ISNUMBER(SEARCH("RC",F10)))</formula>
    </cfRule>
  </conditionalFormatting>
  <conditionalFormatting sqref="F23:AH28 A29:AH31 A9:AH11 F12:AH12 A13:AH22 A4:AH4 B5:AH5 A6:AH7 D8:AH8 A8:B8 A23:A28">
    <cfRule type="expression" dxfId="1660" priority="99">
      <formula>ISNUMBER(SEARCH("JOK",A4))</formula>
    </cfRule>
  </conditionalFormatting>
  <conditionalFormatting sqref="F25:AH31 N6:N22 AB6:AB24 Q7:Q22 O8:P22 R8:AA22 F8:M24 AC8:AH24 N9:R9 F10:F31 AB19:AF20 S22:T24 G23:AH24 K6:K7">
    <cfRule type="expression" dxfId="1659" priority="278">
      <formula>OR(ISNUMBER(SEARCH("PPP 1",F6)),ISNUMBER(SEARCH("PPP 2",F6)))</formula>
    </cfRule>
  </conditionalFormatting>
  <conditionalFormatting sqref="F25:AH31 N6:N22 AB6:AB24 Q7:Q22 O8:P22 R8:AA22 F8:M24 AC8:AH24 N9:R9 F10:F31 AB19:AF20 S22:T24 G23:AH24">
    <cfRule type="expression" dxfId="1658" priority="263">
      <formula>ISNUMBER(SEARCH("JOK",F6))</formula>
    </cfRule>
  </conditionalFormatting>
  <conditionalFormatting sqref="G27:K27">
    <cfRule type="expression" dxfId="1657" priority="271">
      <formula>OR(ISNUMBER(SEARCH("PPP 1",G27)),ISNUMBER(SEARCH("PPP 2",G27)))</formula>
    </cfRule>
    <cfRule type="expression" dxfId="1656" priority="272">
      <formula>ISNUMBER(SEARCH("FORM",G27))</formula>
    </cfRule>
    <cfRule type="expression" dxfId="1655" priority="273">
      <formula>ISNUMBER(SEARCH("ASA",G27))</formula>
    </cfRule>
    <cfRule type="expression" dxfId="1654" priority="274">
      <formula>OR(ISNUMBER(SEARCH("ATM",G27)),ISNUMBER(SEARCH("ATA",G27)))</formula>
    </cfRule>
    <cfRule type="expression" dxfId="1653" priority="275">
      <formula>ISNUMBER(SEARCH("TP",G27))</formula>
    </cfRule>
    <cfRule type="expression" dxfId="1652" priority="276">
      <formula>ISNUMBER(SEARCH("CSE",G27))</formula>
    </cfRule>
    <cfRule type="expression" dxfId="1651" priority="277">
      <formula>OR(ISNUMBER(SEARCH("CA",G27)),ISNUMBER(SEARCH("RC",G27)))</formula>
    </cfRule>
  </conditionalFormatting>
  <conditionalFormatting sqref="G4:AH31 F29:AH31">
    <cfRule type="expression" dxfId="1650" priority="107">
      <formula>OR(ISNUMBER(SEARCH("CA",F4)),ISNUMBER(SEARCH("RC",F4)))</formula>
    </cfRule>
  </conditionalFormatting>
  <conditionalFormatting sqref="G4:AH31">
    <cfRule type="expression" dxfId="1649" priority="12">
      <formula>ISNUMBER(SEARCH("CA/RC ?",G4))</formula>
    </cfRule>
  </conditionalFormatting>
  <conditionalFormatting sqref="G40:AH40">
    <cfRule type="iconSet" priority="13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K6:K7 N6:N22 AB6:AB24 Q7:Q22 O8:P22 R8:AA22 F8:M24 AC8:AH24 N9:R9 F10:F31 AB19:AF20 S22:T24 G23:AH24 F25:AH31">
    <cfRule type="expression" dxfId="1648" priority="279">
      <formula>ISNUMBER(SEARCH("FORM",F6))</formula>
    </cfRule>
    <cfRule type="expression" dxfId="1647" priority="280">
      <formula>ISNUMBER(SEARCH("ASA",F6))</formula>
    </cfRule>
    <cfRule type="expression" dxfId="1646" priority="281">
      <formula>OR(ISNUMBER(SEARCH("ATM",F6)),ISNUMBER(SEARCH("ATA",F6)))</formula>
    </cfRule>
    <cfRule type="expression" dxfId="1645" priority="282">
      <formula>ISNUMBER(SEARCH("TP",F6))</formula>
    </cfRule>
    <cfRule type="expression" dxfId="1644" priority="283">
      <formula>ISNUMBER(SEARCH("CSE",F6))</formula>
    </cfRule>
    <cfRule type="expression" dxfId="1643" priority="284">
      <formula>OR(ISNUMBER(SEARCH("CA",F6)),ISNUMBER(SEARCH("RC",F6)))</formula>
    </cfRule>
  </conditionalFormatting>
  <conditionalFormatting sqref="K6:K7 N6:N24 AB6:AB28 Q7:Q22 O8:P22 R8:AA22 F8:M24 AC8:AH28 N9:R9 F10:F31 AB19:AF20 S22:T24 G23:AH24 O23:AA28 G25:N28 K25:K31 F29:AH31">
    <cfRule type="expression" dxfId="1642" priority="292">
      <formula>ISNUMBER(SEARCH("FORM",F6))</formula>
    </cfRule>
    <cfRule type="expression" dxfId="1641" priority="293">
      <formula>ISNUMBER(SEARCH("ASA",F6))</formula>
    </cfRule>
    <cfRule type="expression" dxfId="1640" priority="294">
      <formula>OR(ISNUMBER(SEARCH("ATM",F6)),ISNUMBER(SEARCH("ATA",F6)))</formula>
    </cfRule>
    <cfRule type="expression" dxfId="1639" priority="295">
      <formula>ISNUMBER(SEARCH("TP",F6))</formula>
    </cfRule>
    <cfRule type="expression" dxfId="1638" priority="296">
      <formula>ISNUMBER(SEARCH("CSE",F6))</formula>
    </cfRule>
    <cfRule type="expression" dxfId="1637" priority="297">
      <formula>OR(ISNUMBER(SEARCH("CA",F6)),ISNUMBER(SEARCH("RC",F6)))</formula>
    </cfRule>
  </conditionalFormatting>
  <conditionalFormatting sqref="K25 K29">
    <cfRule type="expression" dxfId="1636" priority="92">
      <formula>OR(ISNUMBER(SEARCH("PPP 1",K25)),ISNUMBER(SEARCH("PPP 2",K25)))</formula>
    </cfRule>
    <cfRule type="expression" dxfId="1635" priority="93">
      <formula>ISNUMBER(SEARCH("FORM",K25))</formula>
    </cfRule>
    <cfRule type="expression" dxfId="1634" priority="94">
      <formula>ISNUMBER(SEARCH("ASA",K25))</formula>
    </cfRule>
    <cfRule type="expression" dxfId="1633" priority="95">
      <formula>OR(ISNUMBER(SEARCH("ATM",K25)),ISNUMBER(SEARCH("ATA",K25)))</formula>
    </cfRule>
    <cfRule type="expression" dxfId="1632" priority="96">
      <formula>ISNUMBER(SEARCH("TP",K25))</formula>
    </cfRule>
    <cfRule type="expression" dxfId="1631" priority="97">
      <formula>ISNUMBER(SEARCH("CSE",K25))</formula>
    </cfRule>
    <cfRule type="expression" dxfId="1630" priority="98">
      <formula>OR(ISNUMBER(SEARCH("CA",K25)),ISNUMBER(SEARCH("RC",K25)))</formula>
    </cfRule>
  </conditionalFormatting>
  <conditionalFormatting sqref="L7">
    <cfRule type="expression" dxfId="1629" priority="108">
      <formula>OR(ISNUMBER(SEARCH("PPP 1",L7)),ISNUMBER(SEARCH("PPP 2",L7)))</formula>
    </cfRule>
    <cfRule type="expression" dxfId="1628" priority="109">
      <formula>ISNUMBER(SEARCH("FORM",L7))</formula>
    </cfRule>
    <cfRule type="expression" dxfId="1627" priority="110">
      <formula>ISNUMBER(SEARCH("ASA",L7))</formula>
    </cfRule>
    <cfRule type="expression" dxfId="1626" priority="111">
      <formula>OR(ISNUMBER(SEARCH("ATM",L7)),ISNUMBER(SEARCH("ATA",L7)))</formula>
    </cfRule>
    <cfRule type="expression" dxfId="1625" priority="112">
      <formula>ISNUMBER(SEARCH("TP",L7))</formula>
    </cfRule>
    <cfRule type="expression" dxfId="1624" priority="113">
      <formula>ISNUMBER(SEARCH("CSE",L7))</formula>
    </cfRule>
    <cfRule type="expression" dxfId="1623" priority="114">
      <formula>OR(ISNUMBER(SEARCH("CA",L7)),ISNUMBER(SEARCH("RC",L7)))</formula>
    </cfRule>
    <cfRule type="expression" dxfId="1622" priority="115">
      <formula>OR(ISNUMBER(SEARCH("PPP 1",L7)),ISNUMBER(SEARCH("PPP 2",L7)))</formula>
    </cfRule>
    <cfRule type="expression" dxfId="1621" priority="116">
      <formula>ISNUMBER(SEARCH("FORM",L7))</formula>
    </cfRule>
    <cfRule type="expression" dxfId="1620" priority="117">
      <formula>ISNUMBER(SEARCH("ASA",L7))</formula>
    </cfRule>
    <cfRule type="expression" dxfId="1619" priority="118">
      <formula>OR(ISNUMBER(SEARCH("ATM",L7)),ISNUMBER(SEARCH("ATA",L7)))</formula>
    </cfRule>
    <cfRule type="expression" dxfId="1618" priority="119">
      <formula>ISNUMBER(SEARCH("TP",L7))</formula>
    </cfRule>
    <cfRule type="expression" dxfId="1617" priority="120">
      <formula>ISNUMBER(SEARCH("CSE",L7))</formula>
    </cfRule>
    <cfRule type="expression" dxfId="1616" priority="121">
      <formula>OR(ISNUMBER(SEARCH("CA",L7)),ISNUMBER(SEARCH("RC",L7)))</formula>
    </cfRule>
  </conditionalFormatting>
  <conditionalFormatting sqref="L25:M25 L29:M29">
    <cfRule type="expression" dxfId="1615" priority="129">
      <formula>OR(ISNUMBER(SEARCH("PPP 1",L25)),ISNUMBER(SEARCH("PPP 2",L25)))</formula>
    </cfRule>
    <cfRule type="expression" dxfId="1614" priority="130">
      <formula>ISNUMBER(SEARCH("FORM",L25))</formula>
    </cfRule>
    <cfRule type="expression" dxfId="1613" priority="131">
      <formula>ISNUMBER(SEARCH("ASA",L25))</formula>
    </cfRule>
    <cfRule type="expression" dxfId="1612" priority="132">
      <formula>OR(ISNUMBER(SEARCH("ATM",L25)),ISNUMBER(SEARCH("ATA",L25)))</formula>
    </cfRule>
    <cfRule type="expression" dxfId="1611" priority="133">
      <formula>ISNUMBER(SEARCH("TP",L25))</formula>
    </cfRule>
    <cfRule type="expression" dxfId="1610" priority="134">
      <formula>ISNUMBER(SEARCH("CSE",L25))</formula>
    </cfRule>
    <cfRule type="expression" dxfId="1609" priority="135">
      <formula>OR(ISNUMBER(SEARCH("CA",L25)),ISNUMBER(SEARCH("RC",L25)))</formula>
    </cfRule>
  </conditionalFormatting>
  <conditionalFormatting sqref="L27:M27">
    <cfRule type="expression" dxfId="1608" priority="192">
      <formula>OR(ISNUMBER(SEARCH("PPP 1",L27)),ISNUMBER(SEARCH("PPP 2",L27)))</formula>
    </cfRule>
    <cfRule type="expression" dxfId="1607" priority="193">
      <formula>ISNUMBER(SEARCH("FORM",L27))</formula>
    </cfRule>
    <cfRule type="expression" dxfId="1606" priority="194">
      <formula>ISNUMBER(SEARCH("ASA",L27))</formula>
    </cfRule>
    <cfRule type="expression" dxfId="1605" priority="195">
      <formula>OR(ISNUMBER(SEARCH("ATM",L27)),ISNUMBER(SEARCH("ATA",L27)))</formula>
    </cfRule>
    <cfRule type="expression" dxfId="1604" priority="196">
      <formula>ISNUMBER(SEARCH("TP",L27))</formula>
    </cfRule>
    <cfRule type="expression" dxfId="1603" priority="197">
      <formula>ISNUMBER(SEARCH("CSE",L27))</formula>
    </cfRule>
    <cfRule type="expression" dxfId="1602" priority="198">
      <formula>OR(ISNUMBER(SEARCH("CA",L27)),ISNUMBER(SEARCH("RC",L27)))</formula>
    </cfRule>
  </conditionalFormatting>
  <conditionalFormatting sqref="L28:M28">
    <cfRule type="expression" dxfId="1601" priority="143">
      <formula>OR(ISNUMBER(SEARCH("PPP 1",L28)),ISNUMBER(SEARCH("PPP 2",L28)))</formula>
    </cfRule>
    <cfRule type="expression" dxfId="1600" priority="144">
      <formula>ISNUMBER(SEARCH("FORM",L28))</formula>
    </cfRule>
    <cfRule type="expression" dxfId="1599" priority="145">
      <formula>ISNUMBER(SEARCH("ASA",L28))</formula>
    </cfRule>
    <cfRule type="expression" dxfId="1598" priority="146">
      <formula>OR(ISNUMBER(SEARCH("ATM",L28)),ISNUMBER(SEARCH("ATA",L28)))</formula>
    </cfRule>
    <cfRule type="expression" dxfId="1597" priority="147">
      <formula>ISNUMBER(SEARCH("TP",L28))</formula>
    </cfRule>
    <cfRule type="expression" dxfId="1596" priority="148">
      <formula>ISNUMBER(SEARCH("CSE",L28))</formula>
    </cfRule>
    <cfRule type="expression" dxfId="1595" priority="149">
      <formula>OR(ISNUMBER(SEARCH("CA",L28)),ISNUMBER(SEARCH("RC",L28)))</formula>
    </cfRule>
  </conditionalFormatting>
  <conditionalFormatting sqref="L25:R25">
    <cfRule type="expression" dxfId="1594" priority="249">
      <formula>OR(ISNUMBER(SEARCH("PPP 1",L25)),ISNUMBER(SEARCH("PPP 2",L25)))</formula>
    </cfRule>
    <cfRule type="expression" dxfId="1593" priority="250">
      <formula>ISNUMBER(SEARCH("FORM",L25))</formula>
    </cfRule>
    <cfRule type="expression" dxfId="1592" priority="251">
      <formula>ISNUMBER(SEARCH("ASA",L25))</formula>
    </cfRule>
    <cfRule type="expression" dxfId="1591" priority="252">
      <formula>OR(ISNUMBER(SEARCH("ATM",L25)),ISNUMBER(SEARCH("ATA",L25)))</formula>
    </cfRule>
    <cfRule type="expression" dxfId="1590" priority="253">
      <formula>ISNUMBER(SEARCH("TP",L25))</formula>
    </cfRule>
    <cfRule type="expression" dxfId="1589" priority="254">
      <formula>ISNUMBER(SEARCH("CSE",L25))</formula>
    </cfRule>
    <cfRule type="expression" dxfId="1588" priority="255">
      <formula>OR(ISNUMBER(SEARCH("CA",L25)),ISNUMBER(SEARCH("RC",L25)))</formula>
    </cfRule>
  </conditionalFormatting>
  <conditionalFormatting sqref="M25:M26 M29">
    <cfRule type="expression" dxfId="1587" priority="122">
      <formula>OR(ISNUMBER(SEARCH("PPP 1",M25)),ISNUMBER(SEARCH("PPP 2",M25)))</formula>
    </cfRule>
    <cfRule type="expression" dxfId="1586" priority="123">
      <formula>ISNUMBER(SEARCH("FORM",M25))</formula>
    </cfRule>
    <cfRule type="expression" dxfId="1585" priority="124">
      <formula>ISNUMBER(SEARCH("ASA",M25))</formula>
    </cfRule>
    <cfRule type="expression" dxfId="1584" priority="125">
      <formula>OR(ISNUMBER(SEARCH("ATM",M25)),ISNUMBER(SEARCH("ATA",M25)))</formula>
    </cfRule>
    <cfRule type="expression" dxfId="1583" priority="126">
      <formula>ISNUMBER(SEARCH("TP",M25))</formula>
    </cfRule>
    <cfRule type="expression" dxfId="1582" priority="127">
      <formula>ISNUMBER(SEARCH("CSE",M25))</formula>
    </cfRule>
    <cfRule type="expression" dxfId="1581" priority="128">
      <formula>OR(ISNUMBER(SEARCH("CA",M25)),ISNUMBER(SEARCH("RC",M25)))</formula>
    </cfRule>
  </conditionalFormatting>
  <conditionalFormatting sqref="M25:M27">
    <cfRule type="expression" dxfId="1580" priority="228">
      <formula>OR(ISNUMBER(SEARCH("PPP 1",M25)),ISNUMBER(SEARCH("PPP 2",M25)))</formula>
    </cfRule>
    <cfRule type="expression" dxfId="1579" priority="229">
      <formula>ISNUMBER(SEARCH("FORM",M25))</formula>
    </cfRule>
    <cfRule type="expression" dxfId="1578" priority="230">
      <formula>ISNUMBER(SEARCH("ASA",M25))</formula>
    </cfRule>
    <cfRule type="expression" dxfId="1577" priority="231">
      <formula>OR(ISNUMBER(SEARCH("ATM",M25)),ISNUMBER(SEARCH("ATA",M25)))</formula>
    </cfRule>
    <cfRule type="expression" dxfId="1576" priority="232">
      <formula>ISNUMBER(SEARCH("TP",M25))</formula>
    </cfRule>
    <cfRule type="expression" dxfId="1575" priority="233">
      <formula>ISNUMBER(SEARCH("CSE",M25))</formula>
    </cfRule>
    <cfRule type="expression" dxfId="1574" priority="234">
      <formula>OR(ISNUMBER(SEARCH("CA",M25)),ISNUMBER(SEARCH("RC",M25)))</formula>
    </cfRule>
  </conditionalFormatting>
  <conditionalFormatting sqref="M27:M28">
    <cfRule type="expression" dxfId="1573" priority="185">
      <formula>OR(ISNUMBER(SEARCH("PPP 1",M27)),ISNUMBER(SEARCH("PPP 2",M27)))</formula>
    </cfRule>
    <cfRule type="expression" dxfId="1572" priority="186">
      <formula>ISNUMBER(SEARCH("FORM",M27))</formula>
    </cfRule>
    <cfRule type="expression" dxfId="1571" priority="187">
      <formula>ISNUMBER(SEARCH("ASA",M27))</formula>
    </cfRule>
    <cfRule type="expression" dxfId="1570" priority="188">
      <formula>OR(ISNUMBER(SEARCH("ATM",M27)),ISNUMBER(SEARCH("ATA",M27)))</formula>
    </cfRule>
    <cfRule type="expression" dxfId="1569" priority="189">
      <formula>ISNUMBER(SEARCH("TP",M27))</formula>
    </cfRule>
    <cfRule type="expression" dxfId="1568" priority="190">
      <formula>ISNUMBER(SEARCH("CSE",M27))</formula>
    </cfRule>
    <cfRule type="expression" dxfId="1567" priority="191">
      <formula>OR(ISNUMBER(SEARCH("CA",M27)),ISNUMBER(SEARCH("RC",M27)))</formula>
    </cfRule>
  </conditionalFormatting>
  <conditionalFormatting sqref="M28:M29">
    <cfRule type="expression" dxfId="1566" priority="136">
      <formula>OR(ISNUMBER(SEARCH("PPP 1",M28)),ISNUMBER(SEARCH("PPP 2",M28)))</formula>
    </cfRule>
    <cfRule type="expression" dxfId="1565" priority="137">
      <formula>ISNUMBER(SEARCH("FORM",M28))</formula>
    </cfRule>
    <cfRule type="expression" dxfId="1564" priority="138">
      <formula>ISNUMBER(SEARCH("ASA",M28))</formula>
    </cfRule>
    <cfRule type="expression" dxfId="1563" priority="139">
      <formula>OR(ISNUMBER(SEARCH("ATM",M28)),ISNUMBER(SEARCH("ATA",M28)))</formula>
    </cfRule>
    <cfRule type="expression" dxfId="1562" priority="140">
      <formula>ISNUMBER(SEARCH("TP",M28))</formula>
    </cfRule>
    <cfRule type="expression" dxfId="1561" priority="141">
      <formula>ISNUMBER(SEARCH("CSE",M28))</formula>
    </cfRule>
    <cfRule type="expression" dxfId="1560" priority="142">
      <formula>OR(ISNUMBER(SEARCH("CA",M28)),ISNUMBER(SEARCH("RC",M28)))</formula>
    </cfRule>
  </conditionalFormatting>
  <conditionalFormatting sqref="O26">
    <cfRule type="expression" dxfId="1559" priority="221">
      <formula>OR(ISNUMBER(SEARCH("PPP 1",O26)),ISNUMBER(SEARCH("PPP 2",O26)))</formula>
    </cfRule>
    <cfRule type="expression" dxfId="1558" priority="222">
      <formula>ISNUMBER(SEARCH("FORM",O26))</formula>
    </cfRule>
    <cfRule type="expression" dxfId="1557" priority="223">
      <formula>ISNUMBER(SEARCH("ASA",O26))</formula>
    </cfRule>
    <cfRule type="expression" dxfId="1556" priority="224">
      <formula>OR(ISNUMBER(SEARCH("ATM",O26)),ISNUMBER(SEARCH("ATA",O26)))</formula>
    </cfRule>
    <cfRule type="expression" dxfId="1555" priority="225">
      <formula>ISNUMBER(SEARCH("TP",O26))</formula>
    </cfRule>
    <cfRule type="expression" dxfId="1554" priority="226">
      <formula>ISNUMBER(SEARCH("CSE",O26))</formula>
    </cfRule>
    <cfRule type="expression" dxfId="1553" priority="227">
      <formula>OR(ISNUMBER(SEARCH("CA",O26)),ISNUMBER(SEARCH("RC",O26)))</formula>
    </cfRule>
  </conditionalFormatting>
  <conditionalFormatting sqref="S27:S28">
    <cfRule type="expression" dxfId="1552" priority="178">
      <formula>OR(ISNUMBER(SEARCH("PPP 1",S27)),ISNUMBER(SEARCH("PPP 2",S27)))</formula>
    </cfRule>
    <cfRule type="expression" dxfId="1551" priority="179">
      <formula>ISNUMBER(SEARCH("FORM",S27))</formula>
    </cfRule>
    <cfRule type="expression" dxfId="1550" priority="180">
      <formula>ISNUMBER(SEARCH("ASA",S27))</formula>
    </cfRule>
    <cfRule type="expression" dxfId="1549" priority="181">
      <formula>OR(ISNUMBER(SEARCH("ATM",S27)),ISNUMBER(SEARCH("ATA",S27)))</formula>
    </cfRule>
    <cfRule type="expression" dxfId="1548" priority="182">
      <formula>ISNUMBER(SEARCH("TP",S27))</formula>
    </cfRule>
    <cfRule type="expression" dxfId="1547" priority="183">
      <formula>ISNUMBER(SEARCH("CSE",S27))</formula>
    </cfRule>
    <cfRule type="expression" dxfId="1546" priority="184">
      <formula>OR(ISNUMBER(SEARCH("CA",S27)),ISNUMBER(SEARCH("RC",S27)))</formula>
    </cfRule>
  </conditionalFormatting>
  <conditionalFormatting sqref="S25:T25 T29">
    <cfRule type="expression" dxfId="1545" priority="157">
      <formula>OR(ISNUMBER(SEARCH("PPP 1",S25)),ISNUMBER(SEARCH("PPP 2",S25)))</formula>
    </cfRule>
    <cfRule type="expression" dxfId="1544" priority="158">
      <formula>ISNUMBER(SEARCH("FORM",S25))</formula>
    </cfRule>
    <cfRule type="expression" dxfId="1543" priority="159">
      <formula>ISNUMBER(SEARCH("ASA",S25))</formula>
    </cfRule>
    <cfRule type="expression" dxfId="1542" priority="160">
      <formula>OR(ISNUMBER(SEARCH("ATM",S25)),ISNUMBER(SEARCH("ATA",S25)))</formula>
    </cfRule>
    <cfRule type="expression" dxfId="1541" priority="161">
      <formula>ISNUMBER(SEARCH("TP",S25))</formula>
    </cfRule>
    <cfRule type="expression" dxfId="1540" priority="162">
      <formula>ISNUMBER(SEARCH("CSE",S25))</formula>
    </cfRule>
    <cfRule type="expression" dxfId="1539" priority="163">
      <formula>OR(ISNUMBER(SEARCH("CA",S25)),ISNUMBER(SEARCH("RC",S25)))</formula>
    </cfRule>
  </conditionalFormatting>
  <conditionalFormatting sqref="S27:T28">
    <cfRule type="expression" dxfId="1538" priority="164">
      <formula>OR(ISNUMBER(SEARCH("PPP 1",S27)),ISNUMBER(SEARCH("PPP 2",S27)))</formula>
    </cfRule>
    <cfRule type="expression" dxfId="1537" priority="165">
      <formula>ISNUMBER(SEARCH("FORM",S27))</formula>
    </cfRule>
    <cfRule type="expression" dxfId="1536" priority="166">
      <formula>ISNUMBER(SEARCH("ASA",S27))</formula>
    </cfRule>
    <cfRule type="expression" dxfId="1535" priority="167">
      <formula>OR(ISNUMBER(SEARCH("ATM",S27)),ISNUMBER(SEARCH("ATA",S27)))</formula>
    </cfRule>
    <cfRule type="expression" dxfId="1534" priority="168">
      <formula>ISNUMBER(SEARCH("TP",S27))</formula>
    </cfRule>
    <cfRule type="expression" dxfId="1533" priority="169">
      <formula>ISNUMBER(SEARCH("CSE",S27))</formula>
    </cfRule>
    <cfRule type="expression" dxfId="1532" priority="170">
      <formula>OR(ISNUMBER(SEARCH("CA",S27)),ISNUMBER(SEARCH("RC",S27)))</formula>
    </cfRule>
    <cfRule type="expression" dxfId="1531" priority="171">
      <formula>OR(ISNUMBER(SEARCH("PPP 1",S27)),ISNUMBER(SEARCH("PPP 2",S27)))</formula>
    </cfRule>
    <cfRule type="expression" dxfId="1530" priority="172">
      <formula>ISNUMBER(SEARCH("FORM",S27))</formula>
    </cfRule>
    <cfRule type="expression" dxfId="1529" priority="173">
      <formula>ISNUMBER(SEARCH("ASA",S27))</formula>
    </cfRule>
    <cfRule type="expression" dxfId="1528" priority="174">
      <formula>OR(ISNUMBER(SEARCH("ATM",S27)),ISNUMBER(SEARCH("ATA",S27)))</formula>
    </cfRule>
    <cfRule type="expression" dxfId="1527" priority="175">
      <formula>ISNUMBER(SEARCH("TP",S27))</formula>
    </cfRule>
    <cfRule type="expression" dxfId="1526" priority="176">
      <formula>ISNUMBER(SEARCH("CSE",S27))</formula>
    </cfRule>
    <cfRule type="expression" dxfId="1525" priority="177">
      <formula>OR(ISNUMBER(SEARCH("CA",S27)),ISNUMBER(SEARCH("RC",S27)))</formula>
    </cfRule>
  </conditionalFormatting>
  <conditionalFormatting sqref="S28:T28">
    <cfRule type="expression" dxfId="1524" priority="150">
      <formula>OR(ISNUMBER(SEARCH("PPP 1",S28)),ISNUMBER(SEARCH("PPP 2",S28)))</formula>
    </cfRule>
    <cfRule type="expression" dxfId="1523" priority="151">
      <formula>ISNUMBER(SEARCH("FORM",S28))</formula>
    </cfRule>
    <cfRule type="expression" dxfId="1522" priority="152">
      <formula>ISNUMBER(SEARCH("ASA",S28))</formula>
    </cfRule>
    <cfRule type="expression" dxfId="1521" priority="153">
      <formula>OR(ISNUMBER(SEARCH("ATM",S28)),ISNUMBER(SEARCH("ATA",S28)))</formula>
    </cfRule>
    <cfRule type="expression" dxfId="1520" priority="154">
      <formula>ISNUMBER(SEARCH("TP",S28))</formula>
    </cfRule>
    <cfRule type="expression" dxfId="1519" priority="155">
      <formula>ISNUMBER(SEARCH("CSE",S28))</formula>
    </cfRule>
    <cfRule type="expression" dxfId="1518" priority="156">
      <formula>OR(ISNUMBER(SEARCH("CA",S28)),ISNUMBER(SEARCH("RC",S28)))</formula>
    </cfRule>
  </conditionalFormatting>
  <conditionalFormatting sqref="S29:T29">
    <cfRule type="expression" dxfId="1517" priority="84">
      <formula>OR(ISNUMBER(SEARCH("PPP 1",S29)),ISNUMBER(SEARCH("PPP 2",S29)))</formula>
    </cfRule>
    <cfRule type="expression" dxfId="1516" priority="85">
      <formula>ISNUMBER(SEARCH("FORM",S29))</formula>
    </cfRule>
    <cfRule type="expression" dxfId="1515" priority="86">
      <formula>ISNUMBER(SEARCH("ASA",S29))</formula>
    </cfRule>
    <cfRule type="expression" dxfId="1514" priority="87">
      <formula>OR(ISNUMBER(SEARCH("ATM",S29)),ISNUMBER(SEARCH("ATA",S29)))</formula>
    </cfRule>
    <cfRule type="expression" dxfId="1513" priority="88">
      <formula>ISNUMBER(SEARCH("TP",S29))</formula>
    </cfRule>
    <cfRule type="expression" dxfId="1512" priority="89">
      <formula>ISNUMBER(SEARCH("CSE",S29))</formula>
    </cfRule>
    <cfRule type="expression" dxfId="1511" priority="90">
      <formula>OR(ISNUMBER(SEARCH("CA",S29)),ISNUMBER(SEARCH("RC",S29)))</formula>
    </cfRule>
  </conditionalFormatting>
  <conditionalFormatting sqref="T29">
    <cfRule type="expression" dxfId="1510" priority="70">
      <formula>OR(ISNUMBER(SEARCH("PPP 1",T29)),ISNUMBER(SEARCH("PPP 2",T29)))</formula>
    </cfRule>
    <cfRule type="expression" dxfId="1509" priority="71">
      <formula>ISNUMBER(SEARCH("FORM",T29))</formula>
    </cfRule>
    <cfRule type="expression" dxfId="1508" priority="72">
      <formula>ISNUMBER(SEARCH("ASA",T29))</formula>
    </cfRule>
    <cfRule type="expression" dxfId="1507" priority="73">
      <formula>OR(ISNUMBER(SEARCH("ATM",T29)),ISNUMBER(SEARCH("ATA",T29)))</formula>
    </cfRule>
    <cfRule type="expression" dxfId="1506" priority="74">
      <formula>ISNUMBER(SEARCH("TP",T29))</formula>
    </cfRule>
    <cfRule type="expression" dxfId="1505" priority="75">
      <formula>ISNUMBER(SEARCH("CSE",T29))</formula>
    </cfRule>
    <cfRule type="expression" dxfId="1504" priority="76">
      <formula>OR(ISNUMBER(SEARCH("CA",T29)),ISNUMBER(SEARCH("RC",T29)))</formula>
    </cfRule>
    <cfRule type="expression" dxfId="1503" priority="77">
      <formula>OR(ISNUMBER(SEARCH("PPP 1",T29)),ISNUMBER(SEARCH("PPP 2",T29)))</formula>
    </cfRule>
    <cfRule type="expression" dxfId="1502" priority="78">
      <formula>ISNUMBER(SEARCH("FORM",T29))</formula>
    </cfRule>
    <cfRule type="expression" dxfId="1501" priority="79">
      <formula>ISNUMBER(SEARCH("ASA",T29))</formula>
    </cfRule>
    <cfRule type="expression" dxfId="1500" priority="80">
      <formula>OR(ISNUMBER(SEARCH("ATM",T29)),ISNUMBER(SEARCH("ATA",T29)))</formula>
    </cfRule>
    <cfRule type="expression" dxfId="1499" priority="81">
      <formula>ISNUMBER(SEARCH("TP",T29))</formula>
    </cfRule>
    <cfRule type="expression" dxfId="1498" priority="82">
      <formula>ISNUMBER(SEARCH("CSE",T29))</formula>
    </cfRule>
    <cfRule type="expression" dxfId="1497" priority="83">
      <formula>OR(ISNUMBER(SEARCH("CA",T29)),ISNUMBER(SEARCH("RC",T29)))</formula>
    </cfRule>
  </conditionalFormatting>
  <conditionalFormatting sqref="Z25">
    <cfRule type="expression" dxfId="1496" priority="256">
      <formula>OR(ISNUMBER(SEARCH("PPP 1",Z25)),ISNUMBER(SEARCH("PPP 2",Z25)))</formula>
    </cfRule>
    <cfRule type="expression" dxfId="1495" priority="257">
      <formula>ISNUMBER(SEARCH("FORM",Z25))</formula>
    </cfRule>
    <cfRule type="expression" dxfId="1494" priority="258">
      <formula>ISNUMBER(SEARCH("ASA",Z25))</formula>
    </cfRule>
    <cfRule type="expression" dxfId="1493" priority="259">
      <formula>OR(ISNUMBER(SEARCH("ATM",Z25)),ISNUMBER(SEARCH("ATA",Z25)))</formula>
    </cfRule>
    <cfRule type="expression" dxfId="1492" priority="260">
      <formula>ISNUMBER(SEARCH("TP",Z25))</formula>
    </cfRule>
    <cfRule type="expression" dxfId="1491" priority="261">
      <formula>ISNUMBER(SEARCH("CSE",Z25))</formula>
    </cfRule>
    <cfRule type="expression" dxfId="1490" priority="262">
      <formula>OR(ISNUMBER(SEARCH("CA",Z25)),ISNUMBER(SEARCH("RC",Z25)))</formula>
    </cfRule>
  </conditionalFormatting>
  <conditionalFormatting sqref="Z25:AA25">
    <cfRule type="expression" dxfId="1489" priority="235">
      <formula>OR(ISNUMBER(SEARCH("PPP 1",Z25)),ISNUMBER(SEARCH("PPP 2",Z25)))</formula>
    </cfRule>
    <cfRule type="expression" dxfId="1488" priority="236">
      <formula>ISNUMBER(SEARCH("FORM",Z25))</formula>
    </cfRule>
    <cfRule type="expression" dxfId="1487" priority="237">
      <formula>ISNUMBER(SEARCH("ASA",Z25))</formula>
    </cfRule>
    <cfRule type="expression" dxfId="1486" priority="238">
      <formula>OR(ISNUMBER(SEARCH("ATM",Z25)),ISNUMBER(SEARCH("ATA",Z25)))</formula>
    </cfRule>
    <cfRule type="expression" dxfId="1485" priority="239">
      <formula>ISNUMBER(SEARCH("TP",Z25))</formula>
    </cfRule>
    <cfRule type="expression" dxfId="1484" priority="240">
      <formula>ISNUMBER(SEARCH("CSE",Z25))</formula>
    </cfRule>
    <cfRule type="expression" dxfId="1483" priority="241">
      <formula>OR(ISNUMBER(SEARCH("CA",Z25)),ISNUMBER(SEARCH("RC",Z25)))</formula>
    </cfRule>
  </conditionalFormatting>
  <conditionalFormatting sqref="Z25:AA26">
    <cfRule type="expression" dxfId="1482" priority="242">
      <formula>OR(ISNUMBER(SEARCH("PPP 1",Z25)),ISNUMBER(SEARCH("PPP 2",Z25)))</formula>
    </cfRule>
    <cfRule type="expression" dxfId="1481" priority="243">
      <formula>ISNUMBER(SEARCH("FORM",Z25))</formula>
    </cfRule>
    <cfRule type="expression" dxfId="1480" priority="244">
      <formula>ISNUMBER(SEARCH("ASA",Z25))</formula>
    </cfRule>
    <cfRule type="expression" dxfId="1479" priority="245">
      <formula>OR(ISNUMBER(SEARCH("ATM",Z25)),ISNUMBER(SEARCH("ATA",Z25)))</formula>
    </cfRule>
    <cfRule type="expression" dxfId="1478" priority="246">
      <formula>ISNUMBER(SEARCH("TP",Z25))</formula>
    </cfRule>
    <cfRule type="expression" dxfId="1477" priority="247">
      <formula>ISNUMBER(SEARCH("CSE",Z25))</formula>
    </cfRule>
    <cfRule type="expression" dxfId="1476" priority="248">
      <formula>OR(ISNUMBER(SEARCH("CA",Z25)),ISNUMBER(SEARCH("RC",Z25)))</formula>
    </cfRule>
  </conditionalFormatting>
  <conditionalFormatting sqref="Z29:AA29">
    <cfRule type="expression" dxfId="1475" priority="63">
      <formula>OR(ISNUMBER(SEARCH("PPP 1",Z29)),ISNUMBER(SEARCH("PPP 2",Z29)))</formula>
    </cfRule>
    <cfRule type="expression" dxfId="1474" priority="64">
      <formula>ISNUMBER(SEARCH("FORM",Z29))</formula>
    </cfRule>
    <cfRule type="expression" dxfId="1473" priority="65">
      <formula>ISNUMBER(SEARCH("ASA",Z29))</formula>
    </cfRule>
    <cfRule type="expression" dxfId="1472" priority="66">
      <formula>OR(ISNUMBER(SEARCH("ATM",Z29)),ISNUMBER(SEARCH("ATA",Z29)))</formula>
    </cfRule>
    <cfRule type="expression" dxfId="1471" priority="67">
      <formula>ISNUMBER(SEARCH("TP",Z29))</formula>
    </cfRule>
    <cfRule type="expression" dxfId="1470" priority="68">
      <formula>ISNUMBER(SEARCH("CSE",Z29))</formula>
    </cfRule>
    <cfRule type="expression" dxfId="1469" priority="69">
      <formula>OR(ISNUMBER(SEARCH("CA",Z29)),ISNUMBER(SEARCH("RC",Z29)))</formula>
    </cfRule>
  </conditionalFormatting>
  <conditionalFormatting sqref="AA29">
    <cfRule type="expression" dxfId="1468" priority="42">
      <formula>OR(ISNUMBER(SEARCH("PPP 1",AA29)),ISNUMBER(SEARCH("PPP 2",AA29)))</formula>
    </cfRule>
    <cfRule type="expression" dxfId="1467" priority="43">
      <formula>ISNUMBER(SEARCH("FORM",AA29))</formula>
    </cfRule>
    <cfRule type="expression" dxfId="1466" priority="44">
      <formula>ISNUMBER(SEARCH("ASA",AA29))</formula>
    </cfRule>
    <cfRule type="expression" dxfId="1465" priority="45">
      <formula>OR(ISNUMBER(SEARCH("ATM",AA29)),ISNUMBER(SEARCH("ATA",AA29)))</formula>
    </cfRule>
    <cfRule type="expression" dxfId="1464" priority="46">
      <formula>ISNUMBER(SEARCH("TP",AA29))</formula>
    </cfRule>
    <cfRule type="expression" dxfId="1463" priority="47">
      <formula>ISNUMBER(SEARCH("CSE",AA29))</formula>
    </cfRule>
    <cfRule type="expression" dxfId="1462" priority="48">
      <formula>OR(ISNUMBER(SEARCH("CA",AA29)),ISNUMBER(SEARCH("RC",AA29)))</formula>
    </cfRule>
    <cfRule type="expression" dxfId="1461" priority="49">
      <formula>OR(ISNUMBER(SEARCH("PPP 1",AA29)),ISNUMBER(SEARCH("PPP 2",AA29)))</formula>
    </cfRule>
    <cfRule type="expression" dxfId="1460" priority="50">
      <formula>ISNUMBER(SEARCH("FORM",AA29))</formula>
    </cfRule>
    <cfRule type="expression" dxfId="1459" priority="51">
      <formula>ISNUMBER(SEARCH("ASA",AA29))</formula>
    </cfRule>
    <cfRule type="expression" dxfId="1458" priority="52">
      <formula>OR(ISNUMBER(SEARCH("ATM",AA29)),ISNUMBER(SEARCH("ATA",AA29)))</formula>
    </cfRule>
    <cfRule type="expression" dxfId="1457" priority="53">
      <formula>ISNUMBER(SEARCH("TP",AA29))</formula>
    </cfRule>
    <cfRule type="expression" dxfId="1456" priority="54">
      <formula>ISNUMBER(SEARCH("CSE",AA29))</formula>
    </cfRule>
    <cfRule type="expression" dxfId="1455" priority="55">
      <formula>OR(ISNUMBER(SEARCH("CA",AA29)),ISNUMBER(SEARCH("RC",AA29)))</formula>
    </cfRule>
    <cfRule type="expression" dxfId="1454" priority="56">
      <formula>OR(ISNUMBER(SEARCH("PPP 1",AA29)),ISNUMBER(SEARCH("PPP 2",AA29)))</formula>
    </cfRule>
    <cfRule type="expression" dxfId="1453" priority="57">
      <formula>ISNUMBER(SEARCH("FORM",AA29))</formula>
    </cfRule>
    <cfRule type="expression" dxfId="1452" priority="58">
      <formula>ISNUMBER(SEARCH("ASA",AA29))</formula>
    </cfRule>
    <cfRule type="expression" dxfId="1451" priority="59">
      <formula>OR(ISNUMBER(SEARCH("ATM",AA29)),ISNUMBER(SEARCH("ATA",AA29)))</formula>
    </cfRule>
    <cfRule type="expression" dxfId="1450" priority="60">
      <formula>ISNUMBER(SEARCH("TP",AA29))</formula>
    </cfRule>
    <cfRule type="expression" dxfId="1449" priority="61">
      <formula>ISNUMBER(SEARCH("CSE",AA29))</formula>
    </cfRule>
    <cfRule type="expression" dxfId="1448" priority="62">
      <formula>OR(ISNUMBER(SEARCH("CA",AA29)),ISNUMBER(SEARCH("RC",AA29)))</formula>
    </cfRule>
  </conditionalFormatting>
  <conditionalFormatting sqref="AB6:AB28 AC8:AH28 K6:K7 N6:N24 Q7:Q22 O8:P22 R8:AA22 F8:M24 N9:R9 F10:F31 AB19:AF20 S22:T24 G23:AH24 O23:AA28 G25:N28 K25:K31 F29:AH31">
    <cfRule type="expression" dxfId="1447" priority="291">
      <formula>OR(ISNUMBER(SEARCH("PPP 1",F6)),ISNUMBER(SEARCH("PPP 2",F6)))</formula>
    </cfRule>
  </conditionalFormatting>
  <conditionalFormatting sqref="AB25:AC25">
    <cfRule type="expression" dxfId="1446" priority="285">
      <formula>OR(ISNUMBER(SEARCH("PPP 1",AB25)),ISNUMBER(SEARCH("PPP 2",AB25)))</formula>
    </cfRule>
    <cfRule type="expression" dxfId="1445" priority="286">
      <formula>ISNUMBER(SEARCH("ASA",AB25))</formula>
    </cfRule>
    <cfRule type="expression" dxfId="1444" priority="287">
      <formula>OR(ISNUMBER(SEARCH("ATM",AB25)),ISNUMBER(SEARCH("ATA",AB25)))</formula>
    </cfRule>
    <cfRule type="expression" dxfId="1443" priority="288">
      <formula>ISNUMBER(SEARCH("TP",AB25))</formula>
    </cfRule>
    <cfRule type="expression" dxfId="1442" priority="289">
      <formula>ISNUMBER(SEARCH("CSE",AB25))</formula>
    </cfRule>
    <cfRule type="expression" dxfId="1441" priority="290">
      <formula>OR(ISNUMBER(SEARCH("CA",AB25)),ISNUMBER(SEARCH("RC",AB25)))</formula>
    </cfRule>
  </conditionalFormatting>
  <conditionalFormatting sqref="AB27:AF27">
    <cfRule type="expression" dxfId="1440" priority="207">
      <formula>OR(ISNUMBER(SEARCH("PPP 1",AB27)),ISNUMBER(SEARCH("PPP 2",AB27)))</formula>
    </cfRule>
    <cfRule type="expression" dxfId="1439" priority="208">
      <formula>ISNUMBER(SEARCH("FORM",AB27))</formula>
    </cfRule>
    <cfRule type="expression" dxfId="1438" priority="209">
      <formula>ISNUMBER(SEARCH("ASA",AB27))</formula>
    </cfRule>
    <cfRule type="expression" dxfId="1437" priority="210">
      <formula>OR(ISNUMBER(SEARCH("ATM",AB27)),ISNUMBER(SEARCH("ATA",AB27)))</formula>
    </cfRule>
    <cfRule type="expression" dxfId="1436" priority="211">
      <formula>ISNUMBER(SEARCH("TP",AB27))</formula>
    </cfRule>
    <cfRule type="expression" dxfId="1435" priority="212">
      <formula>ISNUMBER(SEARCH("CSE",AB27))</formula>
    </cfRule>
    <cfRule type="expression" dxfId="1434" priority="213">
      <formula>OR(ISNUMBER(SEARCH("CA",AB27)),ISNUMBER(SEARCH("RC",AB27)))</formula>
    </cfRule>
    <cfRule type="expression" dxfId="1433" priority="214">
      <formula>OR(ISNUMBER(SEARCH("PPP 1",AB27)),ISNUMBER(SEARCH("PPP 2",AB27)))</formula>
    </cfRule>
    <cfRule type="expression" dxfId="1432" priority="215">
      <formula>ISNUMBER(SEARCH("FORM",AB27))</formula>
    </cfRule>
    <cfRule type="expression" dxfId="1431" priority="216">
      <formula>ISNUMBER(SEARCH("ASA",AB27))</formula>
    </cfRule>
    <cfRule type="expression" dxfId="1430" priority="217">
      <formula>OR(ISNUMBER(SEARCH("ATM",AB27)),ISNUMBER(SEARCH("ATA",AB27)))</formula>
    </cfRule>
    <cfRule type="expression" dxfId="1429" priority="218">
      <formula>ISNUMBER(SEARCH("TP",AB27))</formula>
    </cfRule>
    <cfRule type="expression" dxfId="1428" priority="219">
      <formula>ISNUMBER(SEARCH("CSE",AB27))</formula>
    </cfRule>
    <cfRule type="expression" dxfId="1427" priority="220">
      <formula>OR(ISNUMBER(SEARCH("CA",AB27)),ISNUMBER(SEARCH("RC",AB27)))</formula>
    </cfRule>
  </conditionalFormatting>
  <conditionalFormatting sqref="AD27:AF27">
    <cfRule type="expression" dxfId="1426" priority="264">
      <formula>OR(ISNUMBER(SEARCH("PPP 1",AD27)),ISNUMBER(SEARCH("PPP 2",AD27)))</formula>
    </cfRule>
    <cfRule type="expression" dxfId="1425" priority="265">
      <formula>ISNUMBER(SEARCH("FORM",AD27))</formula>
    </cfRule>
    <cfRule type="expression" dxfId="1424" priority="266">
      <formula>ISNUMBER(SEARCH("ASA",AD27))</formula>
    </cfRule>
    <cfRule type="expression" dxfId="1423" priority="267">
      <formula>OR(ISNUMBER(SEARCH("ATM",AD27)),ISNUMBER(SEARCH("ATA",AD27)))</formula>
    </cfRule>
    <cfRule type="expression" dxfId="1422" priority="268">
      <formula>ISNUMBER(SEARCH("TP",AD27))</formula>
    </cfRule>
    <cfRule type="expression" dxfId="1421" priority="269">
      <formula>ISNUMBER(SEARCH("CSE",AD27))</formula>
    </cfRule>
    <cfRule type="expression" dxfId="1420" priority="270">
      <formula>OR(ISNUMBER(SEARCH("CA",AD27)),ISNUMBER(SEARCH("RC",AD27)))</formula>
    </cfRule>
  </conditionalFormatting>
  <conditionalFormatting sqref="AG29:AH29">
    <cfRule type="expression" dxfId="1419" priority="35">
      <formula>OR(ISNUMBER(SEARCH("PPP 1",AG29)),ISNUMBER(SEARCH("PPP 2",AG29)))</formula>
    </cfRule>
    <cfRule type="expression" dxfId="1418" priority="36">
      <formula>ISNUMBER(SEARCH("FORM",AG29))</formula>
    </cfRule>
    <cfRule type="expression" dxfId="1417" priority="37">
      <formula>ISNUMBER(SEARCH("ASA",AG29))</formula>
    </cfRule>
    <cfRule type="expression" dxfId="1416" priority="38">
      <formula>OR(ISNUMBER(SEARCH("ATM",AG29)),ISNUMBER(SEARCH("ATA",AG29)))</formula>
    </cfRule>
    <cfRule type="expression" dxfId="1415" priority="39">
      <formula>ISNUMBER(SEARCH("TP",AG29))</formula>
    </cfRule>
    <cfRule type="expression" dxfId="1414" priority="40">
      <formula>ISNUMBER(SEARCH("CSE",AG29))</formula>
    </cfRule>
    <cfRule type="expression" dxfId="1413" priority="41">
      <formula>OR(ISNUMBER(SEARCH("CA",AG29)),ISNUMBER(SEARCH("RC",AG29)))</formula>
    </cfRule>
  </conditionalFormatting>
  <conditionalFormatting sqref="AH29">
    <cfRule type="expression" dxfId="1412" priority="14">
      <formula>OR(ISNUMBER(SEARCH("PPP 1",AH29)),ISNUMBER(SEARCH("PPP 2",AH29)))</formula>
    </cfRule>
    <cfRule type="expression" dxfId="1411" priority="15">
      <formula>ISNUMBER(SEARCH("FORM",AH29))</formula>
    </cfRule>
    <cfRule type="expression" dxfId="1410" priority="16">
      <formula>ISNUMBER(SEARCH("ASA",AH29))</formula>
    </cfRule>
    <cfRule type="expression" dxfId="1409" priority="17">
      <formula>OR(ISNUMBER(SEARCH("ATM",AH29)),ISNUMBER(SEARCH("ATA",AH29)))</formula>
    </cfRule>
    <cfRule type="expression" dxfId="1408" priority="18">
      <formula>ISNUMBER(SEARCH("TP",AH29))</formula>
    </cfRule>
    <cfRule type="expression" dxfId="1407" priority="19">
      <formula>ISNUMBER(SEARCH("CSE",AH29))</formula>
    </cfRule>
    <cfRule type="expression" dxfId="1406" priority="20">
      <formula>OR(ISNUMBER(SEARCH("CA",AH29)),ISNUMBER(SEARCH("RC",AH29)))</formula>
    </cfRule>
    <cfRule type="expression" dxfId="1405" priority="21">
      <formula>OR(ISNUMBER(SEARCH("PPP 1",AH29)),ISNUMBER(SEARCH("PPP 2",AH29)))</formula>
    </cfRule>
    <cfRule type="expression" dxfId="1404" priority="22">
      <formula>ISNUMBER(SEARCH("FORM",AH29))</formula>
    </cfRule>
    <cfRule type="expression" dxfId="1403" priority="23">
      <formula>ISNUMBER(SEARCH("ASA",AH29))</formula>
    </cfRule>
    <cfRule type="expression" dxfId="1402" priority="24">
      <formula>OR(ISNUMBER(SEARCH("ATM",AH29)),ISNUMBER(SEARCH("ATA",AH29)))</formula>
    </cfRule>
    <cfRule type="expression" dxfId="1401" priority="25">
      <formula>ISNUMBER(SEARCH("TP",AH29))</formula>
    </cfRule>
    <cfRule type="expression" dxfId="1400" priority="26">
      <formula>ISNUMBER(SEARCH("CSE",AH29))</formula>
    </cfRule>
    <cfRule type="expression" dxfId="1399" priority="27">
      <formula>OR(ISNUMBER(SEARCH("CA",AH29)),ISNUMBER(SEARCH("RC",AH29)))</formula>
    </cfRule>
    <cfRule type="expression" dxfId="1398" priority="28">
      <formula>OR(ISNUMBER(SEARCH("PPP 1",AH29)),ISNUMBER(SEARCH("PPP 2",AH29)))</formula>
    </cfRule>
    <cfRule type="expression" dxfId="1397" priority="29">
      <formula>ISNUMBER(SEARCH("FORM",AH29))</formula>
    </cfRule>
    <cfRule type="expression" dxfId="1396" priority="30">
      <formula>ISNUMBER(SEARCH("ASA",AH29))</formula>
    </cfRule>
    <cfRule type="expression" dxfId="1395" priority="31">
      <formula>OR(ISNUMBER(SEARCH("ATM",AH29)),ISNUMBER(SEARCH("ATA",AH29)))</formula>
    </cfRule>
    <cfRule type="expression" dxfId="1394" priority="32">
      <formula>ISNUMBER(SEARCH("TP",AH29))</formula>
    </cfRule>
    <cfRule type="expression" dxfId="1393" priority="33">
      <formula>ISNUMBER(SEARCH("CSE",AH29))</formula>
    </cfRule>
    <cfRule type="expression" dxfId="1392" priority="34">
      <formula>OR(ISNUMBER(SEARCH("CA",AH29)),ISNUMBER(SEARCH("RC",AH29)))</formula>
    </cfRule>
  </conditionalFormatting>
  <dataValidations count="1">
    <dataValidation allowBlank="1" showInputMessage="1" showErrorMessage="1" sqref="G9" xr:uid="{00000000-0002-0000-0600-000000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CCFF"/>
  </sheetPr>
  <dimension ref="A1:AO595"/>
  <sheetViews>
    <sheetView topLeftCell="A25" zoomScaleNormal="100" workbookViewId="0">
      <pane xSplit="6" topLeftCell="G1" activePane="topRight" state="frozen"/>
      <selection pane="topRight" activeCell="G12" sqref="G12"/>
      <selection activeCell="A25" sqref="A25"/>
    </sheetView>
  </sheetViews>
  <sheetFormatPr defaultColWidth="8.85546875" defaultRowHeight="15"/>
  <cols>
    <col min="1" max="1" width="12.42578125" customWidth="1"/>
    <col min="2" max="2" width="23.42578125" customWidth="1"/>
    <col min="3" max="3" width="20" customWidth="1"/>
    <col min="4" max="4" width="21.42578125" customWidth="1"/>
    <col min="5" max="5" width="19.28515625" customWidth="1"/>
    <col min="6" max="6" width="13.7109375" customWidth="1"/>
    <col min="7" max="11" width="9.42578125" customWidth="1"/>
    <col min="12" max="12" width="6.7109375" customWidth="1"/>
    <col min="13" max="13" width="6.28515625" customWidth="1"/>
    <col min="14" max="18" width="10.85546875" customWidth="1"/>
    <col min="19" max="19" width="8.28515625" customWidth="1"/>
    <col min="20" max="20" width="6.28515625" customWidth="1"/>
    <col min="21" max="21" width="9.28515625" customWidth="1"/>
    <col min="22" max="22" width="6.42578125" customWidth="1"/>
    <col min="23" max="25" width="9.28515625" customWidth="1"/>
    <col min="26" max="26" width="6.7109375" customWidth="1"/>
    <col min="27" max="27" width="6.28515625" customWidth="1"/>
    <col min="28" max="30" width="9.28515625" customWidth="1"/>
    <col min="31" max="32" width="10.7109375" customWidth="1"/>
    <col min="33" max="33" width="8.28515625" customWidth="1"/>
    <col min="34" max="34" width="6.28515625" customWidth="1"/>
    <col min="35" max="39" width="9.42578125" customWidth="1"/>
    <col min="40" max="40" width="6.7109375" customWidth="1"/>
    <col min="41" max="41" width="6.28515625" customWidth="1"/>
  </cols>
  <sheetData>
    <row r="1" spans="1:41" ht="18.75" customHeight="1">
      <c r="F1" s="13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1:41" ht="18.75" customHeight="1">
      <c r="F2" s="13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</row>
    <row r="3" spans="1:41" ht="34.5" customHeight="1">
      <c r="A3" s="15"/>
      <c r="B3" s="16"/>
      <c r="C3" s="16"/>
      <c r="D3" s="16"/>
      <c r="E3" s="16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 spans="1:41" ht="18.75" customHeight="1">
      <c r="A4" s="18" t="s">
        <v>23</v>
      </c>
      <c r="B4" s="422" t="s">
        <v>303</v>
      </c>
      <c r="C4" s="422"/>
      <c r="D4" s="422"/>
      <c r="E4" s="422"/>
      <c r="F4" s="429"/>
      <c r="G4" s="439" t="s">
        <v>304</v>
      </c>
      <c r="H4" s="439"/>
      <c r="I4" s="439"/>
      <c r="J4" s="439"/>
      <c r="K4" s="439"/>
      <c r="L4" s="439"/>
      <c r="M4" s="439"/>
      <c r="N4" s="438" t="s">
        <v>305</v>
      </c>
      <c r="O4" s="438"/>
      <c r="P4" s="438"/>
      <c r="Q4" s="438"/>
      <c r="R4" s="438"/>
      <c r="S4" s="438"/>
      <c r="T4" s="438"/>
      <c r="U4" s="438" t="s">
        <v>306</v>
      </c>
      <c r="V4" s="438"/>
      <c r="W4" s="438"/>
      <c r="X4" s="438"/>
      <c r="Y4" s="438"/>
      <c r="Z4" s="438"/>
      <c r="AA4" s="438"/>
      <c r="AB4" s="438" t="s">
        <v>307</v>
      </c>
      <c r="AC4" s="438"/>
      <c r="AD4" s="438"/>
      <c r="AE4" s="438"/>
      <c r="AF4" s="438"/>
      <c r="AG4" s="438"/>
      <c r="AH4" s="438"/>
      <c r="AI4" s="438" t="s">
        <v>308</v>
      </c>
      <c r="AJ4" s="438"/>
      <c r="AK4" s="438"/>
      <c r="AL4" s="438"/>
      <c r="AM4" s="438"/>
      <c r="AN4" s="438"/>
      <c r="AO4" s="438"/>
    </row>
    <row r="5" spans="1:41" ht="21" customHeight="1">
      <c r="A5" s="152" t="s">
        <v>24</v>
      </c>
      <c r="B5" s="422"/>
      <c r="C5" s="422"/>
      <c r="D5" s="422"/>
      <c r="E5" s="422"/>
      <c r="F5" s="429"/>
      <c r="G5" s="272"/>
      <c r="H5" s="272"/>
      <c r="I5" s="272"/>
      <c r="J5" s="343"/>
      <c r="K5" s="344"/>
      <c r="L5" s="344"/>
      <c r="M5" s="344"/>
      <c r="N5" s="344"/>
      <c r="O5" s="344"/>
      <c r="P5" s="344"/>
      <c r="Q5" s="344"/>
      <c r="R5" s="344"/>
      <c r="S5" s="344"/>
      <c r="T5" s="344"/>
      <c r="U5" s="344"/>
      <c r="V5" s="344"/>
      <c r="W5" s="344"/>
      <c r="X5" s="344"/>
      <c r="Y5" s="344"/>
      <c r="Z5" s="344"/>
      <c r="AA5" s="344"/>
      <c r="AB5" s="344"/>
      <c r="AC5" s="344"/>
      <c r="AD5" s="344"/>
      <c r="AE5" s="344"/>
      <c r="AF5" s="344"/>
      <c r="AG5" s="344"/>
      <c r="AH5" s="344"/>
      <c r="AI5" s="344"/>
      <c r="AJ5" s="344"/>
      <c r="AK5" s="344"/>
      <c r="AL5" s="344"/>
      <c r="AM5" s="344"/>
      <c r="AN5" s="344"/>
      <c r="AO5" s="345"/>
    </row>
    <row r="6" spans="1:41" ht="19.5" customHeight="1">
      <c r="A6" s="27" t="s">
        <v>25</v>
      </c>
      <c r="B6" s="421" t="s">
        <v>60</v>
      </c>
      <c r="C6" s="421"/>
      <c r="D6" s="421"/>
      <c r="E6" s="421"/>
      <c r="F6" s="429"/>
      <c r="G6" s="346" t="s">
        <v>61</v>
      </c>
      <c r="H6" s="347" t="s">
        <v>62</v>
      </c>
      <c r="I6" s="347" t="s">
        <v>63</v>
      </c>
      <c r="J6" s="348" t="s">
        <v>64</v>
      </c>
      <c r="K6" s="348" t="s">
        <v>65</v>
      </c>
      <c r="L6" s="349" t="s">
        <v>66</v>
      </c>
      <c r="M6" s="349" t="s">
        <v>67</v>
      </c>
      <c r="N6" s="348" t="s">
        <v>68</v>
      </c>
      <c r="O6" s="348" t="s">
        <v>62</v>
      </c>
      <c r="P6" s="348" t="s">
        <v>63</v>
      </c>
      <c r="Q6" s="348" t="s">
        <v>64</v>
      </c>
      <c r="R6" s="348" t="s">
        <v>65</v>
      </c>
      <c r="S6" s="349" t="s">
        <v>66</v>
      </c>
      <c r="T6" s="349" t="s">
        <v>67</v>
      </c>
      <c r="U6" s="348" t="s">
        <v>68</v>
      </c>
      <c r="V6" s="349" t="s">
        <v>62</v>
      </c>
      <c r="W6" s="348" t="s">
        <v>63</v>
      </c>
      <c r="X6" s="348" t="s">
        <v>64</v>
      </c>
      <c r="Y6" s="348" t="s">
        <v>65</v>
      </c>
      <c r="Z6" s="349" t="s">
        <v>66</v>
      </c>
      <c r="AA6" s="349" t="s">
        <v>67</v>
      </c>
      <c r="AB6" s="348" t="s">
        <v>68</v>
      </c>
      <c r="AC6" s="348" t="s">
        <v>62</v>
      </c>
      <c r="AD6" s="348" t="s">
        <v>63</v>
      </c>
      <c r="AE6" s="348" t="s">
        <v>64</v>
      </c>
      <c r="AF6" s="348" t="s">
        <v>65</v>
      </c>
      <c r="AG6" s="349" t="s">
        <v>66</v>
      </c>
      <c r="AH6" s="349" t="s">
        <v>67</v>
      </c>
      <c r="AI6" s="348" t="s">
        <v>68</v>
      </c>
      <c r="AJ6" s="348" t="s">
        <v>62</v>
      </c>
      <c r="AK6" s="348" t="s">
        <v>63</v>
      </c>
      <c r="AL6" s="348" t="s">
        <v>64</v>
      </c>
      <c r="AM6" s="348" t="s">
        <v>65</v>
      </c>
      <c r="AN6" s="349" t="s">
        <v>66</v>
      </c>
      <c r="AO6" s="350" t="s">
        <v>67</v>
      </c>
    </row>
    <row r="7" spans="1:41" ht="36" customHeight="1">
      <c r="A7" s="274" t="s">
        <v>26</v>
      </c>
      <c r="B7" s="275" t="s">
        <v>69</v>
      </c>
      <c r="C7" s="35" t="s">
        <v>70</v>
      </c>
      <c r="D7" s="276" t="s">
        <v>71</v>
      </c>
      <c r="E7" s="277" t="s">
        <v>72</v>
      </c>
      <c r="F7" s="429"/>
      <c r="G7" s="278">
        <v>29</v>
      </c>
      <c r="H7" s="279">
        <v>30</v>
      </c>
      <c r="I7" s="279">
        <v>1</v>
      </c>
      <c r="J7" s="279">
        <v>2</v>
      </c>
      <c r="K7" s="279">
        <v>3</v>
      </c>
      <c r="L7" s="281">
        <v>4</v>
      </c>
      <c r="M7" s="281">
        <v>5</v>
      </c>
      <c r="N7" s="279">
        <v>6</v>
      </c>
      <c r="O7" s="279">
        <v>7</v>
      </c>
      <c r="P7" s="279">
        <v>8</v>
      </c>
      <c r="Q7" s="279">
        <v>9</v>
      </c>
      <c r="R7" s="279">
        <v>10</v>
      </c>
      <c r="S7" s="281">
        <v>11</v>
      </c>
      <c r="T7" s="281">
        <v>12</v>
      </c>
      <c r="U7" s="279">
        <v>13</v>
      </c>
      <c r="V7" s="281">
        <v>14</v>
      </c>
      <c r="W7" s="279">
        <v>15</v>
      </c>
      <c r="X7" s="279">
        <v>16</v>
      </c>
      <c r="Y7" s="279">
        <v>17</v>
      </c>
      <c r="Z7" s="281">
        <v>18</v>
      </c>
      <c r="AA7" s="281">
        <v>19</v>
      </c>
      <c r="AB7" s="279">
        <v>20</v>
      </c>
      <c r="AC7" s="279">
        <v>21</v>
      </c>
      <c r="AD7" s="279">
        <v>22</v>
      </c>
      <c r="AE7" s="279">
        <v>23</v>
      </c>
      <c r="AF7" s="279">
        <v>24</v>
      </c>
      <c r="AG7" s="281">
        <v>25</v>
      </c>
      <c r="AH7" s="281">
        <v>26</v>
      </c>
      <c r="AI7" s="279">
        <v>27</v>
      </c>
      <c r="AJ7" s="279">
        <v>28</v>
      </c>
      <c r="AK7" s="279">
        <v>29</v>
      </c>
      <c r="AL7" s="279">
        <v>30</v>
      </c>
      <c r="AM7" s="279">
        <v>31</v>
      </c>
      <c r="AN7" s="281">
        <v>1</v>
      </c>
      <c r="AO7" s="282">
        <v>2</v>
      </c>
    </row>
    <row r="8" spans="1:41" ht="54" customHeight="1">
      <c r="A8" s="283" t="s">
        <v>27</v>
      </c>
      <c r="B8" s="416" t="s">
        <v>73</v>
      </c>
      <c r="C8" s="416"/>
      <c r="D8" s="185" t="s">
        <v>74</v>
      </c>
      <c r="E8" s="177" t="s">
        <v>75</v>
      </c>
      <c r="F8" s="284">
        <v>1</v>
      </c>
      <c r="G8" s="285"/>
      <c r="H8" s="285" t="s">
        <v>76</v>
      </c>
      <c r="I8" s="285"/>
      <c r="J8" s="285"/>
      <c r="K8" s="285"/>
      <c r="L8" s="286"/>
      <c r="M8" s="286"/>
      <c r="N8" s="288" t="s">
        <v>25</v>
      </c>
      <c r="O8" s="288" t="s">
        <v>25</v>
      </c>
      <c r="P8" s="288" t="s">
        <v>25</v>
      </c>
      <c r="Q8" s="288" t="s">
        <v>25</v>
      </c>
      <c r="R8" s="288" t="s">
        <v>25</v>
      </c>
      <c r="S8" s="286"/>
      <c r="T8" s="286"/>
      <c r="U8" s="288" t="s">
        <v>25</v>
      </c>
      <c r="V8" s="286"/>
      <c r="W8" s="288" t="s">
        <v>25</v>
      </c>
      <c r="X8" s="288" t="s">
        <v>25</v>
      </c>
      <c r="Y8" s="288" t="s">
        <v>25</v>
      </c>
      <c r="Z8" s="286"/>
      <c r="AA8" s="286"/>
      <c r="AB8" s="288" t="s">
        <v>25</v>
      </c>
      <c r="AC8" s="288" t="s">
        <v>25</v>
      </c>
      <c r="AD8" s="288" t="s">
        <v>25</v>
      </c>
      <c r="AE8" s="288" t="s">
        <v>25</v>
      </c>
      <c r="AF8" s="288" t="s">
        <v>25</v>
      </c>
      <c r="AG8" s="286"/>
      <c r="AH8" s="286"/>
      <c r="AI8" s="285"/>
      <c r="AJ8" s="285"/>
      <c r="AK8" s="285"/>
      <c r="AL8" s="285"/>
      <c r="AM8" s="285"/>
      <c r="AN8" s="286"/>
      <c r="AO8" s="291"/>
    </row>
    <row r="9" spans="1:41" ht="38.25" customHeight="1">
      <c r="A9" s="292" t="s">
        <v>28</v>
      </c>
      <c r="B9" s="293" t="s">
        <v>77</v>
      </c>
      <c r="C9" s="294" t="s">
        <v>78</v>
      </c>
      <c r="D9" s="295" t="s">
        <v>79</v>
      </c>
      <c r="E9" s="296" t="s">
        <v>80</v>
      </c>
      <c r="F9" s="297">
        <v>1</v>
      </c>
      <c r="G9" s="256" t="s">
        <v>83</v>
      </c>
      <c r="H9" s="58" t="s">
        <v>83</v>
      </c>
      <c r="I9" s="58" t="s">
        <v>83</v>
      </c>
      <c r="J9" s="58" t="s">
        <v>83</v>
      </c>
      <c r="K9" s="58" t="s">
        <v>83</v>
      </c>
      <c r="L9" s="59"/>
      <c r="M9" s="59"/>
      <c r="N9" s="58" t="s">
        <v>309</v>
      </c>
      <c r="O9" s="58" t="s">
        <v>309</v>
      </c>
      <c r="P9" s="58" t="s">
        <v>309</v>
      </c>
      <c r="Q9" s="58" t="s">
        <v>309</v>
      </c>
      <c r="R9" s="58" t="s">
        <v>309</v>
      </c>
      <c r="S9" s="59"/>
      <c r="T9" s="59"/>
      <c r="U9" s="58" t="s">
        <v>310</v>
      </c>
      <c r="V9" s="59"/>
      <c r="W9" s="58" t="s">
        <v>310</v>
      </c>
      <c r="X9" s="58" t="s">
        <v>310</v>
      </c>
      <c r="Y9" s="58" t="s">
        <v>310</v>
      </c>
      <c r="Z9" s="59"/>
      <c r="AA9" s="59"/>
      <c r="AB9" s="58" t="s">
        <v>310</v>
      </c>
      <c r="AC9" s="58" t="s">
        <v>310</v>
      </c>
      <c r="AD9" s="58" t="s">
        <v>310</v>
      </c>
      <c r="AE9" s="58" t="s">
        <v>310</v>
      </c>
      <c r="AF9" s="58" t="s">
        <v>311</v>
      </c>
      <c r="AG9" s="59"/>
      <c r="AH9" s="59"/>
      <c r="AI9" s="58" t="s">
        <v>312</v>
      </c>
      <c r="AJ9" s="58" t="s">
        <v>312</v>
      </c>
      <c r="AK9" s="58" t="s">
        <v>312</v>
      </c>
      <c r="AL9" s="58" t="s">
        <v>312</v>
      </c>
      <c r="AM9" s="58" t="s">
        <v>312</v>
      </c>
      <c r="AN9" s="59"/>
      <c r="AO9" s="63"/>
    </row>
    <row r="10" spans="1:41" ht="18.75" customHeight="1">
      <c r="A10" s="417" t="s">
        <v>88</v>
      </c>
      <c r="B10" s="64" t="s">
        <v>89</v>
      </c>
      <c r="C10" s="65" t="s">
        <v>90</v>
      </c>
      <c r="D10" s="186" t="s">
        <v>91</v>
      </c>
      <c r="E10" s="187" t="s">
        <v>92</v>
      </c>
      <c r="F10" s="259">
        <v>0.5</v>
      </c>
      <c r="G10" s="326" t="s">
        <v>23</v>
      </c>
      <c r="H10" s="188" t="s">
        <v>23</v>
      </c>
      <c r="I10" s="188" t="s">
        <v>23</v>
      </c>
      <c r="J10" s="188" t="s">
        <v>23</v>
      </c>
      <c r="K10" s="188" t="s">
        <v>23</v>
      </c>
      <c r="L10" s="70"/>
      <c r="M10" s="70"/>
      <c r="N10" s="334" t="s">
        <v>25</v>
      </c>
      <c r="O10" s="334" t="s">
        <v>25</v>
      </c>
      <c r="P10" s="334" t="s">
        <v>25</v>
      </c>
      <c r="Q10" s="334" t="s">
        <v>25</v>
      </c>
      <c r="R10" s="334" t="s">
        <v>25</v>
      </c>
      <c r="S10" s="70"/>
      <c r="T10" s="70"/>
      <c r="U10" s="58"/>
      <c r="V10" s="59"/>
      <c r="W10" s="58"/>
      <c r="X10" s="58"/>
      <c r="Y10" s="58"/>
      <c r="Z10" s="70"/>
      <c r="AA10" s="70"/>
      <c r="AB10" s="61"/>
      <c r="AC10" s="61"/>
      <c r="AD10" s="61"/>
      <c r="AE10" s="61"/>
      <c r="AF10" s="61"/>
      <c r="AG10" s="70"/>
      <c r="AH10" s="70"/>
      <c r="AI10" s="61"/>
      <c r="AJ10" s="61"/>
      <c r="AK10" s="61"/>
      <c r="AL10" s="61"/>
      <c r="AM10" s="61"/>
      <c r="AN10" s="70"/>
      <c r="AO10" s="72"/>
    </row>
    <row r="11" spans="1:41" ht="18.75" customHeight="1">
      <c r="A11" s="417"/>
      <c r="B11" s="64" t="s">
        <v>94</v>
      </c>
      <c r="C11" s="65" t="s">
        <v>95</v>
      </c>
      <c r="D11" s="191" t="s">
        <v>96</v>
      </c>
      <c r="E11" s="192" t="s">
        <v>97</v>
      </c>
      <c r="F11" s="259">
        <v>1</v>
      </c>
      <c r="G11" s="301"/>
      <c r="H11" s="58"/>
      <c r="I11" s="58"/>
      <c r="J11" s="58"/>
      <c r="K11" s="58"/>
      <c r="L11" s="59"/>
      <c r="M11" s="59"/>
      <c r="N11" s="58"/>
      <c r="O11" s="58"/>
      <c r="P11" s="58"/>
      <c r="Q11" s="58"/>
      <c r="R11" s="58"/>
      <c r="S11" s="59"/>
      <c r="T11" s="59"/>
      <c r="U11" s="58"/>
      <c r="V11" s="59"/>
      <c r="W11" s="58"/>
      <c r="X11" s="58"/>
      <c r="Y11" s="58"/>
      <c r="Z11" s="59"/>
      <c r="AA11" s="59"/>
      <c r="AB11" s="61"/>
      <c r="AC11" s="61"/>
      <c r="AD11" s="61"/>
      <c r="AE11" s="61"/>
      <c r="AF11" s="61"/>
      <c r="AG11" s="59"/>
      <c r="AH11" s="59"/>
      <c r="AI11" s="61"/>
      <c r="AJ11" s="61"/>
      <c r="AK11" s="61"/>
      <c r="AL11" s="61"/>
      <c r="AM11" s="61"/>
      <c r="AN11" s="59"/>
      <c r="AO11" s="63"/>
    </row>
    <row r="12" spans="1:41" ht="18.75" customHeight="1">
      <c r="A12" s="417"/>
      <c r="B12" s="64" t="s">
        <v>98</v>
      </c>
      <c r="C12" s="65" t="s">
        <v>99</v>
      </c>
      <c r="D12" s="193" t="s">
        <v>257</v>
      </c>
      <c r="E12" s="194" t="s">
        <v>193</v>
      </c>
      <c r="F12" s="259">
        <v>1</v>
      </c>
      <c r="G12" s="351" t="s">
        <v>296</v>
      </c>
      <c r="H12" s="351" t="s">
        <v>296</v>
      </c>
      <c r="I12" s="351" t="s">
        <v>296</v>
      </c>
      <c r="J12" s="351" t="s">
        <v>296</v>
      </c>
      <c r="K12" s="351" t="s">
        <v>296</v>
      </c>
      <c r="L12" s="70"/>
      <c r="M12" s="70"/>
      <c r="N12" s="58"/>
      <c r="O12" s="58"/>
      <c r="P12" s="58"/>
      <c r="Q12" s="58"/>
      <c r="R12" s="58"/>
      <c r="S12" s="59"/>
      <c r="T12" s="59"/>
      <c r="U12" s="61"/>
      <c r="V12" s="70"/>
      <c r="W12" s="58"/>
      <c r="X12" s="58"/>
      <c r="Y12" s="61"/>
      <c r="Z12" s="59"/>
      <c r="AA12" s="70"/>
      <c r="AB12" s="61"/>
      <c r="AC12" s="58"/>
      <c r="AD12" s="61"/>
      <c r="AE12" s="61"/>
      <c r="AF12" s="61"/>
      <c r="AG12" s="59"/>
      <c r="AH12" s="70"/>
      <c r="AI12" s="61"/>
      <c r="AJ12" s="58"/>
      <c r="AK12" s="61"/>
      <c r="AL12" s="61"/>
      <c r="AM12" s="61"/>
      <c r="AN12" s="59"/>
      <c r="AO12" s="72"/>
    </row>
    <row r="13" spans="1:41" ht="18.75" customHeight="1">
      <c r="A13" s="417"/>
      <c r="B13" s="64" t="s">
        <v>102</v>
      </c>
      <c r="C13" s="65" t="s">
        <v>103</v>
      </c>
      <c r="D13" s="193" t="s">
        <v>104</v>
      </c>
      <c r="E13" s="194" t="s">
        <v>105</v>
      </c>
      <c r="F13" s="259">
        <v>0.8</v>
      </c>
      <c r="G13" s="260"/>
      <c r="H13" s="61"/>
      <c r="I13" s="61"/>
      <c r="J13" s="61"/>
      <c r="K13" s="61"/>
      <c r="L13" s="59"/>
      <c r="M13" s="70"/>
      <c r="N13" s="334" t="s">
        <v>25</v>
      </c>
      <c r="O13" s="334" t="s">
        <v>25</v>
      </c>
      <c r="P13" s="62" t="s">
        <v>106</v>
      </c>
      <c r="Q13" s="334" t="s">
        <v>25</v>
      </c>
      <c r="R13" s="334" t="s">
        <v>25</v>
      </c>
      <c r="S13" s="59"/>
      <c r="T13" s="59"/>
      <c r="U13" s="334" t="s">
        <v>25</v>
      </c>
      <c r="V13" s="70"/>
      <c r="W13" s="334" t="s">
        <v>25</v>
      </c>
      <c r="X13" s="334" t="s">
        <v>25</v>
      </c>
      <c r="Y13" s="334" t="s">
        <v>25</v>
      </c>
      <c r="Z13" s="59"/>
      <c r="AA13" s="70"/>
      <c r="AB13" s="61"/>
      <c r="AC13" s="61"/>
      <c r="AD13" s="61"/>
      <c r="AE13" s="62" t="s">
        <v>106</v>
      </c>
      <c r="AF13" s="62" t="s">
        <v>106</v>
      </c>
      <c r="AG13" s="59"/>
      <c r="AH13" s="70"/>
      <c r="AI13" s="61"/>
      <c r="AJ13" s="61"/>
      <c r="AK13" s="61"/>
      <c r="AL13" s="61"/>
      <c r="AM13" s="61"/>
      <c r="AN13" s="59"/>
      <c r="AO13" s="72"/>
    </row>
    <row r="14" spans="1:41" ht="18.75" customHeight="1">
      <c r="A14" s="417"/>
      <c r="B14" s="64" t="s">
        <v>107</v>
      </c>
      <c r="C14" s="65" t="s">
        <v>108</v>
      </c>
      <c r="D14" s="193" t="s">
        <v>109</v>
      </c>
      <c r="E14" s="194" t="s">
        <v>110</v>
      </c>
      <c r="F14" s="259">
        <v>1</v>
      </c>
      <c r="G14" s="260"/>
      <c r="H14" s="61"/>
      <c r="I14" s="58"/>
      <c r="J14" s="61"/>
      <c r="K14" s="61"/>
      <c r="L14" s="70"/>
      <c r="M14" s="70"/>
      <c r="N14" s="61"/>
      <c r="O14" s="61"/>
      <c r="P14" s="61"/>
      <c r="Q14" s="61"/>
      <c r="R14" s="58"/>
      <c r="S14" s="59"/>
      <c r="T14" s="59"/>
      <c r="U14" s="61"/>
      <c r="V14" s="70"/>
      <c r="W14" s="61"/>
      <c r="X14" s="61"/>
      <c r="Y14" s="61"/>
      <c r="Z14" s="59"/>
      <c r="AA14" s="70"/>
      <c r="AB14" s="61"/>
      <c r="AC14" s="61"/>
      <c r="AD14" s="58"/>
      <c r="AE14" s="61"/>
      <c r="AF14" s="61"/>
      <c r="AG14" s="59"/>
      <c r="AH14" s="70"/>
      <c r="AI14" s="61"/>
      <c r="AJ14" s="61"/>
      <c r="AK14" s="58"/>
      <c r="AL14" s="61"/>
      <c r="AM14" s="61"/>
      <c r="AN14" s="59"/>
      <c r="AO14" s="72"/>
    </row>
    <row r="15" spans="1:41" ht="18.75" customHeight="1">
      <c r="A15" s="417"/>
      <c r="B15" s="64" t="s">
        <v>111</v>
      </c>
      <c r="C15" s="65" t="s">
        <v>112</v>
      </c>
      <c r="D15" s="193" t="s">
        <v>113</v>
      </c>
      <c r="E15" s="194" t="s">
        <v>114</v>
      </c>
      <c r="F15" s="259">
        <v>1</v>
      </c>
      <c r="G15" s="260"/>
      <c r="H15" s="61"/>
      <c r="I15" s="61"/>
      <c r="J15" s="61"/>
      <c r="K15" s="61"/>
      <c r="L15" s="59"/>
      <c r="M15" s="70"/>
      <c r="N15" s="61"/>
      <c r="O15" s="61"/>
      <c r="P15" s="61"/>
      <c r="Q15" s="58"/>
      <c r="R15" s="58"/>
      <c r="S15" s="59"/>
      <c r="T15" s="59"/>
      <c r="U15" s="61"/>
      <c r="V15" s="70"/>
      <c r="W15" s="61"/>
      <c r="X15" s="61"/>
      <c r="Y15" s="61"/>
      <c r="Z15" s="59"/>
      <c r="AA15" s="70"/>
      <c r="AB15" s="61"/>
      <c r="AC15" s="61"/>
      <c r="AD15" s="61"/>
      <c r="AE15" s="61"/>
      <c r="AF15" s="58"/>
      <c r="AG15" s="59"/>
      <c r="AH15" s="70"/>
      <c r="AI15" s="61"/>
      <c r="AJ15" s="61"/>
      <c r="AK15" s="61"/>
      <c r="AL15" s="61"/>
      <c r="AM15" s="58"/>
      <c r="AN15" s="59"/>
      <c r="AO15" s="72"/>
    </row>
    <row r="16" spans="1:41" ht="18.75" customHeight="1">
      <c r="A16" s="417"/>
      <c r="B16" s="64" t="s">
        <v>116</v>
      </c>
      <c r="C16" s="65" t="s">
        <v>117</v>
      </c>
      <c r="D16" s="193" t="s">
        <v>118</v>
      </c>
      <c r="E16" s="194" t="s">
        <v>119</v>
      </c>
      <c r="F16" s="259">
        <v>1</v>
      </c>
      <c r="G16" s="260"/>
      <c r="H16" s="61"/>
      <c r="I16" s="61"/>
      <c r="J16" s="58"/>
      <c r="K16" s="61"/>
      <c r="L16" s="70"/>
      <c r="M16" s="70"/>
      <c r="N16" s="61"/>
      <c r="O16" s="61"/>
      <c r="P16" s="61"/>
      <c r="Q16" s="58"/>
      <c r="R16" s="58"/>
      <c r="S16" s="59"/>
      <c r="T16" s="59"/>
      <c r="U16" s="61"/>
      <c r="V16" s="70"/>
      <c r="W16" s="61"/>
      <c r="X16" s="61"/>
      <c r="Y16" s="58"/>
      <c r="Z16" s="59"/>
      <c r="AA16" s="70"/>
      <c r="AB16" s="334" t="s">
        <v>25</v>
      </c>
      <c r="AC16" s="334" t="s">
        <v>25</v>
      </c>
      <c r="AD16" s="334" t="s">
        <v>25</v>
      </c>
      <c r="AE16" s="334" t="s">
        <v>25</v>
      </c>
      <c r="AF16" s="334" t="s">
        <v>25</v>
      </c>
      <c r="AG16" s="59"/>
      <c r="AH16" s="70"/>
      <c r="AI16" s="334" t="s">
        <v>25</v>
      </c>
      <c r="AJ16" s="334" t="s">
        <v>25</v>
      </c>
      <c r="AK16" s="334" t="s">
        <v>25</v>
      </c>
      <c r="AL16" s="334" t="s">
        <v>25</v>
      </c>
      <c r="AM16" s="334" t="s">
        <v>25</v>
      </c>
      <c r="AN16" s="59"/>
      <c r="AO16" s="72"/>
    </row>
    <row r="17" spans="1:41" ht="18.75" customHeight="1">
      <c r="A17" s="417"/>
      <c r="B17" s="64" t="s">
        <v>120</v>
      </c>
      <c r="C17" s="65" t="s">
        <v>121</v>
      </c>
      <c r="D17" s="193" t="s">
        <v>122</v>
      </c>
      <c r="E17" s="194" t="s">
        <v>123</v>
      </c>
      <c r="F17" s="259">
        <v>1</v>
      </c>
      <c r="G17" s="260"/>
      <c r="H17" s="61"/>
      <c r="I17" s="61"/>
      <c r="J17" s="61"/>
      <c r="K17" s="61"/>
      <c r="L17" s="59"/>
      <c r="M17" s="70"/>
      <c r="N17" s="334" t="s">
        <v>25</v>
      </c>
      <c r="O17" s="334" t="s">
        <v>25</v>
      </c>
      <c r="P17" s="334" t="s">
        <v>25</v>
      </c>
      <c r="Q17" s="334" t="s">
        <v>25</v>
      </c>
      <c r="R17" s="334" t="s">
        <v>25</v>
      </c>
      <c r="S17" s="59"/>
      <c r="T17" s="59"/>
      <c r="U17" s="334" t="s">
        <v>25</v>
      </c>
      <c r="V17" s="70"/>
      <c r="W17" s="334" t="s">
        <v>25</v>
      </c>
      <c r="X17" s="334" t="s">
        <v>25</v>
      </c>
      <c r="Y17" s="334" t="s">
        <v>25</v>
      </c>
      <c r="Z17" s="59"/>
      <c r="AA17" s="70"/>
      <c r="AB17" s="334" t="s">
        <v>25</v>
      </c>
      <c r="AC17" s="334" t="s">
        <v>25</v>
      </c>
      <c r="AD17" s="334" t="s">
        <v>25</v>
      </c>
      <c r="AE17" s="334" t="s">
        <v>25</v>
      </c>
      <c r="AF17" s="334" t="s">
        <v>25</v>
      </c>
      <c r="AG17" s="59"/>
      <c r="AH17" s="70"/>
      <c r="AI17" s="61"/>
      <c r="AJ17" s="61"/>
      <c r="AK17" s="61"/>
      <c r="AL17" s="61"/>
      <c r="AM17" s="61"/>
      <c r="AN17" s="59"/>
      <c r="AO17" s="72"/>
    </row>
    <row r="18" spans="1:41" ht="18.75" customHeight="1">
      <c r="A18" s="417"/>
      <c r="B18" s="64" t="s">
        <v>124</v>
      </c>
      <c r="C18" s="65" t="s">
        <v>125</v>
      </c>
      <c r="D18" s="193" t="s">
        <v>126</v>
      </c>
      <c r="E18" s="194" t="s">
        <v>127</v>
      </c>
      <c r="F18" s="259">
        <v>1</v>
      </c>
      <c r="G18" s="351" t="s">
        <v>25</v>
      </c>
      <c r="H18" s="334" t="s">
        <v>25</v>
      </c>
      <c r="I18" s="334" t="s">
        <v>25</v>
      </c>
      <c r="J18" s="334" t="s">
        <v>25</v>
      </c>
      <c r="K18" s="334" t="s">
        <v>25</v>
      </c>
      <c r="L18" s="70"/>
      <c r="M18" s="70"/>
      <c r="N18" s="61"/>
      <c r="O18" s="61"/>
      <c r="P18" s="61"/>
      <c r="Q18" s="58"/>
      <c r="R18" s="58"/>
      <c r="S18" s="59"/>
      <c r="T18" s="59"/>
      <c r="U18" s="58"/>
      <c r="V18" s="70"/>
      <c r="W18" s="61"/>
      <c r="X18" s="61"/>
      <c r="Y18" s="61"/>
      <c r="Z18" s="59"/>
      <c r="AA18" s="70"/>
      <c r="AB18" s="61"/>
      <c r="AC18" s="61"/>
      <c r="AD18" s="61"/>
      <c r="AE18" s="61"/>
      <c r="AF18" s="61"/>
      <c r="AG18" s="59"/>
      <c r="AH18" s="70"/>
      <c r="AI18" s="61"/>
      <c r="AJ18" s="61"/>
      <c r="AK18" s="61"/>
      <c r="AL18" s="61"/>
      <c r="AM18" s="61"/>
      <c r="AN18" s="59"/>
      <c r="AO18" s="72"/>
    </row>
    <row r="19" spans="1:41" ht="18.75" customHeight="1">
      <c r="A19" s="417"/>
      <c r="B19" s="64" t="s">
        <v>129</v>
      </c>
      <c r="C19" s="65" t="s">
        <v>130</v>
      </c>
      <c r="D19" s="196" t="s">
        <v>131</v>
      </c>
      <c r="E19" s="197" t="s">
        <v>132</v>
      </c>
      <c r="F19" s="259">
        <v>1</v>
      </c>
      <c r="G19" s="351" t="s">
        <v>25</v>
      </c>
      <c r="H19" s="334" t="s">
        <v>25</v>
      </c>
      <c r="I19" s="334" t="s">
        <v>25</v>
      </c>
      <c r="J19" s="334" t="s">
        <v>25</v>
      </c>
      <c r="K19" s="334" t="s">
        <v>25</v>
      </c>
      <c r="L19" s="87"/>
      <c r="M19" s="87"/>
      <c r="N19" s="88"/>
      <c r="O19" s="88"/>
      <c r="P19" s="88"/>
      <c r="Q19" s="58"/>
      <c r="R19" s="58"/>
      <c r="S19" s="59"/>
      <c r="T19" s="59"/>
      <c r="U19" s="58"/>
      <c r="V19" s="70"/>
      <c r="W19" s="61"/>
      <c r="X19" s="61"/>
      <c r="Y19" s="61"/>
      <c r="Z19" s="59"/>
      <c r="AA19" s="70"/>
      <c r="AB19" s="61"/>
      <c r="AC19" s="61"/>
      <c r="AD19" s="61"/>
      <c r="AE19" s="61"/>
      <c r="AF19" s="58"/>
      <c r="AG19" s="59"/>
      <c r="AH19" s="87"/>
      <c r="AI19" s="61"/>
      <c r="AJ19" s="61"/>
      <c r="AK19" s="61"/>
      <c r="AL19" s="61"/>
      <c r="AM19" s="58"/>
      <c r="AN19" s="59"/>
      <c r="AO19" s="90"/>
    </row>
    <row r="20" spans="1:41" ht="18.75" customHeight="1">
      <c r="A20" s="417"/>
      <c r="B20" s="64" t="s">
        <v>133</v>
      </c>
      <c r="C20" s="65" t="s">
        <v>134</v>
      </c>
      <c r="D20" s="196" t="s">
        <v>135</v>
      </c>
      <c r="E20" s="197" t="s">
        <v>136</v>
      </c>
      <c r="F20" s="259">
        <v>1</v>
      </c>
      <c r="G20" s="266"/>
      <c r="H20" s="88"/>
      <c r="I20" s="88"/>
      <c r="J20" s="88"/>
      <c r="K20" s="58"/>
      <c r="L20" s="87"/>
      <c r="M20" s="87"/>
      <c r="N20" s="88"/>
      <c r="O20" s="88"/>
      <c r="P20" s="88"/>
      <c r="Q20" s="58"/>
      <c r="R20" s="58"/>
      <c r="S20" s="59"/>
      <c r="T20" s="59"/>
      <c r="U20" s="58"/>
      <c r="V20" s="70"/>
      <c r="W20" s="61"/>
      <c r="X20" s="61"/>
      <c r="Y20" s="61"/>
      <c r="Z20" s="59"/>
      <c r="AA20" s="70"/>
      <c r="AB20" s="61"/>
      <c r="AC20" s="61"/>
      <c r="AD20" s="61"/>
      <c r="AE20" s="61"/>
      <c r="AF20" s="58"/>
      <c r="AG20" s="59"/>
      <c r="AH20" s="87"/>
      <c r="AI20" s="61"/>
      <c r="AJ20" s="61"/>
      <c r="AK20" s="61"/>
      <c r="AL20" s="61"/>
      <c r="AM20" s="58"/>
      <c r="AN20" s="59"/>
      <c r="AO20" s="90"/>
    </row>
    <row r="21" spans="1:41" ht="18.75" customHeight="1">
      <c r="A21" s="417"/>
      <c r="B21" s="64" t="s">
        <v>137</v>
      </c>
      <c r="C21" s="65" t="s">
        <v>138</v>
      </c>
      <c r="D21" s="196" t="s">
        <v>139</v>
      </c>
      <c r="E21" s="197" t="s">
        <v>140</v>
      </c>
      <c r="F21" s="259">
        <v>1</v>
      </c>
      <c r="G21" s="266"/>
      <c r="H21" s="88"/>
      <c r="I21" s="88"/>
      <c r="J21" s="88"/>
      <c r="K21" s="58"/>
      <c r="L21" s="87"/>
      <c r="M21" s="87"/>
      <c r="N21" s="88"/>
      <c r="O21" s="88"/>
      <c r="P21" s="88"/>
      <c r="Q21" s="58"/>
      <c r="R21" s="58"/>
      <c r="S21" s="59"/>
      <c r="T21" s="59"/>
      <c r="U21" s="58"/>
      <c r="V21" s="70"/>
      <c r="W21" s="61"/>
      <c r="X21" s="61"/>
      <c r="Y21" s="61"/>
      <c r="Z21" s="59"/>
      <c r="AA21" s="70"/>
      <c r="AB21" s="61"/>
      <c r="AC21" s="61"/>
      <c r="AD21" s="61"/>
      <c r="AE21" s="61"/>
      <c r="AF21" s="58"/>
      <c r="AG21" s="59"/>
      <c r="AH21" s="87"/>
      <c r="AI21" s="61"/>
      <c r="AJ21" s="61"/>
      <c r="AK21" s="61"/>
      <c r="AL21" s="61"/>
      <c r="AM21" s="58"/>
      <c r="AN21" s="59"/>
      <c r="AO21" s="90"/>
    </row>
    <row r="22" spans="1:41" ht="18.75" customHeight="1">
      <c r="A22" s="417"/>
      <c r="B22" s="64" t="s">
        <v>141</v>
      </c>
      <c r="C22" s="65" t="s">
        <v>142</v>
      </c>
      <c r="D22" s="196" t="s">
        <v>143</v>
      </c>
      <c r="E22" s="197" t="s">
        <v>144</v>
      </c>
      <c r="F22" s="259">
        <v>1</v>
      </c>
      <c r="G22" s="266"/>
      <c r="H22" s="88"/>
      <c r="I22" s="88"/>
      <c r="J22" s="88"/>
      <c r="K22" s="58"/>
      <c r="L22" s="87"/>
      <c r="M22" s="87"/>
      <c r="N22" s="88"/>
      <c r="O22" s="88"/>
      <c r="P22" s="88"/>
      <c r="Q22" s="58"/>
      <c r="R22" s="58"/>
      <c r="S22" s="59"/>
      <c r="T22" s="59"/>
      <c r="U22" s="58"/>
      <c r="V22" s="70"/>
      <c r="W22" s="61"/>
      <c r="X22" s="61"/>
      <c r="Y22" s="61"/>
      <c r="Z22" s="59"/>
      <c r="AA22" s="70"/>
      <c r="AB22" s="61"/>
      <c r="AC22" s="61"/>
      <c r="AD22" s="61"/>
      <c r="AE22" s="61"/>
      <c r="AF22" s="58"/>
      <c r="AG22" s="59"/>
      <c r="AH22" s="87"/>
      <c r="AI22" s="61"/>
      <c r="AJ22" s="61"/>
      <c r="AK22" s="61"/>
      <c r="AL22" s="61"/>
      <c r="AM22" s="58"/>
      <c r="AN22" s="59"/>
      <c r="AO22" s="90"/>
    </row>
    <row r="23" spans="1:41" ht="18.75" customHeight="1">
      <c r="A23" s="417"/>
      <c r="B23" s="64" t="s">
        <v>146</v>
      </c>
      <c r="C23" s="65"/>
      <c r="D23" s="95" t="s">
        <v>147</v>
      </c>
      <c r="E23" s="85" t="s">
        <v>148</v>
      </c>
      <c r="F23" s="259">
        <v>1</v>
      </c>
      <c r="G23" s="266" t="s">
        <v>286</v>
      </c>
      <c r="H23" s="88" t="s">
        <v>286</v>
      </c>
      <c r="I23" s="88" t="s">
        <v>286</v>
      </c>
      <c r="J23" s="88" t="s">
        <v>286</v>
      </c>
      <c r="K23" s="88" t="s">
        <v>286</v>
      </c>
      <c r="L23" s="87"/>
      <c r="M23" s="87"/>
      <c r="N23" s="88">
        <v>8005</v>
      </c>
      <c r="O23" s="88">
        <v>8005</v>
      </c>
      <c r="P23" s="88">
        <v>8005</v>
      </c>
      <c r="Q23" s="88">
        <v>8005</v>
      </c>
      <c r="R23" s="88">
        <v>8005</v>
      </c>
      <c r="S23" s="59"/>
      <c r="T23" s="59"/>
      <c r="U23" s="58">
        <v>8012</v>
      </c>
      <c r="V23" s="70"/>
      <c r="W23" s="58">
        <v>8012</v>
      </c>
      <c r="X23" s="58">
        <v>8012</v>
      </c>
      <c r="Y23" s="58">
        <v>8012</v>
      </c>
      <c r="Z23" s="59"/>
      <c r="AA23" s="59"/>
      <c r="AB23" s="61">
        <v>8012</v>
      </c>
      <c r="AC23" s="61">
        <v>8012</v>
      </c>
      <c r="AD23" s="61">
        <v>8012</v>
      </c>
      <c r="AE23" s="61">
        <v>8012</v>
      </c>
      <c r="AF23" s="61" t="s">
        <v>313</v>
      </c>
      <c r="AG23" s="87"/>
      <c r="AH23" s="87"/>
      <c r="AI23" s="61" t="s">
        <v>25</v>
      </c>
      <c r="AJ23" s="61" t="s">
        <v>25</v>
      </c>
      <c r="AK23" s="61" t="s">
        <v>25</v>
      </c>
      <c r="AL23" s="61" t="s">
        <v>25</v>
      </c>
      <c r="AM23" s="61" t="s">
        <v>25</v>
      </c>
      <c r="AN23" s="87"/>
      <c r="AO23" s="90"/>
    </row>
    <row r="24" spans="1:41" ht="18.75" customHeight="1">
      <c r="A24" s="417"/>
      <c r="B24" s="101" t="s">
        <v>150</v>
      </c>
      <c r="C24" s="65"/>
      <c r="D24" s="84" t="s">
        <v>151</v>
      </c>
      <c r="E24" s="85" t="s">
        <v>152</v>
      </c>
      <c r="F24" s="269">
        <v>1</v>
      </c>
      <c r="G24" s="266" t="s">
        <v>314</v>
      </c>
      <c r="H24" s="88" t="s">
        <v>314</v>
      </c>
      <c r="I24" s="88" t="s">
        <v>314</v>
      </c>
      <c r="J24" s="88" t="s">
        <v>314</v>
      </c>
      <c r="K24" s="88" t="s">
        <v>314</v>
      </c>
      <c r="L24" s="87"/>
      <c r="M24" s="87"/>
      <c r="N24" s="88" t="s">
        <v>262</v>
      </c>
      <c r="O24" s="88" t="s">
        <v>262</v>
      </c>
      <c r="P24" s="88" t="s">
        <v>262</v>
      </c>
      <c r="Q24" s="88" t="s">
        <v>262</v>
      </c>
      <c r="R24" s="88" t="s">
        <v>262</v>
      </c>
      <c r="S24" s="87"/>
      <c r="T24" s="87"/>
      <c r="U24" s="334" t="s">
        <v>25</v>
      </c>
      <c r="V24" s="87"/>
      <c r="W24" s="334" t="s">
        <v>25</v>
      </c>
      <c r="X24" s="334" t="s">
        <v>25</v>
      </c>
      <c r="Y24" s="334" t="s">
        <v>25</v>
      </c>
      <c r="Z24" s="87"/>
      <c r="AA24" s="87"/>
      <c r="AB24" s="334" t="s">
        <v>25</v>
      </c>
      <c r="AC24" s="334" t="s">
        <v>25</v>
      </c>
      <c r="AD24" s="334" t="s">
        <v>25</v>
      </c>
      <c r="AE24" s="334" t="s">
        <v>25</v>
      </c>
      <c r="AF24" s="334" t="s">
        <v>25</v>
      </c>
      <c r="AG24" s="87"/>
      <c r="AH24" s="87"/>
      <c r="AI24" s="334" t="s">
        <v>25</v>
      </c>
      <c r="AJ24" s="334" t="s">
        <v>25</v>
      </c>
      <c r="AK24" s="334" t="s">
        <v>25</v>
      </c>
      <c r="AL24" s="334" t="s">
        <v>25</v>
      </c>
      <c r="AM24" s="334" t="s">
        <v>25</v>
      </c>
      <c r="AN24" s="87"/>
      <c r="AO24" s="90"/>
    </row>
    <row r="25" spans="1:41" ht="18.75" customHeight="1">
      <c r="A25" s="430" t="s">
        <v>156</v>
      </c>
      <c r="B25" s="108" t="s">
        <v>157</v>
      </c>
      <c r="C25" s="109" t="s">
        <v>158</v>
      </c>
      <c r="D25" s="110" t="s">
        <v>159</v>
      </c>
      <c r="E25" s="111" t="s">
        <v>160</v>
      </c>
      <c r="F25" s="21">
        <v>1</v>
      </c>
      <c r="G25" s="113" t="s">
        <v>157</v>
      </c>
      <c r="H25" s="114" t="s">
        <v>157</v>
      </c>
      <c r="I25" s="114" t="s">
        <v>157</v>
      </c>
      <c r="J25" s="114" t="s">
        <v>157</v>
      </c>
      <c r="K25" s="114" t="s">
        <v>157</v>
      </c>
      <c r="L25" s="115"/>
      <c r="M25" s="116"/>
      <c r="N25" s="114" t="s">
        <v>157</v>
      </c>
      <c r="O25" s="114" t="s">
        <v>157</v>
      </c>
      <c r="P25" s="114" t="s">
        <v>157</v>
      </c>
      <c r="Q25" s="114" t="s">
        <v>157</v>
      </c>
      <c r="R25" s="114" t="s">
        <v>157</v>
      </c>
      <c r="S25" s="116"/>
      <c r="T25" s="116"/>
      <c r="U25" s="114" t="s">
        <v>157</v>
      </c>
      <c r="V25" s="116"/>
      <c r="W25" s="114" t="s">
        <v>157</v>
      </c>
      <c r="X25" s="114" t="s">
        <v>157</v>
      </c>
      <c r="Y25" s="114" t="s">
        <v>157</v>
      </c>
      <c r="Z25" s="115"/>
      <c r="AA25" s="116"/>
      <c r="AB25" s="114" t="s">
        <v>157</v>
      </c>
      <c r="AC25" s="114" t="s">
        <v>157</v>
      </c>
      <c r="AD25" s="114" t="s">
        <v>157</v>
      </c>
      <c r="AE25" s="114" t="s">
        <v>157</v>
      </c>
      <c r="AF25" s="114" t="s">
        <v>157</v>
      </c>
      <c r="AG25" s="116"/>
      <c r="AH25" s="116"/>
      <c r="AI25" s="114" t="s">
        <v>157</v>
      </c>
      <c r="AJ25" s="114" t="s">
        <v>157</v>
      </c>
      <c r="AK25" s="114" t="s">
        <v>157</v>
      </c>
      <c r="AL25" s="114" t="s">
        <v>157</v>
      </c>
      <c r="AM25" s="114" t="s">
        <v>157</v>
      </c>
      <c r="AN25" s="116"/>
      <c r="AO25" s="117"/>
    </row>
    <row r="26" spans="1:41" ht="18.75" customHeight="1">
      <c r="A26" s="430"/>
      <c r="B26" s="118" t="s">
        <v>161</v>
      </c>
      <c r="C26" s="119" t="s">
        <v>158</v>
      </c>
      <c r="D26" s="120" t="s">
        <v>162</v>
      </c>
      <c r="E26" s="121" t="s">
        <v>163</v>
      </c>
      <c r="F26" s="21">
        <v>1</v>
      </c>
      <c r="G26" s="91" t="s">
        <v>161</v>
      </c>
      <c r="H26" s="88" t="s">
        <v>161</v>
      </c>
      <c r="I26" s="88" t="s">
        <v>161</v>
      </c>
      <c r="J26" s="88" t="s">
        <v>161</v>
      </c>
      <c r="K26" s="88" t="s">
        <v>161</v>
      </c>
      <c r="L26" s="70"/>
      <c r="M26" s="94"/>
      <c r="N26" s="88" t="s">
        <v>161</v>
      </c>
      <c r="O26" s="88" t="s">
        <v>161</v>
      </c>
      <c r="P26" s="88" t="s">
        <v>161</v>
      </c>
      <c r="Q26" s="88" t="s">
        <v>161</v>
      </c>
      <c r="R26" s="88" t="s">
        <v>161</v>
      </c>
      <c r="S26" s="70"/>
      <c r="T26" s="94"/>
      <c r="U26" s="88" t="s">
        <v>161</v>
      </c>
      <c r="V26" s="70"/>
      <c r="W26" s="88" t="s">
        <v>161</v>
      </c>
      <c r="X26" s="88" t="s">
        <v>161</v>
      </c>
      <c r="Y26" s="88" t="s">
        <v>161</v>
      </c>
      <c r="Z26" s="70"/>
      <c r="AA26" s="94"/>
      <c r="AB26" s="88" t="s">
        <v>161</v>
      </c>
      <c r="AC26" s="88" t="s">
        <v>161</v>
      </c>
      <c r="AD26" s="88" t="s">
        <v>161</v>
      </c>
      <c r="AE26" s="88" t="s">
        <v>161</v>
      </c>
      <c r="AF26" s="312" t="s">
        <v>285</v>
      </c>
      <c r="AG26" s="70"/>
      <c r="AH26" s="94"/>
      <c r="AI26" s="334" t="s">
        <v>25</v>
      </c>
      <c r="AJ26" s="334" t="s">
        <v>25</v>
      </c>
      <c r="AK26" s="334" t="s">
        <v>25</v>
      </c>
      <c r="AL26" s="334" t="s">
        <v>25</v>
      </c>
      <c r="AM26" s="334" t="s">
        <v>25</v>
      </c>
      <c r="AN26" s="70"/>
      <c r="AO26" s="124"/>
    </row>
    <row r="27" spans="1:41" ht="18.75" customHeight="1">
      <c r="A27" s="430"/>
      <c r="B27" s="118" t="s">
        <v>164</v>
      </c>
      <c r="C27" s="119" t="s">
        <v>158</v>
      </c>
      <c r="D27" s="119" t="s">
        <v>165</v>
      </c>
      <c r="E27" s="125" t="s">
        <v>105</v>
      </c>
      <c r="F27" s="21">
        <v>1</v>
      </c>
      <c r="G27" s="91" t="s">
        <v>315</v>
      </c>
      <c r="H27" s="88" t="s">
        <v>315</v>
      </c>
      <c r="I27" s="88" t="s">
        <v>315</v>
      </c>
      <c r="J27" s="88" t="s">
        <v>315</v>
      </c>
      <c r="K27" s="88" t="s">
        <v>315</v>
      </c>
      <c r="L27" s="70"/>
      <c r="M27" s="87"/>
      <c r="N27" s="88" t="s">
        <v>271</v>
      </c>
      <c r="O27" s="88" t="s">
        <v>271</v>
      </c>
      <c r="P27" s="88" t="s">
        <v>271</v>
      </c>
      <c r="Q27" s="88" t="s">
        <v>271</v>
      </c>
      <c r="R27" s="88" t="s">
        <v>271</v>
      </c>
      <c r="S27" s="70"/>
      <c r="T27" s="87"/>
      <c r="U27" s="88" t="s">
        <v>271</v>
      </c>
      <c r="V27" s="87"/>
      <c r="W27" s="88" t="s">
        <v>271</v>
      </c>
      <c r="X27" s="88" t="s">
        <v>271</v>
      </c>
      <c r="Y27" s="88" t="s">
        <v>271</v>
      </c>
      <c r="Z27" s="70"/>
      <c r="AA27" s="87"/>
      <c r="AB27" s="88" t="s">
        <v>271</v>
      </c>
      <c r="AC27" s="88" t="s">
        <v>271</v>
      </c>
      <c r="AD27" s="88" t="s">
        <v>271</v>
      </c>
      <c r="AE27" s="88" t="s">
        <v>316</v>
      </c>
      <c r="AF27" s="88" t="s">
        <v>161</v>
      </c>
      <c r="AG27" s="70"/>
      <c r="AH27" s="87"/>
      <c r="AI27" s="88" t="s">
        <v>161</v>
      </c>
      <c r="AJ27" s="88" t="s">
        <v>161</v>
      </c>
      <c r="AK27" s="88" t="s">
        <v>161</v>
      </c>
      <c r="AL27" s="88" t="s">
        <v>161</v>
      </c>
      <c r="AM27" s="88" t="s">
        <v>161</v>
      </c>
      <c r="AN27" s="70"/>
      <c r="AO27" s="90"/>
    </row>
    <row r="28" spans="1:41" ht="18.75" customHeight="1">
      <c r="A28" s="430"/>
      <c r="B28" s="127" t="s">
        <v>170</v>
      </c>
      <c r="C28" s="128" t="s">
        <v>158</v>
      </c>
      <c r="D28" s="128" t="s">
        <v>171</v>
      </c>
      <c r="E28" s="129" t="s">
        <v>172</v>
      </c>
      <c r="F28" s="352">
        <v>1</v>
      </c>
      <c r="G28" s="91" t="s">
        <v>317</v>
      </c>
      <c r="H28" s="88" t="s">
        <v>317</v>
      </c>
      <c r="I28" s="88" t="s">
        <v>317</v>
      </c>
      <c r="J28" s="88" t="s">
        <v>317</v>
      </c>
      <c r="K28" s="88" t="s">
        <v>317</v>
      </c>
      <c r="L28" s="87"/>
      <c r="M28" s="87"/>
      <c r="N28" s="88" t="s">
        <v>299</v>
      </c>
      <c r="O28" s="88" t="s">
        <v>299</v>
      </c>
      <c r="P28" s="88" t="s">
        <v>299</v>
      </c>
      <c r="Q28" s="88" t="s">
        <v>299</v>
      </c>
      <c r="R28" s="88" t="s">
        <v>299</v>
      </c>
      <c r="S28" s="87"/>
      <c r="T28" s="87"/>
      <c r="U28" s="88" t="s">
        <v>299</v>
      </c>
      <c r="V28" s="87"/>
      <c r="W28" s="88" t="s">
        <v>299</v>
      </c>
      <c r="X28" s="88" t="s">
        <v>299</v>
      </c>
      <c r="Y28" s="88" t="s">
        <v>299</v>
      </c>
      <c r="Z28" s="87"/>
      <c r="AA28" s="87"/>
      <c r="AB28" s="88" t="s">
        <v>312</v>
      </c>
      <c r="AC28" s="88" t="s">
        <v>312</v>
      </c>
      <c r="AD28" s="88" t="s">
        <v>312</v>
      </c>
      <c r="AE28" s="88" t="s">
        <v>312</v>
      </c>
      <c r="AF28" s="88" t="s">
        <v>318</v>
      </c>
      <c r="AG28" s="87"/>
      <c r="AH28" s="87"/>
      <c r="AI28" s="88" t="s">
        <v>240</v>
      </c>
      <c r="AJ28" s="88" t="s">
        <v>240</v>
      </c>
      <c r="AK28" s="88" t="s">
        <v>240</v>
      </c>
      <c r="AL28" s="88" t="s">
        <v>240</v>
      </c>
      <c r="AM28" s="88" t="s">
        <v>240</v>
      </c>
      <c r="AN28" s="87"/>
      <c r="AO28" s="90"/>
    </row>
    <row r="29" spans="1:41" ht="18.75" customHeight="1">
      <c r="A29" s="431" t="s">
        <v>174</v>
      </c>
      <c r="B29" s="431"/>
      <c r="C29" s="431"/>
      <c r="D29" s="431"/>
      <c r="E29" s="431"/>
      <c r="F29" s="19">
        <v>1</v>
      </c>
      <c r="G29" s="268" t="s">
        <v>301</v>
      </c>
      <c r="H29" s="134" t="s">
        <v>301</v>
      </c>
      <c r="I29" s="134" t="s">
        <v>301</v>
      </c>
      <c r="J29" s="134" t="s">
        <v>301</v>
      </c>
      <c r="K29" s="134" t="s">
        <v>301</v>
      </c>
      <c r="L29" s="116"/>
      <c r="M29" s="116"/>
      <c r="N29" s="134"/>
      <c r="O29" s="134"/>
      <c r="P29" s="134"/>
      <c r="Q29" s="134"/>
      <c r="R29" s="134"/>
      <c r="S29" s="116"/>
      <c r="T29" s="116"/>
      <c r="U29" s="134"/>
      <c r="V29" s="116"/>
      <c r="W29" s="134"/>
      <c r="X29" s="134"/>
      <c r="Y29" s="134"/>
      <c r="Z29" s="116"/>
      <c r="AA29" s="116"/>
      <c r="AB29" s="114"/>
      <c r="AC29" s="114"/>
      <c r="AD29" s="114"/>
      <c r="AE29" s="114"/>
      <c r="AF29" s="114"/>
      <c r="AG29" s="116"/>
      <c r="AH29" s="116"/>
      <c r="AI29" s="114"/>
      <c r="AJ29" s="114"/>
      <c r="AK29" s="114"/>
      <c r="AL29" s="114"/>
      <c r="AM29" s="114"/>
      <c r="AN29" s="116"/>
      <c r="AO29" s="117"/>
    </row>
    <row r="30" spans="1:41" ht="18.75" customHeight="1">
      <c r="A30" s="431"/>
      <c r="B30" s="431"/>
      <c r="C30" s="431"/>
      <c r="D30" s="431"/>
      <c r="E30" s="431"/>
      <c r="F30" s="332">
        <v>1</v>
      </c>
      <c r="G30" s="260"/>
      <c r="H30" s="136"/>
      <c r="I30" s="136"/>
      <c r="J30" s="136"/>
      <c r="K30" s="136"/>
      <c r="L30" s="137"/>
      <c r="M30" s="137"/>
      <c r="N30" s="136"/>
      <c r="O30" s="136"/>
      <c r="P30" s="136"/>
      <c r="Q30" s="136"/>
      <c r="R30" s="136"/>
      <c r="S30" s="137"/>
      <c r="T30" s="137"/>
      <c r="U30" s="136"/>
      <c r="V30" s="70"/>
      <c r="W30" s="136"/>
      <c r="X30" s="136"/>
      <c r="Y30" s="136"/>
      <c r="Z30" s="137"/>
      <c r="AA30" s="137"/>
      <c r="AB30" s="136"/>
      <c r="AC30" s="136"/>
      <c r="AD30" s="136"/>
      <c r="AE30" s="136"/>
      <c r="AF30" s="136"/>
      <c r="AG30" s="137"/>
      <c r="AH30" s="137"/>
      <c r="AI30" s="58"/>
      <c r="AJ30" s="58"/>
      <c r="AK30" s="58"/>
      <c r="AL30" s="58"/>
      <c r="AM30" s="61"/>
      <c r="AN30" s="70"/>
      <c r="AO30" s="72"/>
    </row>
    <row r="31" spans="1:41" ht="18.75" customHeight="1">
      <c r="A31" s="431"/>
      <c r="B31" s="431"/>
      <c r="C31" s="431"/>
      <c r="D31" s="431"/>
      <c r="E31" s="431"/>
      <c r="F31" s="332">
        <v>1</v>
      </c>
      <c r="G31" s="266"/>
      <c r="H31" s="88"/>
      <c r="I31" s="88"/>
      <c r="J31" s="88"/>
      <c r="K31" s="88"/>
      <c r="L31" s="87"/>
      <c r="M31" s="87"/>
      <c r="N31" s="88"/>
      <c r="O31" s="88"/>
      <c r="P31" s="88"/>
      <c r="Q31" s="88"/>
      <c r="R31" s="88"/>
      <c r="S31" s="87"/>
      <c r="T31" s="87"/>
      <c r="U31" s="88"/>
      <c r="V31" s="87"/>
      <c r="W31" s="88"/>
      <c r="X31" s="88"/>
      <c r="Y31" s="88"/>
      <c r="Z31" s="87"/>
      <c r="AA31" s="87"/>
      <c r="AB31" s="88"/>
      <c r="AC31" s="88"/>
      <c r="AD31" s="88"/>
      <c r="AE31" s="88"/>
      <c r="AF31" s="88"/>
      <c r="AG31" s="87"/>
      <c r="AH31" s="87"/>
      <c r="AI31" s="92"/>
      <c r="AJ31" s="92"/>
      <c r="AK31" s="92"/>
      <c r="AL31" s="92"/>
      <c r="AM31" s="88"/>
      <c r="AN31" s="87"/>
      <c r="AO31" s="90"/>
    </row>
    <row r="32" spans="1:41" ht="24" customHeight="1">
      <c r="F32" s="143"/>
      <c r="G32" s="316">
        <f>COUNTA(G29:G31)</f>
        <v>1</v>
      </c>
      <c r="H32" s="316">
        <f>COUNTA(H29:H31)</f>
        <v>1</v>
      </c>
      <c r="I32" s="316">
        <f>COUNTA(I29:I31)</f>
        <v>1</v>
      </c>
      <c r="J32" s="316">
        <f>COUNTA(J29:J31)</f>
        <v>1</v>
      </c>
      <c r="K32" s="316">
        <f>COUNTA(K29:K31)</f>
        <v>1</v>
      </c>
      <c r="L32" s="317"/>
      <c r="M32" s="317"/>
      <c r="N32" s="316">
        <f>COUNTA(N29:N31)</f>
        <v>0</v>
      </c>
      <c r="O32" s="316">
        <f>COUNTA(O29:O31)</f>
        <v>0</v>
      </c>
      <c r="P32" s="316">
        <f>COUNTA(P29:P31)</f>
        <v>0</v>
      </c>
      <c r="Q32" s="316">
        <f>COUNTA(Q29:Q31)</f>
        <v>0</v>
      </c>
      <c r="R32" s="316">
        <f>COUNTA(R29:R31)</f>
        <v>0</v>
      </c>
      <c r="S32" s="318"/>
      <c r="T32" s="318"/>
      <c r="U32" s="316">
        <f>COUNTA(U29:U31)</f>
        <v>0</v>
      </c>
      <c r="V32" s="318">
        <f>COUNTA(V29:V31)</f>
        <v>0</v>
      </c>
      <c r="W32" s="316">
        <f>COUNTA(W29:W31)</f>
        <v>0</v>
      </c>
      <c r="X32" s="316">
        <f>COUNTA(X29:X31)</f>
        <v>0</v>
      </c>
      <c r="Y32" s="316">
        <f>COUNTA(Y29:Y31)</f>
        <v>0</v>
      </c>
      <c r="Z32" s="318"/>
      <c r="AA32" s="318"/>
      <c r="AB32" s="316">
        <f>COUNTA(AB29:AB31)</f>
        <v>0</v>
      </c>
      <c r="AC32" s="316">
        <f>COUNTA(AC29:AC31)</f>
        <v>0</v>
      </c>
      <c r="AD32" s="316">
        <f>COUNTA(AD29:AD31)</f>
        <v>0</v>
      </c>
      <c r="AE32" s="316">
        <f>COUNTA(AE29:AE31)</f>
        <v>0</v>
      </c>
      <c r="AF32" s="316">
        <f>COUNTA(AF29:AF31)</f>
        <v>0</v>
      </c>
      <c r="AG32" s="318"/>
      <c r="AH32" s="318"/>
      <c r="AI32" s="316">
        <f>COUNTA(AI29:AI31)</f>
        <v>0</v>
      </c>
      <c r="AJ32" s="316">
        <f>COUNTA(AJ29:AJ31)</f>
        <v>0</v>
      </c>
      <c r="AK32" s="316">
        <f>COUNTA(AK29:AK31)</f>
        <v>0</v>
      </c>
      <c r="AL32" s="316">
        <f>COUNTA(AL29:AL31)</f>
        <v>0</v>
      </c>
      <c r="AM32" s="316">
        <f>COUNTA(AM29:AM31)</f>
        <v>0</v>
      </c>
      <c r="AN32" s="318"/>
      <c r="AO32" s="319"/>
    </row>
    <row r="33" spans="4:41" ht="24" customHeight="1">
      <c r="D33" s="86" t="s">
        <v>176</v>
      </c>
      <c r="E33" s="86">
        <f t="shared" ref="E33:E38" si="0">SUM(L33,S33,Z33,AG33,AN33)</f>
        <v>5</v>
      </c>
      <c r="F33" s="86" t="s">
        <v>23</v>
      </c>
      <c r="G33" s="148">
        <f>COUNTIF(G8:G31,"TP")</f>
        <v>1</v>
      </c>
      <c r="H33" s="148">
        <f>COUNTIF(H8:H31,"TP")</f>
        <v>1</v>
      </c>
      <c r="I33" s="148">
        <f>COUNTIF(I8:I31,"TP")</f>
        <v>1</v>
      </c>
      <c r="J33" s="148">
        <f>COUNTIF(J8:J31,"TP")</f>
        <v>1</v>
      </c>
      <c r="K33" s="148">
        <f>COUNTIF(K8:K31,"TP")</f>
        <v>1</v>
      </c>
      <c r="L33" s="149">
        <f t="shared" ref="L33:L38" si="1">SUM(G33:K33)</f>
        <v>5</v>
      </c>
      <c r="M33" s="149"/>
      <c r="N33" s="148">
        <f>COUNTIF(N8:N31,"TP")</f>
        <v>0</v>
      </c>
      <c r="O33" s="148">
        <f>COUNTIF(O8:O31,"TP")</f>
        <v>0</v>
      </c>
      <c r="P33" s="148">
        <f>COUNTIF(P8:P31,"TP")</f>
        <v>0</v>
      </c>
      <c r="Q33" s="148">
        <f>COUNTIF(Q8:Q31,"TP")</f>
        <v>0</v>
      </c>
      <c r="R33" s="148">
        <f>COUNTIF(R8:R31,"TP")</f>
        <v>0</v>
      </c>
      <c r="S33" s="150">
        <f t="shared" ref="S33:S38" si="2">SUM(N33:R33)</f>
        <v>0</v>
      </c>
      <c r="T33" s="150"/>
      <c r="U33" s="148">
        <f>COUNTIF(U8:U31,"TP")</f>
        <v>0</v>
      </c>
      <c r="V33" s="150">
        <f>COUNTIF(V8:V31,"TP")</f>
        <v>0</v>
      </c>
      <c r="W33" s="148">
        <f>COUNTIF(W8:W31,"TP")</f>
        <v>0</v>
      </c>
      <c r="X33" s="148">
        <f>COUNTIF(X8:X31,"TP")</f>
        <v>0</v>
      </c>
      <c r="Y33" s="148">
        <f>COUNTIF(Y8:Y31,"TP")</f>
        <v>0</v>
      </c>
      <c r="Z33" s="150">
        <f t="shared" ref="Z33:Z38" si="3">SUM(U33:Y33)</f>
        <v>0</v>
      </c>
      <c r="AA33" s="150"/>
      <c r="AB33" s="148">
        <f>COUNTIF(AB8:AB31,"TP")</f>
        <v>0</v>
      </c>
      <c r="AC33" s="148">
        <f>COUNTIF(AC8:AC31,"TP")</f>
        <v>0</v>
      </c>
      <c r="AD33" s="148">
        <f>COUNTIF(AD8:AD31,"TP")</f>
        <v>0</v>
      </c>
      <c r="AE33" s="148">
        <f>COUNTIF(AE8:AE31,"TP")</f>
        <v>0</v>
      </c>
      <c r="AF33" s="148">
        <f>COUNTIF(AF8:AF31,"TP")</f>
        <v>0</v>
      </c>
      <c r="AG33" s="150">
        <f t="shared" ref="AG33:AG38" si="4">SUM(AB33:AF33)</f>
        <v>0</v>
      </c>
      <c r="AH33" s="150"/>
      <c r="AI33" s="148">
        <f>COUNTIF(AI8:AI31,"TP")</f>
        <v>0</v>
      </c>
      <c r="AJ33" s="148">
        <f>COUNTIF(AJ8:AJ31,"TP")</f>
        <v>0</v>
      </c>
      <c r="AK33" s="148">
        <f>COUNTIF(AK8:AK31,"TP")</f>
        <v>0</v>
      </c>
      <c r="AL33" s="148">
        <f>COUNTIF(AL8:AL31,"TP")</f>
        <v>0</v>
      </c>
      <c r="AM33" s="148">
        <f>COUNTIF(AM8:AM31,"TP")</f>
        <v>0</v>
      </c>
      <c r="AN33" s="150">
        <f t="shared" ref="AN33:AN38" si="5">SUM(AI33:AM33)</f>
        <v>0</v>
      </c>
      <c r="AO33" s="151"/>
    </row>
    <row r="34" spans="4:41" ht="24" customHeight="1">
      <c r="D34" s="152" t="s">
        <v>176</v>
      </c>
      <c r="E34" s="152">
        <f t="shared" si="0"/>
        <v>3</v>
      </c>
      <c r="F34" s="152" t="s">
        <v>24</v>
      </c>
      <c r="G34" s="148">
        <f>COUNTIF(G8:G31,"CSE") + COUNTIF(G8:G31,"RPX")</f>
        <v>0</v>
      </c>
      <c r="H34" s="148">
        <f>COUNTIF(H8:H31,"CSE") + COUNTIF(H8:H31,"RPX")</f>
        <v>0</v>
      </c>
      <c r="I34" s="148">
        <f>COUNTIF(I8:I31,"CSE") + COUNTIF(I8:I31,"RPX")</f>
        <v>0</v>
      </c>
      <c r="J34" s="148">
        <f>COUNTIF(J8:J31,"CSE") + COUNTIF(J8:J31,"RPX")</f>
        <v>0</v>
      </c>
      <c r="K34" s="148">
        <f>COUNTIF(K8:K31,"CSE") + COUNTIF(K8:K31,"RPX")</f>
        <v>0</v>
      </c>
      <c r="L34" s="149">
        <f t="shared" si="1"/>
        <v>0</v>
      </c>
      <c r="M34" s="149"/>
      <c r="N34" s="148">
        <f>COUNTIF(N8:N31,"CSE") + COUNTIF(N8:N31,"RPX")</f>
        <v>0</v>
      </c>
      <c r="O34" s="148">
        <f>COUNTIF(O8:O31,"CSE") + COUNTIF(O8:O31,"RPX")</f>
        <v>0</v>
      </c>
      <c r="P34" s="148">
        <f>COUNTIF(P8:P31,"CSE") + COUNTIF(P8:P31,"RPX")</f>
        <v>1</v>
      </c>
      <c r="Q34" s="148">
        <f>COUNTIF(Q8:Q31,"CSE") + COUNTIF(Q8:Q31,"RPX")</f>
        <v>0</v>
      </c>
      <c r="R34" s="148">
        <f>COUNTIF(R8:R31,"CSE") + COUNTIF(R8:R31,"RPX")</f>
        <v>0</v>
      </c>
      <c r="S34" s="150">
        <f t="shared" si="2"/>
        <v>1</v>
      </c>
      <c r="T34" s="150"/>
      <c r="U34" s="148">
        <f>COUNTIF(U9:U31,"CSE") + COUNTIF(U9:U31,"RPX")</f>
        <v>0</v>
      </c>
      <c r="V34" s="150">
        <f>COUNTIF(V9:V31,"CSE") + COUNTIF(V9:V31,"RPX")</f>
        <v>0</v>
      </c>
      <c r="W34" s="148">
        <f>COUNTIF(W9:W31,"CSE") + COUNTIF(W9:W31,"RPX")</f>
        <v>0</v>
      </c>
      <c r="X34" s="148">
        <f>COUNTIF(X9:X31,"CSE") + COUNTIF(X9:X31,"RPX")</f>
        <v>0</v>
      </c>
      <c r="Y34" s="148">
        <f>COUNTIF(Y9:Y31,"CSE") + COUNTIF(Y9:Y31,"RPX")</f>
        <v>0</v>
      </c>
      <c r="Z34" s="150">
        <f t="shared" si="3"/>
        <v>0</v>
      </c>
      <c r="AA34" s="150"/>
      <c r="AB34" s="148">
        <f>COUNTIF(AB8:AB31,"CSE") + COUNTIF(AB8:AB31,"RPX")</f>
        <v>0</v>
      </c>
      <c r="AC34" s="148">
        <f>COUNTIF(AC8:AC31,"CSE") + COUNTIF(AC8:AC31,"RPX")</f>
        <v>0</v>
      </c>
      <c r="AD34" s="148">
        <f>COUNTIF(AD8:AD31,"CSE") + COUNTIF(AD8:AD31,"RPX")</f>
        <v>0</v>
      </c>
      <c r="AE34" s="148">
        <f>COUNTIF(AE8:AE31,"CSE") + COUNTIF(AE8:AE31,"RPX")</f>
        <v>1</v>
      </c>
      <c r="AF34" s="148">
        <f>COUNTIF(AF8:AF31,"CSE") + COUNTIF(AF8:AF31,"RPX")</f>
        <v>1</v>
      </c>
      <c r="AG34" s="150">
        <f t="shared" si="4"/>
        <v>2</v>
      </c>
      <c r="AH34" s="150"/>
      <c r="AI34" s="148">
        <f>COUNTIF(AI8:AI31,"CSE") + COUNTIF(AI8:AI31,"RPX")</f>
        <v>0</v>
      </c>
      <c r="AJ34" s="148">
        <f>COUNTIF(AJ8:AJ31,"CSE") + COUNTIF(AJ8:AJ31,"RPX")</f>
        <v>0</v>
      </c>
      <c r="AK34" s="148">
        <f>COUNTIF(AK8:AK31,"CSE") + COUNTIF(AK8:AK31,"RPX")</f>
        <v>0</v>
      </c>
      <c r="AL34" s="148">
        <f>COUNTIF(AL8:AL31,"CSE") + COUNTIF(AL8:AL31,"RPX")</f>
        <v>0</v>
      </c>
      <c r="AM34" s="148">
        <f>COUNTIF(AM8:AM31,"CSE") + COUNTIF(AM8:AM31,"RPX")</f>
        <v>0</v>
      </c>
      <c r="AN34" s="150">
        <f t="shared" si="5"/>
        <v>0</v>
      </c>
      <c r="AO34" s="151"/>
    </row>
    <row r="35" spans="4:41" ht="24" customHeight="1">
      <c r="D35" s="153" t="s">
        <v>176</v>
      </c>
      <c r="E35" s="153">
        <f t="shared" si="0"/>
        <v>85</v>
      </c>
      <c r="F35" s="153" t="s">
        <v>25</v>
      </c>
      <c r="G35" s="148">
        <f>COUNTIF(G8:G31,"CA/RC")</f>
        <v>2</v>
      </c>
      <c r="H35" s="148">
        <f>COUNTIF(H8:H31,"CA/RC")</f>
        <v>2</v>
      </c>
      <c r="I35" s="148">
        <f>COUNTIF(I8:I31,"CA/RC")</f>
        <v>2</v>
      </c>
      <c r="J35" s="148">
        <f>COUNTIF(J8:J31,"CA/RC")</f>
        <v>2</v>
      </c>
      <c r="K35" s="148">
        <f>COUNTIF(K8:K31,"CA/RC")</f>
        <v>2</v>
      </c>
      <c r="L35" s="149">
        <f t="shared" si="1"/>
        <v>10</v>
      </c>
      <c r="M35" s="149"/>
      <c r="N35" s="148">
        <f>COUNTIF(N8:N31,"CA/RC")</f>
        <v>4</v>
      </c>
      <c r="O35" s="148">
        <f>COUNTIF(O8:O31,"CA/RC")</f>
        <v>4</v>
      </c>
      <c r="P35" s="148">
        <f>COUNTIF(P8:P31,"CA/RC")</f>
        <v>3</v>
      </c>
      <c r="Q35" s="148">
        <f>COUNTIF(Q8:Q31,"CA/RC")</f>
        <v>4</v>
      </c>
      <c r="R35" s="148">
        <f>COUNTIF(R8:R31,"CA/RC")</f>
        <v>4</v>
      </c>
      <c r="S35" s="150">
        <f t="shared" si="2"/>
        <v>19</v>
      </c>
      <c r="T35" s="150"/>
      <c r="U35" s="148">
        <f>COUNTIF(U8:U31,"CA/RC")</f>
        <v>4</v>
      </c>
      <c r="V35" s="150">
        <f>COUNTIF(V8:V31,"CA/RC")</f>
        <v>0</v>
      </c>
      <c r="W35" s="148">
        <f>COUNTIF(W8:W31,"CA/RC")</f>
        <v>4</v>
      </c>
      <c r="X35" s="148">
        <f>COUNTIF(X8:X31,"CA/RC")</f>
        <v>4</v>
      </c>
      <c r="Y35" s="148">
        <f>COUNTIF(Y8:Y31,"CA/RC")</f>
        <v>4</v>
      </c>
      <c r="Z35" s="150">
        <f t="shared" si="3"/>
        <v>16</v>
      </c>
      <c r="AA35" s="150"/>
      <c r="AB35" s="148">
        <f>COUNTIF(AB8:AB31,"CA/RC")</f>
        <v>4</v>
      </c>
      <c r="AC35" s="148">
        <f>COUNTIF(AC8:AC31,"CA/RC")</f>
        <v>4</v>
      </c>
      <c r="AD35" s="148">
        <f>COUNTIF(AD8:AD31,"CA/RC")</f>
        <v>4</v>
      </c>
      <c r="AE35" s="148">
        <f>COUNTIF(AE8:AE31,"CA/RC")</f>
        <v>4</v>
      </c>
      <c r="AF35" s="148">
        <f>COUNTIF(AF8:AF31,"CA/RC")</f>
        <v>4</v>
      </c>
      <c r="AG35" s="150">
        <f t="shared" si="4"/>
        <v>20</v>
      </c>
      <c r="AH35" s="150"/>
      <c r="AI35" s="148">
        <f>COUNTIF(AI8:AI31,"CA/RC")</f>
        <v>4</v>
      </c>
      <c r="AJ35" s="148">
        <f>COUNTIF(AJ8:AJ31,"CA/RC")</f>
        <v>4</v>
      </c>
      <c r="AK35" s="148">
        <f>COUNTIF(AK8:AK31,"CA/RC")</f>
        <v>4</v>
      </c>
      <c r="AL35" s="148">
        <f>COUNTIF(AL8:AL31,"CA/RC")</f>
        <v>4</v>
      </c>
      <c r="AM35" s="148">
        <f>COUNTIF(AM8:AM31,"CA/RC")</f>
        <v>4</v>
      </c>
      <c r="AN35" s="150">
        <f t="shared" si="5"/>
        <v>20</v>
      </c>
      <c r="AO35" s="151"/>
    </row>
    <row r="36" spans="4:41" ht="24" customHeight="1">
      <c r="D36" s="154" t="s">
        <v>176</v>
      </c>
      <c r="E36" s="154">
        <f t="shared" si="0"/>
        <v>0</v>
      </c>
      <c r="F36" s="154" t="s">
        <v>26</v>
      </c>
      <c r="G36" s="148">
        <f>COUNTIF(G8:G31,"ATM/ATA")</f>
        <v>0</v>
      </c>
      <c r="H36" s="148">
        <f>COUNTIF(H8:H31,"ATM/ATA")</f>
        <v>0</v>
      </c>
      <c r="I36" s="148">
        <f>COUNTIF(I8:I31,"ATM/ATA")</f>
        <v>0</v>
      </c>
      <c r="J36" s="148">
        <f>COUNTIF(J8:J31,"ATM/ATA")</f>
        <v>0</v>
      </c>
      <c r="K36" s="148">
        <f>COUNTIF(K8:K31,"ATM/ATA")</f>
        <v>0</v>
      </c>
      <c r="L36" s="149">
        <f t="shared" si="1"/>
        <v>0</v>
      </c>
      <c r="M36" s="149"/>
      <c r="N36" s="148">
        <f>COUNTIF(N8:N31,"ATM/ATA")</f>
        <v>0</v>
      </c>
      <c r="O36" s="148">
        <f>COUNTIF(O8:O31,"ATM/ATA")</f>
        <v>0</v>
      </c>
      <c r="P36" s="148">
        <f>COUNTIF(P8:P31,"ATM/ATA")</f>
        <v>0</v>
      </c>
      <c r="Q36" s="148">
        <f>COUNTIF(Q8:Q31,"ATM/ATA")</f>
        <v>0</v>
      </c>
      <c r="R36" s="148">
        <f>COUNTIF(R8:R31,"ATM/ATA")</f>
        <v>0</v>
      </c>
      <c r="S36" s="150">
        <f t="shared" si="2"/>
        <v>0</v>
      </c>
      <c r="T36" s="150"/>
      <c r="U36" s="148">
        <f>COUNTIF(U8:U31,"ATM/ATA")</f>
        <v>0</v>
      </c>
      <c r="V36" s="150">
        <f>COUNTIF(V8:V31,"ATM/ATA")</f>
        <v>0</v>
      </c>
      <c r="W36" s="148">
        <f>COUNTIF(W8:W31,"ATM/ATA")</f>
        <v>0</v>
      </c>
      <c r="X36" s="148">
        <f>COUNTIF(X8:X31,"ATM/ATA")</f>
        <v>0</v>
      </c>
      <c r="Y36" s="148">
        <f>COUNTIF(Y8:Y31,"ATM/ATA")</f>
        <v>0</v>
      </c>
      <c r="Z36" s="150">
        <f t="shared" si="3"/>
        <v>0</v>
      </c>
      <c r="AA36" s="150"/>
      <c r="AB36" s="148">
        <f>COUNTIF(AB8:AB31,"ATM/ATA")</f>
        <v>0</v>
      </c>
      <c r="AC36" s="148">
        <f>COUNTIF(AC8:AC31,"ATM/ATA")</f>
        <v>0</v>
      </c>
      <c r="AD36" s="148">
        <f>COUNTIF(AD8:AD31,"ATM/ATA")</f>
        <v>0</v>
      </c>
      <c r="AE36" s="148">
        <f>COUNTIF(AE8:AE31,"ATM/ATA")</f>
        <v>0</v>
      </c>
      <c r="AF36" s="148">
        <f>COUNTIF(AF8:AF31,"ATM/ATA")</f>
        <v>0</v>
      </c>
      <c r="AG36" s="150">
        <f t="shared" si="4"/>
        <v>0</v>
      </c>
      <c r="AH36" s="150"/>
      <c r="AI36" s="148">
        <f>COUNTIF(AI8:AI31,"ATM/ATA")</f>
        <v>0</v>
      </c>
      <c r="AJ36" s="148">
        <f>COUNTIF(AJ8:AJ31,"ATM/ATA")</f>
        <v>0</v>
      </c>
      <c r="AK36" s="148">
        <f>COUNTIF(AK8:AK31,"ATM/ATA")</f>
        <v>0</v>
      </c>
      <c r="AL36" s="148">
        <f>COUNTIF(AL8:AL31,"ATM/ATA")</f>
        <v>0</v>
      </c>
      <c r="AM36" s="148">
        <f>COUNTIF(AM8:AM31,"ATM/ATA")</f>
        <v>0</v>
      </c>
      <c r="AN36" s="150">
        <f t="shared" si="5"/>
        <v>0</v>
      </c>
      <c r="AO36" s="151"/>
    </row>
    <row r="37" spans="4:41" ht="24" customHeight="1">
      <c r="D37" s="122" t="s">
        <v>176</v>
      </c>
      <c r="E37" s="122">
        <f t="shared" si="0"/>
        <v>0</v>
      </c>
      <c r="F37" s="122" t="s">
        <v>27</v>
      </c>
      <c r="G37" s="148">
        <f>COUNTIF(G8:G31,"ASA")</f>
        <v>0</v>
      </c>
      <c r="H37" s="148">
        <f>COUNTIF(H8:H31,"ASA")</f>
        <v>0</v>
      </c>
      <c r="I37" s="148">
        <f>COUNTIF(I8:I31,"ASA")</f>
        <v>0</v>
      </c>
      <c r="J37" s="148">
        <f>COUNTIF(J8:J31,"ASA")</f>
        <v>0</v>
      </c>
      <c r="K37" s="148">
        <f>COUNTIF(K8:K31,"ASA")</f>
        <v>0</v>
      </c>
      <c r="L37" s="149">
        <f t="shared" si="1"/>
        <v>0</v>
      </c>
      <c r="M37" s="149"/>
      <c r="N37" s="148">
        <f>COUNTIF(N8:N31,"ASA")</f>
        <v>0</v>
      </c>
      <c r="O37" s="148">
        <f>COUNTIF(O8:O31,"ASA")</f>
        <v>0</v>
      </c>
      <c r="P37" s="148">
        <f>COUNTIF(P8:P31,"ASA")</f>
        <v>0</v>
      </c>
      <c r="Q37" s="148">
        <f>COUNTIF(Q8:Q31,"ASA")</f>
        <v>0</v>
      </c>
      <c r="R37" s="148">
        <f>COUNTIF(R8:R31,"ASA")</f>
        <v>0</v>
      </c>
      <c r="S37" s="150">
        <f t="shared" si="2"/>
        <v>0</v>
      </c>
      <c r="T37" s="150"/>
      <c r="U37" s="148">
        <f>COUNTIF(U8:U31,"ASA")</f>
        <v>0</v>
      </c>
      <c r="V37" s="150">
        <f>COUNTIF(V8:V31,"ASA")</f>
        <v>0</v>
      </c>
      <c r="W37" s="148">
        <f>COUNTIF(W8:W31,"ASA")</f>
        <v>0</v>
      </c>
      <c r="X37" s="148">
        <f>COUNTIF(X8:X31,"ASA")</f>
        <v>0</v>
      </c>
      <c r="Y37" s="148">
        <f>COUNTIF(Y8:Y31,"ASA")</f>
        <v>0</v>
      </c>
      <c r="Z37" s="150">
        <f t="shared" si="3"/>
        <v>0</v>
      </c>
      <c r="AA37" s="150"/>
      <c r="AB37" s="148">
        <f>COUNTIF(AB8:AB31,"ASA")</f>
        <v>0</v>
      </c>
      <c r="AC37" s="148">
        <f>COUNTIF(AC8:AC31,"ASA")</f>
        <v>0</v>
      </c>
      <c r="AD37" s="148">
        <f>COUNTIF(AD8:AD31,"ASA")</f>
        <v>0</v>
      </c>
      <c r="AE37" s="148">
        <f>COUNTIF(AE8:AE31,"ASA")</f>
        <v>0</v>
      </c>
      <c r="AF37" s="148">
        <f>COUNTIF(AF8:AF31,"ASA")</f>
        <v>0</v>
      </c>
      <c r="AG37" s="150">
        <f t="shared" si="4"/>
        <v>0</v>
      </c>
      <c r="AH37" s="150"/>
      <c r="AI37" s="148">
        <f>COUNTIF(AI8:AI31,"ASA")</f>
        <v>0</v>
      </c>
      <c r="AJ37" s="148">
        <f>COUNTIF(AJ8:AJ31,"ASA")</f>
        <v>0</v>
      </c>
      <c r="AK37" s="148">
        <f>COUNTIF(AK8:AK31,"ASA")</f>
        <v>0</v>
      </c>
      <c r="AL37" s="148">
        <f>COUNTIF(AL8:AL31,"ASA")</f>
        <v>0</v>
      </c>
      <c r="AM37" s="148">
        <f>COUNTIF(AM8:AM31,"ASA")</f>
        <v>0</v>
      </c>
      <c r="AN37" s="150">
        <f t="shared" si="5"/>
        <v>0</v>
      </c>
      <c r="AO37" s="151"/>
    </row>
    <row r="38" spans="4:41" ht="24" customHeight="1">
      <c r="D38" s="155" t="s">
        <v>176</v>
      </c>
      <c r="E38" s="155">
        <f t="shared" si="0"/>
        <v>0</v>
      </c>
      <c r="F38" s="155" t="s">
        <v>28</v>
      </c>
      <c r="G38" s="148">
        <f>COUNTIF(G8:G31,"FORM")</f>
        <v>0</v>
      </c>
      <c r="H38" s="148">
        <f>COUNTIF(H8:H31,"FORM")</f>
        <v>0</v>
      </c>
      <c r="I38" s="148">
        <f>COUNTIF(I8:I31,"FORM")</f>
        <v>0</v>
      </c>
      <c r="J38" s="148">
        <f>COUNTIF(J8:J31,"FORM")</f>
        <v>0</v>
      </c>
      <c r="K38" s="148">
        <f>COUNTIF(K8:K31,"FORM")</f>
        <v>0</v>
      </c>
      <c r="L38" s="149">
        <f t="shared" si="1"/>
        <v>0</v>
      </c>
      <c r="M38" s="149"/>
      <c r="N38" s="148">
        <f>COUNTIF(N8:N31,"FORM")</f>
        <v>0</v>
      </c>
      <c r="O38" s="148">
        <f>COUNTIF(O8:O31,"FORM")</f>
        <v>0</v>
      </c>
      <c r="P38" s="148">
        <f>COUNTIF(P8:P31,"FORM")</f>
        <v>0</v>
      </c>
      <c r="Q38" s="148">
        <f>COUNTIF(Q8:Q31,"FORM")</f>
        <v>0</v>
      </c>
      <c r="R38" s="148">
        <f>COUNTIF(R8:R31,"FORM")</f>
        <v>0</v>
      </c>
      <c r="S38" s="150">
        <f t="shared" si="2"/>
        <v>0</v>
      </c>
      <c r="T38" s="150"/>
      <c r="U38" s="148">
        <f>COUNTIF(U8:U31,"FORM")</f>
        <v>0</v>
      </c>
      <c r="V38" s="150">
        <f>COUNTIF(V8:V31,"FORM")</f>
        <v>0</v>
      </c>
      <c r="W38" s="148">
        <f>COUNTIF(W8:W31,"FORM")</f>
        <v>0</v>
      </c>
      <c r="X38" s="148">
        <f>COUNTIF(X8:X31,"FORM")</f>
        <v>0</v>
      </c>
      <c r="Y38" s="148">
        <f>COUNTIF(Y8:Y31,"FORM")</f>
        <v>0</v>
      </c>
      <c r="Z38" s="150">
        <f t="shared" si="3"/>
        <v>0</v>
      </c>
      <c r="AA38" s="150"/>
      <c r="AB38" s="148">
        <f>COUNTIF(AB8:AB31,"FORM")</f>
        <v>0</v>
      </c>
      <c r="AC38" s="148">
        <f>COUNTIF(AC8:AC31,"FORM")</f>
        <v>0</v>
      </c>
      <c r="AD38" s="148">
        <f>COUNTIF(AD8:AD31,"FORM")</f>
        <v>0</v>
      </c>
      <c r="AE38" s="148">
        <f>COUNTIF(AE8:AE31,"FORM")</f>
        <v>0</v>
      </c>
      <c r="AF38" s="148">
        <f>COUNTIF(AF8:AF31,"FORM")</f>
        <v>0</v>
      </c>
      <c r="AG38" s="150">
        <f t="shared" si="4"/>
        <v>0</v>
      </c>
      <c r="AH38" s="150"/>
      <c r="AI38" s="148">
        <f>COUNTIF(AI8:AI31,"FORM")</f>
        <v>0</v>
      </c>
      <c r="AJ38" s="148">
        <f>COUNTIF(AJ8:AJ31,"FORM")</f>
        <v>0</v>
      </c>
      <c r="AK38" s="148">
        <f>COUNTIF(AK8:AK31,"FORM")</f>
        <v>0</v>
      </c>
      <c r="AL38" s="148">
        <f>COUNTIF(AL8:AL31,"FORM")</f>
        <v>0</v>
      </c>
      <c r="AM38" s="148">
        <f>COUNTIF(AM8:AM31,"FORM")</f>
        <v>0</v>
      </c>
      <c r="AN38" s="150">
        <f t="shared" si="5"/>
        <v>0</v>
      </c>
      <c r="AO38" s="151"/>
    </row>
    <row r="39" spans="4:41" ht="24" customHeight="1">
      <c r="D39" s="156" t="s">
        <v>177</v>
      </c>
      <c r="E39" s="156">
        <f>AVERAGE(G39:AM39)</f>
        <v>3.875</v>
      </c>
      <c r="F39" s="215" t="s">
        <v>178</v>
      </c>
      <c r="G39" s="158">
        <f>SUM(G33:G38)</f>
        <v>3</v>
      </c>
      <c r="H39" s="158">
        <f>SUM(H33:H38)</f>
        <v>3</v>
      </c>
      <c r="I39" s="158">
        <f>SUM(I33:I38)</f>
        <v>3</v>
      </c>
      <c r="J39" s="158">
        <f>SUM(J33:J38)</f>
        <v>3</v>
      </c>
      <c r="K39" s="158">
        <f>SUM(K33:K38)</f>
        <v>3</v>
      </c>
      <c r="L39" s="158"/>
      <c r="M39" s="158"/>
      <c r="N39" s="158">
        <f>SUM(N33:N38)</f>
        <v>4</v>
      </c>
      <c r="O39" s="158">
        <f>SUM(O33:O38)</f>
        <v>4</v>
      </c>
      <c r="P39" s="158">
        <f>SUM(P33:P38)</f>
        <v>4</v>
      </c>
      <c r="Q39" s="158">
        <f>SUM(Q33:Q38)</f>
        <v>4</v>
      </c>
      <c r="R39" s="158">
        <f>SUM(R33:R38)</f>
        <v>4</v>
      </c>
      <c r="S39" s="158"/>
      <c r="T39" s="158"/>
      <c r="U39" s="158">
        <f>SUM(U33:U38)</f>
        <v>4</v>
      </c>
      <c r="V39" s="158"/>
      <c r="W39" s="158">
        <f>SUM(W33:W38)</f>
        <v>4</v>
      </c>
      <c r="X39" s="158">
        <f>SUM(X33:X38)</f>
        <v>4</v>
      </c>
      <c r="Y39" s="158">
        <f>SUM(Y33:Y38)</f>
        <v>4</v>
      </c>
      <c r="Z39" s="158"/>
      <c r="AA39" s="158"/>
      <c r="AB39" s="158">
        <f>SUM(AB33:AB38)</f>
        <v>4</v>
      </c>
      <c r="AC39" s="158">
        <f>SUM(AC33:AC38)</f>
        <v>4</v>
      </c>
      <c r="AD39" s="158">
        <f>SUM(AD33:AD38)</f>
        <v>4</v>
      </c>
      <c r="AE39" s="158">
        <f>SUM(AE33:AE38)</f>
        <v>5</v>
      </c>
      <c r="AF39" s="158">
        <f>SUM(AF33:AF38)</f>
        <v>5</v>
      </c>
      <c r="AG39" s="158"/>
      <c r="AH39" s="158"/>
      <c r="AI39" s="158">
        <f>SUM(AI33:AI38)</f>
        <v>4</v>
      </c>
      <c r="AJ39" s="158">
        <f>SUM(AJ33:AJ38)</f>
        <v>4</v>
      </c>
      <c r="AK39" s="158">
        <f>SUM(AK33:AK38)</f>
        <v>4</v>
      </c>
      <c r="AL39" s="158">
        <f>SUM(AL33:AL38)</f>
        <v>4</v>
      </c>
      <c r="AM39" s="158">
        <f>SUM(AM33:AM38)</f>
        <v>4</v>
      </c>
      <c r="AN39" s="158"/>
      <c r="AO39" s="159"/>
    </row>
    <row r="40" spans="4:41" ht="24" customHeight="1">
      <c r="D40" s="156" t="s">
        <v>177</v>
      </c>
      <c r="E40" s="156">
        <f>AVERAGE(G40:AM40)</f>
        <v>16.333333333333332</v>
      </c>
      <c r="F40" s="353" t="s">
        <v>179</v>
      </c>
      <c r="G40" s="158">
        <f>(20+G32)-G39</f>
        <v>18</v>
      </c>
      <c r="H40" s="158">
        <f>(20+H32)-H39</f>
        <v>18</v>
      </c>
      <c r="I40" s="158">
        <f>(20+I32)-I39</f>
        <v>18</v>
      </c>
      <c r="J40" s="158">
        <f>(20+J32)-J39</f>
        <v>18</v>
      </c>
      <c r="K40" s="158">
        <f>(20+K32)-K39</f>
        <v>18</v>
      </c>
      <c r="L40" s="158"/>
      <c r="M40" s="158"/>
      <c r="N40" s="158">
        <f>(20+N32)-N39</f>
        <v>16</v>
      </c>
      <c r="O40" s="158">
        <f>(20+O32)-O39</f>
        <v>16</v>
      </c>
      <c r="P40" s="158">
        <f>(20+P32)-P39</f>
        <v>16</v>
      </c>
      <c r="Q40" s="158">
        <f>(20+Q32)-Q39</f>
        <v>16</v>
      </c>
      <c r="R40" s="158">
        <f>(20+R32)-R39</f>
        <v>16</v>
      </c>
      <c r="S40" s="158"/>
      <c r="T40" s="158"/>
      <c r="U40" s="158">
        <f>(20+U32)-U39</f>
        <v>16</v>
      </c>
      <c r="V40" s="158"/>
      <c r="W40" s="158">
        <f>(20+W32)-W39</f>
        <v>16</v>
      </c>
      <c r="X40" s="158">
        <f>(20+X32)-X39</f>
        <v>16</v>
      </c>
      <c r="Y40" s="158">
        <f>(20+Y32)-Y39</f>
        <v>16</v>
      </c>
      <c r="Z40" s="158"/>
      <c r="AA40" s="158"/>
      <c r="AB40" s="158">
        <f>(20+AB32)-AB39</f>
        <v>16</v>
      </c>
      <c r="AC40" s="158">
        <f>(20+AC32)-AC39</f>
        <v>16</v>
      </c>
      <c r="AD40" s="158">
        <f>(20+AD32)-AD39</f>
        <v>16</v>
      </c>
      <c r="AE40" s="158">
        <f>(20+AE32)-AE39</f>
        <v>15</v>
      </c>
      <c r="AF40" s="158">
        <f>(20+AF32)-AF39</f>
        <v>15</v>
      </c>
      <c r="AG40" s="158"/>
      <c r="AH40" s="158"/>
      <c r="AI40" s="158">
        <f>(20+AI32)-AI39</f>
        <v>16</v>
      </c>
      <c r="AJ40" s="158">
        <f>(20+AJ32)-AJ39</f>
        <v>16</v>
      </c>
      <c r="AK40" s="158">
        <f>(20+AK32)-AK39</f>
        <v>16</v>
      </c>
      <c r="AL40" s="158">
        <f>(20+AL32)-AL39</f>
        <v>16</v>
      </c>
      <c r="AM40" s="158">
        <f>(20+AM32)-AM39</f>
        <v>16</v>
      </c>
      <c r="AN40" s="158"/>
      <c r="AO40" s="159"/>
    </row>
    <row r="41" spans="4:41" ht="24" customHeight="1">
      <c r="D41" s="156" t="s">
        <v>177</v>
      </c>
      <c r="E41" s="156">
        <f>AVERAGE(G41:AM41)</f>
        <v>16</v>
      </c>
      <c r="F41" s="216" t="s">
        <v>180</v>
      </c>
      <c r="G41" s="161">
        <v>16</v>
      </c>
      <c r="H41" s="161">
        <v>16</v>
      </c>
      <c r="I41" s="161">
        <v>16</v>
      </c>
      <c r="J41" s="161">
        <v>16</v>
      </c>
      <c r="K41" s="161">
        <v>16</v>
      </c>
      <c r="L41" s="161"/>
      <c r="M41" s="161"/>
      <c r="N41" s="161">
        <v>16</v>
      </c>
      <c r="O41" s="161">
        <v>16</v>
      </c>
      <c r="P41" s="161">
        <v>16</v>
      </c>
      <c r="Q41" s="161">
        <v>16</v>
      </c>
      <c r="R41" s="161">
        <v>16</v>
      </c>
      <c r="S41" s="162"/>
      <c r="T41" s="162"/>
      <c r="U41" s="161">
        <v>16</v>
      </c>
      <c r="V41" s="161"/>
      <c r="W41" s="161">
        <v>16</v>
      </c>
      <c r="X41" s="161">
        <v>16</v>
      </c>
      <c r="Y41" s="161">
        <v>16</v>
      </c>
      <c r="Z41" s="162"/>
      <c r="AA41" s="162"/>
      <c r="AB41" s="161">
        <v>16</v>
      </c>
      <c r="AC41" s="161">
        <v>16</v>
      </c>
      <c r="AD41" s="161">
        <v>16</v>
      </c>
      <c r="AE41" s="161">
        <v>16</v>
      </c>
      <c r="AF41" s="161">
        <v>16</v>
      </c>
      <c r="AG41" s="162"/>
      <c r="AH41" s="162"/>
      <c r="AI41" s="161">
        <v>16</v>
      </c>
      <c r="AJ41" s="161">
        <v>16</v>
      </c>
      <c r="AK41" s="161">
        <v>16</v>
      </c>
      <c r="AL41" s="161">
        <v>16</v>
      </c>
      <c r="AM41" s="161">
        <v>16</v>
      </c>
      <c r="AN41" s="162"/>
      <c r="AO41" s="163"/>
    </row>
    <row r="42" spans="4:41" ht="24" customHeight="1">
      <c r="D42" s="156" t="s">
        <v>177</v>
      </c>
      <c r="E42" s="156">
        <f>AVERAGE(G42:AM42)</f>
        <v>0.33333333333333331</v>
      </c>
      <c r="F42" s="217" t="s">
        <v>181</v>
      </c>
      <c r="G42" s="166">
        <f>G40-G41</f>
        <v>2</v>
      </c>
      <c r="H42" s="166">
        <f>H40-H41</f>
        <v>2</v>
      </c>
      <c r="I42" s="166">
        <f>I40-I41</f>
        <v>2</v>
      </c>
      <c r="J42" s="166">
        <f>J40-J41</f>
        <v>2</v>
      </c>
      <c r="K42" s="166">
        <f>K40-K41</f>
        <v>2</v>
      </c>
      <c r="L42" s="166"/>
      <c r="M42" s="166"/>
      <c r="N42" s="166">
        <f>N40-N41</f>
        <v>0</v>
      </c>
      <c r="O42" s="166">
        <f>O40-O41</f>
        <v>0</v>
      </c>
      <c r="P42" s="166">
        <f>P40-P41</f>
        <v>0</v>
      </c>
      <c r="Q42" s="166">
        <f>Q40-Q41</f>
        <v>0</v>
      </c>
      <c r="R42" s="166">
        <f>R40-R41</f>
        <v>0</v>
      </c>
      <c r="S42" s="166"/>
      <c r="T42" s="166"/>
      <c r="U42" s="166">
        <f>U40-U41</f>
        <v>0</v>
      </c>
      <c r="V42" s="166"/>
      <c r="W42" s="166">
        <f>W40-W41</f>
        <v>0</v>
      </c>
      <c r="X42" s="166">
        <f>X40-X41</f>
        <v>0</v>
      </c>
      <c r="Y42" s="166">
        <f>Y40-Y41</f>
        <v>0</v>
      </c>
      <c r="Z42" s="166"/>
      <c r="AA42" s="166"/>
      <c r="AB42" s="166">
        <f>AB40-AB41</f>
        <v>0</v>
      </c>
      <c r="AC42" s="166">
        <f>AC40-AC41</f>
        <v>0</v>
      </c>
      <c r="AD42" s="166">
        <f>AD40-AD41</f>
        <v>0</v>
      </c>
      <c r="AE42" s="166">
        <f>AE40-AE41</f>
        <v>-1</v>
      </c>
      <c r="AF42" s="166">
        <f>AF40-AF41</f>
        <v>-1</v>
      </c>
      <c r="AG42" s="166"/>
      <c r="AH42" s="166"/>
      <c r="AI42" s="166">
        <f>AI40-AI41</f>
        <v>0</v>
      </c>
      <c r="AJ42" s="166">
        <f>AJ40-AJ41</f>
        <v>0</v>
      </c>
      <c r="AK42" s="166">
        <f>AK40-AK41</f>
        <v>0</v>
      </c>
      <c r="AL42" s="166">
        <f>AL40-AL41</f>
        <v>0</v>
      </c>
      <c r="AM42" s="166">
        <f>AM40-AM41</f>
        <v>0</v>
      </c>
      <c r="AN42" s="166"/>
      <c r="AO42" s="167"/>
    </row>
    <row r="43" spans="4:41" ht="18.75" customHeight="1">
      <c r="F43" s="13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 spans="4:41" ht="18.75" customHeight="1">
      <c r="F44" s="13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 spans="4:41" ht="18.75" customHeight="1">
      <c r="F45" s="13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 spans="4:41" ht="18.75" customHeight="1">
      <c r="F46" s="13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</row>
    <row r="47" spans="4:41" ht="18.75" customHeight="1">
      <c r="F47" s="13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 spans="4:41" ht="18.75" customHeight="1">
      <c r="F48" s="13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 spans="6:37" ht="18.75" customHeight="1">
      <c r="F49" s="13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 spans="6:37" ht="18.75" customHeight="1">
      <c r="F50" s="13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 spans="6:37" ht="18.75" customHeight="1">
      <c r="F51" s="13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 spans="6:37" ht="18.75" customHeight="1">
      <c r="F52" s="13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 spans="6:37" ht="18.75" customHeight="1">
      <c r="F53" s="13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 spans="6:37" ht="18.75" customHeight="1">
      <c r="F54" s="13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 spans="6:37" ht="18.75" customHeight="1">
      <c r="F55" s="13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</row>
    <row r="56" spans="6:37" ht="18.75" customHeight="1">
      <c r="F56" s="13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 spans="6:37" ht="18.75" customHeight="1">
      <c r="F57" s="13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 spans="6:37" ht="18.75" customHeight="1">
      <c r="F58" s="13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</row>
    <row r="59" spans="6:37" ht="18.75" customHeight="1">
      <c r="F59" s="13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</row>
    <row r="60" spans="6:37" ht="18.75" customHeight="1">
      <c r="F60" s="13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 spans="6:37" ht="18.75" customHeight="1">
      <c r="F61" s="13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</row>
    <row r="62" spans="6:37" ht="18.75" customHeight="1">
      <c r="F62" s="13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 spans="6:37" ht="18.75" customHeight="1">
      <c r="F63" s="13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</row>
    <row r="64" spans="6:37" ht="18.75" customHeight="1">
      <c r="F64" s="13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</row>
    <row r="65" spans="6:37" ht="18.75" customHeight="1">
      <c r="F65" s="13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 spans="6:37" ht="18.75" customHeight="1">
      <c r="F66" s="13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</row>
    <row r="67" spans="6:37" ht="18.75" customHeight="1">
      <c r="F67" s="13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</row>
    <row r="68" spans="6:37" ht="18.75" customHeight="1">
      <c r="F68" s="13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</row>
    <row r="69" spans="6:37" ht="18.75" customHeight="1">
      <c r="F69" s="13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</row>
    <row r="70" spans="6:37" ht="18.75" customHeight="1">
      <c r="F70" s="13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</row>
    <row r="71" spans="6:37" ht="18.75" customHeight="1">
      <c r="F71" s="13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</row>
    <row r="72" spans="6:37" ht="18.75" customHeight="1">
      <c r="F72" s="13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 spans="6:37" ht="18.75" customHeight="1">
      <c r="F73" s="13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</row>
    <row r="74" spans="6:37" ht="18.75" customHeight="1">
      <c r="F74" s="13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</row>
    <row r="75" spans="6:37" ht="18.75" customHeight="1">
      <c r="F75" s="13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 spans="6:37" ht="18.75" customHeight="1">
      <c r="F76" s="13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</row>
    <row r="77" spans="6:37" ht="18.75" customHeight="1">
      <c r="F77" s="13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</row>
    <row r="78" spans="6:37" ht="18.75" customHeight="1">
      <c r="F78" s="13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 spans="6:37" ht="18.75" customHeight="1">
      <c r="F79" s="13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 spans="6:37" ht="18.75" customHeight="1">
      <c r="F80" s="13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</row>
    <row r="81" spans="6:37" ht="18.75" customHeight="1">
      <c r="F81" s="13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</row>
    <row r="82" spans="6:37" ht="18.75" customHeight="1">
      <c r="F82" s="13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</row>
    <row r="83" spans="6:37" ht="18.75" customHeight="1">
      <c r="F83" s="13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  <row r="84" spans="6:37" ht="18.75" customHeight="1">
      <c r="F84" s="13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</row>
    <row r="85" spans="6:37" ht="18.75" customHeight="1">
      <c r="F85" s="13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</row>
    <row r="86" spans="6:37" ht="18.75" customHeight="1">
      <c r="F86" s="13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</row>
    <row r="87" spans="6:37" ht="18.75" customHeight="1">
      <c r="F87" s="13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</row>
    <row r="88" spans="6:37" ht="18.75" customHeight="1">
      <c r="F88" s="13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</row>
    <row r="89" spans="6:37" ht="18.75" customHeight="1">
      <c r="F89" s="13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</row>
    <row r="90" spans="6:37" ht="18.75" customHeight="1">
      <c r="F90" s="13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</row>
    <row r="91" spans="6:37" ht="18.75" customHeight="1">
      <c r="F91" s="13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</row>
    <row r="92" spans="6:37" ht="18.75" customHeight="1">
      <c r="F92" s="13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</row>
    <row r="93" spans="6:37" ht="18.75" customHeight="1">
      <c r="F93" s="13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</row>
    <row r="94" spans="6:37" ht="18.75" customHeight="1">
      <c r="F94" s="13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</row>
    <row r="95" spans="6:37" ht="18.75" customHeight="1">
      <c r="F95" s="13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</row>
    <row r="96" spans="6:37" ht="18.75" customHeight="1">
      <c r="F96" s="13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</row>
    <row r="97" spans="6:37" ht="18.75" customHeight="1">
      <c r="F97" s="13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</row>
    <row r="98" spans="6:37" ht="18.75" customHeight="1">
      <c r="F98" s="13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</row>
    <row r="99" spans="6:37" ht="18.75" customHeight="1">
      <c r="F99" s="13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</row>
    <row r="100" spans="6:37" ht="18.75" customHeight="1">
      <c r="F100" s="13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</row>
    <row r="101" spans="6:37" ht="18.75" customHeight="1">
      <c r="F101" s="13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 spans="6:37" ht="18.75" customHeight="1">
      <c r="F102" s="13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</row>
    <row r="103" spans="6:37" ht="18.75" customHeight="1">
      <c r="F103" s="13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</row>
    <row r="104" spans="6:37" ht="18.75" customHeight="1">
      <c r="F104" s="13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</row>
    <row r="105" spans="6:37" ht="18.75" customHeight="1">
      <c r="F105" s="13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</row>
    <row r="106" spans="6:37" ht="18.75" customHeight="1">
      <c r="F106" s="13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</row>
    <row r="107" spans="6:37" ht="18.75" customHeight="1">
      <c r="F107" s="13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</row>
    <row r="108" spans="6:37" ht="18.75" customHeight="1">
      <c r="F108" s="13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</row>
    <row r="109" spans="6:37" ht="18.75" customHeight="1">
      <c r="F109" s="13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</row>
    <row r="110" spans="6:37" ht="18.75" customHeight="1">
      <c r="F110" s="13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</row>
    <row r="111" spans="6:37" ht="18.75" customHeight="1">
      <c r="F111" s="13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</row>
    <row r="112" spans="6:37" ht="18.75" customHeight="1">
      <c r="F112" s="13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</row>
    <row r="113" spans="6:37" ht="18.75" customHeight="1">
      <c r="F113" s="13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</row>
    <row r="114" spans="6:37" ht="18.75" customHeight="1">
      <c r="F114" s="13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</row>
    <row r="115" spans="6:37" ht="18.75" customHeight="1">
      <c r="F115" s="13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</row>
    <row r="116" spans="6:37" ht="18.75" customHeight="1">
      <c r="F116" s="13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</row>
    <row r="117" spans="6:37" ht="18.75" customHeight="1">
      <c r="F117" s="13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</row>
    <row r="118" spans="6:37" ht="18.75" customHeight="1">
      <c r="F118" s="13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</row>
    <row r="119" spans="6:37" ht="18.75" customHeight="1">
      <c r="F119" s="13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</row>
    <row r="120" spans="6:37" ht="18.75" customHeight="1">
      <c r="F120" s="13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 spans="6:37" ht="18.75" customHeight="1">
      <c r="F121" s="13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</row>
    <row r="122" spans="6:37" ht="18.75" customHeight="1">
      <c r="F122" s="13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</row>
    <row r="123" spans="6:37" ht="18.75" customHeight="1">
      <c r="F123" s="13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</row>
    <row r="124" spans="6:37" ht="18.75" customHeight="1">
      <c r="F124" s="13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</row>
    <row r="125" spans="6:37" ht="18.75" customHeight="1">
      <c r="F125" s="13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</row>
    <row r="126" spans="6:37" ht="18.75" customHeight="1">
      <c r="F126" s="13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</row>
    <row r="127" spans="6:37" ht="18.75" customHeight="1">
      <c r="F127" s="13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</row>
    <row r="128" spans="6:37" ht="18.75" customHeight="1">
      <c r="F128" s="13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</row>
    <row r="129" spans="6:37" ht="18.75" customHeight="1">
      <c r="F129" s="13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</row>
    <row r="130" spans="6:37" ht="18.75" customHeight="1">
      <c r="F130" s="13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</row>
    <row r="131" spans="6:37" ht="18.75" customHeight="1">
      <c r="F131" s="13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</row>
    <row r="132" spans="6:37" ht="18.75" customHeight="1">
      <c r="F132" s="13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</row>
    <row r="133" spans="6:37" ht="18.75" customHeight="1">
      <c r="F133" s="13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</row>
    <row r="134" spans="6:37" ht="18.75" customHeight="1">
      <c r="F134" s="13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</row>
    <row r="135" spans="6:37" ht="18.75" customHeight="1">
      <c r="F135" s="13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</row>
    <row r="136" spans="6:37" ht="18.75" customHeight="1">
      <c r="F136" s="13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</row>
    <row r="137" spans="6:37" ht="18.75" customHeight="1">
      <c r="F137" s="13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</row>
    <row r="138" spans="6:37" ht="18.75" customHeight="1">
      <c r="F138" s="13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</row>
    <row r="139" spans="6:37" ht="18.75" customHeight="1">
      <c r="F139" s="13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</row>
    <row r="140" spans="6:37" ht="18.75" customHeight="1">
      <c r="F140" s="13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</row>
    <row r="141" spans="6:37" ht="18.75" customHeight="1">
      <c r="F141" s="13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</row>
    <row r="142" spans="6:37" ht="18.75" customHeight="1">
      <c r="F142" s="13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</row>
    <row r="143" spans="6:37" ht="18.75" customHeight="1">
      <c r="F143" s="13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</row>
    <row r="144" spans="6:37" ht="18.75" customHeight="1">
      <c r="F144" s="13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</row>
    <row r="145" spans="6:37" ht="18.75" customHeight="1">
      <c r="F145" s="13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</row>
    <row r="146" spans="6:37" ht="18.75" customHeight="1">
      <c r="F146" s="13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</row>
    <row r="147" spans="6:37" ht="18.75" customHeight="1">
      <c r="F147" s="13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</row>
    <row r="148" spans="6:37" ht="18.75" customHeight="1">
      <c r="F148" s="13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</row>
    <row r="149" spans="6:37" ht="18.75" customHeight="1">
      <c r="F149" s="13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</row>
    <row r="150" spans="6:37" ht="18.75" customHeight="1">
      <c r="F150" s="13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</row>
    <row r="151" spans="6:37" ht="18.75" customHeight="1">
      <c r="F151" s="13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</row>
    <row r="152" spans="6:37" ht="18.75" customHeight="1">
      <c r="F152" s="13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</row>
    <row r="153" spans="6:37" ht="18.75" customHeight="1">
      <c r="F153" s="13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</row>
    <row r="154" spans="6:37" ht="18.75" customHeight="1">
      <c r="F154" s="13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</row>
    <row r="155" spans="6:37" ht="18.75" customHeight="1">
      <c r="F155" s="13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</row>
    <row r="156" spans="6:37" ht="18.75" customHeight="1">
      <c r="F156" s="13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</row>
    <row r="157" spans="6:37" ht="18.75" customHeight="1">
      <c r="F157" s="13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</row>
    <row r="158" spans="6:37" ht="18.75" customHeight="1">
      <c r="F158" s="13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</row>
    <row r="159" spans="6:37" ht="18.75" customHeight="1">
      <c r="F159" s="13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</row>
    <row r="160" spans="6:37" ht="18.75" customHeight="1">
      <c r="F160" s="13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</row>
    <row r="161" spans="6:37" ht="18.75" customHeight="1">
      <c r="F161" s="13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</row>
    <row r="162" spans="6:37" ht="18.75" customHeight="1">
      <c r="F162" s="13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</row>
    <row r="163" spans="6:37" ht="18.75" customHeight="1">
      <c r="F163" s="13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</row>
    <row r="164" spans="6:37" ht="18.75" customHeight="1">
      <c r="F164" s="13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</row>
    <row r="165" spans="6:37" ht="18.75" customHeight="1">
      <c r="F165" s="13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</row>
    <row r="166" spans="6:37" ht="18.75" customHeight="1">
      <c r="F166" s="13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</row>
    <row r="167" spans="6:37" ht="18.75" customHeight="1">
      <c r="F167" s="13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</row>
    <row r="168" spans="6:37" ht="18.75" customHeight="1">
      <c r="F168" s="13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</row>
    <row r="169" spans="6:37" ht="18.75" customHeight="1">
      <c r="F169" s="13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</row>
    <row r="170" spans="6:37" ht="18.75" customHeight="1">
      <c r="F170" s="13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</row>
    <row r="171" spans="6:37" ht="18.75" customHeight="1">
      <c r="F171" s="13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</row>
    <row r="172" spans="6:37" ht="18.75" customHeight="1">
      <c r="F172" s="13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</row>
    <row r="173" spans="6:37" ht="18.75" customHeight="1">
      <c r="F173" s="13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</row>
    <row r="174" spans="6:37" ht="18.75" customHeight="1">
      <c r="F174" s="13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</row>
    <row r="175" spans="6:37" ht="18.75" customHeight="1">
      <c r="F175" s="13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</row>
    <row r="176" spans="6:37" ht="18.75" customHeight="1">
      <c r="F176" s="13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</row>
    <row r="177" spans="6:37" ht="18.75" customHeight="1">
      <c r="F177" s="13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</row>
    <row r="178" spans="6:37" ht="18.75" customHeight="1">
      <c r="F178" s="13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</row>
    <row r="179" spans="6:37" ht="18.75" customHeight="1">
      <c r="F179" s="13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</row>
    <row r="180" spans="6:37" ht="18.75" customHeight="1">
      <c r="F180" s="13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</row>
    <row r="181" spans="6:37" ht="18.75" customHeight="1">
      <c r="F181" s="13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</row>
    <row r="182" spans="6:37" ht="18.75" customHeight="1">
      <c r="F182" s="13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</row>
    <row r="183" spans="6:37" ht="18.75" customHeight="1">
      <c r="F183" s="13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</row>
    <row r="184" spans="6:37" ht="18.75" customHeight="1">
      <c r="F184" s="13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</row>
    <row r="185" spans="6:37" ht="18.75" customHeight="1">
      <c r="F185" s="13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</row>
    <row r="186" spans="6:37" ht="18.75" customHeight="1">
      <c r="F186" s="13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</row>
    <row r="187" spans="6:37" ht="18.75" customHeight="1">
      <c r="F187" s="13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</row>
    <row r="188" spans="6:37" ht="18.75" customHeight="1">
      <c r="F188" s="13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</row>
    <row r="189" spans="6:37" ht="18.75" customHeight="1">
      <c r="F189" s="13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</row>
    <row r="190" spans="6:37" ht="18.75" customHeight="1">
      <c r="F190" s="13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</row>
    <row r="191" spans="6:37" ht="18.75" customHeight="1">
      <c r="F191" s="13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</row>
    <row r="192" spans="6:37" ht="18.75" customHeight="1">
      <c r="F192" s="13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</row>
    <row r="193" spans="6:37" ht="18.75" customHeight="1">
      <c r="F193" s="13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</row>
    <row r="194" spans="6:37" ht="18.75" customHeight="1">
      <c r="F194" s="13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</row>
    <row r="195" spans="6:37" ht="18.75" customHeight="1">
      <c r="F195" s="13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</row>
    <row r="196" spans="6:37" ht="18.75" customHeight="1">
      <c r="F196" s="13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</row>
    <row r="197" spans="6:37" ht="18.75" customHeight="1">
      <c r="F197" s="13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</row>
    <row r="198" spans="6:37" ht="18.75" customHeight="1">
      <c r="F198" s="13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</row>
    <row r="199" spans="6:37" ht="18.75" customHeight="1">
      <c r="F199" s="13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</row>
    <row r="200" spans="6:37" ht="18.75" customHeight="1">
      <c r="F200" s="13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</row>
    <row r="201" spans="6:37" ht="18.75" customHeight="1">
      <c r="F201" s="13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</row>
    <row r="202" spans="6:37" ht="18.75" customHeight="1">
      <c r="F202" s="13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</row>
    <row r="203" spans="6:37" ht="18.75" customHeight="1">
      <c r="F203" s="13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</row>
    <row r="204" spans="6:37" ht="18.75" customHeight="1">
      <c r="F204" s="13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</row>
    <row r="205" spans="6:37" ht="18.75" customHeight="1">
      <c r="F205" s="13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</row>
    <row r="206" spans="6:37" ht="18.75" customHeight="1">
      <c r="F206" s="13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</row>
    <row r="207" spans="6:37" ht="18.75" customHeight="1">
      <c r="F207" s="13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</row>
    <row r="208" spans="6:37" ht="18.75" customHeight="1">
      <c r="F208" s="13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</row>
    <row r="209" spans="6:37" ht="18.75" customHeight="1">
      <c r="F209" s="13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</row>
    <row r="210" spans="6:37" ht="18.75" customHeight="1">
      <c r="F210" s="13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</row>
    <row r="211" spans="6:37" ht="18.75" customHeight="1">
      <c r="F211" s="13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</row>
    <row r="212" spans="6:37" ht="18.75" customHeight="1">
      <c r="F212" s="13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</row>
    <row r="213" spans="6:37" ht="18.75" customHeight="1">
      <c r="F213" s="13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</row>
    <row r="214" spans="6:37" ht="18.75" customHeight="1">
      <c r="F214" s="13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</row>
    <row r="215" spans="6:37" ht="18.75" customHeight="1">
      <c r="F215" s="13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</row>
    <row r="216" spans="6:37" ht="18.75" customHeight="1">
      <c r="F216" s="13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</row>
    <row r="217" spans="6:37" ht="18.75" customHeight="1">
      <c r="F217" s="13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</row>
    <row r="218" spans="6:37" ht="18.75" customHeight="1">
      <c r="F218" s="13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</row>
    <row r="219" spans="6:37" ht="18.75" customHeight="1">
      <c r="F219" s="13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</row>
    <row r="220" spans="6:37" ht="18.75" customHeight="1">
      <c r="F220" s="13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</row>
    <row r="221" spans="6:37" ht="18.75" customHeight="1">
      <c r="F221" s="13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</row>
    <row r="222" spans="6:37" ht="18.75" customHeight="1">
      <c r="F222" s="13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</row>
    <row r="223" spans="6:37" ht="18.75" customHeight="1">
      <c r="F223" s="13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</row>
    <row r="224" spans="6:37" ht="18.75" customHeight="1">
      <c r="F224" s="13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</row>
    <row r="225" spans="6:37" ht="18.75" customHeight="1">
      <c r="F225" s="13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</row>
    <row r="226" spans="6:37" ht="18.75" customHeight="1">
      <c r="F226" s="13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</row>
    <row r="227" spans="6:37" ht="18.75" customHeight="1">
      <c r="F227" s="13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</row>
    <row r="228" spans="6:37" ht="18.75" customHeight="1">
      <c r="F228" s="13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</row>
    <row r="229" spans="6:37" ht="18.75" customHeight="1">
      <c r="F229" s="13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</row>
    <row r="230" spans="6:37" ht="18.75" customHeight="1">
      <c r="F230" s="13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</row>
    <row r="231" spans="6:37" ht="18.75" customHeight="1">
      <c r="F231" s="13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</row>
    <row r="232" spans="6:37" ht="18.75" customHeight="1">
      <c r="F232" s="13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</row>
    <row r="233" spans="6:37" ht="18.75" customHeight="1">
      <c r="F233" s="13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</row>
    <row r="234" spans="6:37" ht="18.75" customHeight="1">
      <c r="F234" s="13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</row>
    <row r="235" spans="6:37" ht="18.75" customHeight="1">
      <c r="F235" s="13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</row>
    <row r="236" spans="6:37" ht="18.75" customHeight="1">
      <c r="F236" s="13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</row>
    <row r="237" spans="6:37" ht="18.75" customHeight="1">
      <c r="F237" s="13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</row>
    <row r="238" spans="6:37" ht="18.75" customHeight="1">
      <c r="F238" s="13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</row>
    <row r="239" spans="6:37" ht="18.75" customHeight="1">
      <c r="F239" s="13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</row>
    <row r="240" spans="6:37" ht="18.75" customHeight="1">
      <c r="F240" s="13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</row>
    <row r="241" spans="6:37" ht="18.75" customHeight="1">
      <c r="F241" s="13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</row>
    <row r="242" spans="6:37" ht="18.75" customHeight="1">
      <c r="F242" s="13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</row>
    <row r="243" spans="6:37" ht="18.75" customHeight="1">
      <c r="F243" s="13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</row>
    <row r="244" spans="6:37" ht="18.75" customHeight="1">
      <c r="F244" s="13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</row>
    <row r="245" spans="6:37" ht="18.75" customHeight="1">
      <c r="F245" s="13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</row>
    <row r="246" spans="6:37" ht="18.75" customHeight="1">
      <c r="F246" s="13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</row>
    <row r="247" spans="6:37" ht="18.75" customHeight="1">
      <c r="F247" s="13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</row>
    <row r="248" spans="6:37" ht="18.75" customHeight="1">
      <c r="F248" s="13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</row>
    <row r="249" spans="6:37" ht="18.75" customHeight="1">
      <c r="F249" s="13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</row>
    <row r="250" spans="6:37" ht="18.75" customHeight="1">
      <c r="F250" s="13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</row>
    <row r="251" spans="6:37" ht="18.75" customHeight="1">
      <c r="F251" s="13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</row>
    <row r="252" spans="6:37" ht="18.75" customHeight="1">
      <c r="F252" s="13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</row>
    <row r="253" spans="6:37" ht="18.75" customHeight="1">
      <c r="F253" s="13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</row>
    <row r="254" spans="6:37" ht="18.75" customHeight="1">
      <c r="F254" s="13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</row>
    <row r="255" spans="6:37" ht="18.75" customHeight="1">
      <c r="F255" s="13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</row>
    <row r="256" spans="6:37" ht="18.75" customHeight="1">
      <c r="F256" s="13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</row>
    <row r="257" spans="6:37" ht="18.75" customHeight="1">
      <c r="F257" s="13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</row>
    <row r="258" spans="6:37" ht="18.75" customHeight="1">
      <c r="F258" s="13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</row>
    <row r="259" spans="6:37" ht="18.75" customHeight="1">
      <c r="F259" s="13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</row>
    <row r="260" spans="6:37" ht="18.75" customHeight="1">
      <c r="F260" s="13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</row>
    <row r="261" spans="6:37" ht="18.75" customHeight="1">
      <c r="F261" s="13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</row>
    <row r="262" spans="6:37" ht="18.75" customHeight="1">
      <c r="F262" s="13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</row>
    <row r="263" spans="6:37" ht="18.75" customHeight="1">
      <c r="F263" s="13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</row>
    <row r="264" spans="6:37" ht="18.75" customHeight="1">
      <c r="F264" s="13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</row>
    <row r="265" spans="6:37" ht="18.75" customHeight="1">
      <c r="F265" s="13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</row>
    <row r="266" spans="6:37" ht="18.75" customHeight="1">
      <c r="F266" s="13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</row>
    <row r="267" spans="6:37" ht="18.75" customHeight="1">
      <c r="F267" s="13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</row>
    <row r="268" spans="6:37" ht="18.75" customHeight="1">
      <c r="F268" s="13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</row>
    <row r="269" spans="6:37" ht="18.75" customHeight="1">
      <c r="F269" s="13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</row>
    <row r="270" spans="6:37" ht="18.75" customHeight="1">
      <c r="F270" s="13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</row>
    <row r="271" spans="6:37" ht="18.75" customHeight="1">
      <c r="F271" s="13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</row>
    <row r="272" spans="6:37" ht="18.75" customHeight="1">
      <c r="F272" s="13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</row>
    <row r="273" spans="6:37" ht="18.75" customHeight="1">
      <c r="F273" s="13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</row>
    <row r="274" spans="6:37" ht="18.75" customHeight="1">
      <c r="F274" s="13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</row>
    <row r="275" spans="6:37" ht="18.75" customHeight="1">
      <c r="F275" s="13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</row>
    <row r="276" spans="6:37" ht="18.75" customHeight="1">
      <c r="F276" s="13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</row>
    <row r="277" spans="6:37" ht="18.75" customHeight="1">
      <c r="F277" s="13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</row>
    <row r="278" spans="6:37" ht="18.75" customHeight="1">
      <c r="F278" s="13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</row>
    <row r="279" spans="6:37" ht="18.75" customHeight="1">
      <c r="F279" s="13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</row>
    <row r="280" spans="6:37" ht="18.75" customHeight="1">
      <c r="F280" s="13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</row>
    <row r="281" spans="6:37" ht="18.75" customHeight="1">
      <c r="F281" s="13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</row>
    <row r="282" spans="6:37" ht="18.75" customHeight="1">
      <c r="F282" s="13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</row>
    <row r="283" spans="6:37" ht="18.75" customHeight="1">
      <c r="F283" s="13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</row>
    <row r="284" spans="6:37" ht="18.75" customHeight="1">
      <c r="F284" s="13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</row>
    <row r="285" spans="6:37" ht="18.75" customHeight="1">
      <c r="F285" s="13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</row>
    <row r="286" spans="6:37" ht="18.75" customHeight="1">
      <c r="F286" s="13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</row>
    <row r="287" spans="6:37" ht="18.75" customHeight="1">
      <c r="F287" s="13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</row>
    <row r="288" spans="6:37" ht="18.75" customHeight="1">
      <c r="F288" s="13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</row>
    <row r="289" spans="6:37" ht="18.75" customHeight="1">
      <c r="F289" s="13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</row>
    <row r="290" spans="6:37" ht="18.75" customHeight="1">
      <c r="F290" s="13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</row>
    <row r="291" spans="6:37" ht="18.75" customHeight="1">
      <c r="F291" s="13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</row>
    <row r="292" spans="6:37" ht="18.75" customHeight="1">
      <c r="F292" s="13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</row>
    <row r="293" spans="6:37" ht="18.75" customHeight="1">
      <c r="F293" s="13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</row>
    <row r="294" spans="6:37" ht="18.75" customHeight="1">
      <c r="F294" s="13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</row>
    <row r="295" spans="6:37" ht="18.75" customHeight="1">
      <c r="F295" s="13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</row>
    <row r="296" spans="6:37" ht="18.75" customHeight="1">
      <c r="F296" s="13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</row>
    <row r="297" spans="6:37" ht="18.75" customHeight="1">
      <c r="F297" s="13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</row>
    <row r="298" spans="6:37" ht="18.75" customHeight="1">
      <c r="F298" s="13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</row>
    <row r="299" spans="6:37" ht="18.75" customHeight="1">
      <c r="F299" s="13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</row>
    <row r="300" spans="6:37" ht="18.75" customHeight="1">
      <c r="F300" s="13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</row>
    <row r="301" spans="6:37" ht="18.75" customHeight="1">
      <c r="F301" s="13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</row>
    <row r="302" spans="6:37" ht="18.75" customHeight="1">
      <c r="F302" s="13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</row>
    <row r="303" spans="6:37" ht="18.75" customHeight="1">
      <c r="F303" s="13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</row>
    <row r="304" spans="6:37" ht="18.75" customHeight="1">
      <c r="F304" s="13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</row>
    <row r="305" spans="6:37" ht="18.75" customHeight="1">
      <c r="F305" s="13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</row>
    <row r="306" spans="6:37" ht="18.75" customHeight="1">
      <c r="F306" s="13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</row>
    <row r="307" spans="6:37" ht="18.75" customHeight="1">
      <c r="F307" s="13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</row>
    <row r="308" spans="6:37" ht="18.75" customHeight="1">
      <c r="F308" s="13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</row>
    <row r="309" spans="6:37" ht="18.75" customHeight="1">
      <c r="F309" s="13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</row>
    <row r="310" spans="6:37" ht="18.75" customHeight="1">
      <c r="F310" s="13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</row>
    <row r="311" spans="6:37" ht="18.75" customHeight="1">
      <c r="F311" s="13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</row>
    <row r="312" spans="6:37" ht="18.75" customHeight="1">
      <c r="F312" s="13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</row>
    <row r="313" spans="6:37" ht="18.75" customHeight="1">
      <c r="F313" s="13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</row>
    <row r="314" spans="6:37" ht="18.75" customHeight="1">
      <c r="F314" s="13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</row>
    <row r="315" spans="6:37" ht="18.75" customHeight="1">
      <c r="F315" s="13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</row>
    <row r="316" spans="6:37" ht="18.75" customHeight="1">
      <c r="F316" s="13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</row>
    <row r="317" spans="6:37" ht="18.75" customHeight="1">
      <c r="F317" s="13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</row>
    <row r="318" spans="6:37" ht="18.75" customHeight="1">
      <c r="F318" s="13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</row>
    <row r="319" spans="6:37" ht="18.75" customHeight="1">
      <c r="F319" s="13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</row>
    <row r="320" spans="6:37" ht="18.75" customHeight="1">
      <c r="F320" s="13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</row>
    <row r="321" spans="6:37" ht="18.75" customHeight="1">
      <c r="F321" s="13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</row>
    <row r="322" spans="6:37" ht="18.75" customHeight="1">
      <c r="F322" s="13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</row>
    <row r="323" spans="6:37" ht="18.75" customHeight="1">
      <c r="F323" s="13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</row>
    <row r="324" spans="6:37" ht="18.75" customHeight="1">
      <c r="F324" s="13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</row>
    <row r="325" spans="6:37" ht="18.75" customHeight="1">
      <c r="F325" s="13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</row>
    <row r="326" spans="6:37" ht="18.75" customHeight="1">
      <c r="F326" s="13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</row>
    <row r="327" spans="6:37" ht="18.75" customHeight="1">
      <c r="F327" s="13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</row>
    <row r="328" spans="6:37" ht="18.75" customHeight="1">
      <c r="F328" s="13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</row>
    <row r="329" spans="6:37" ht="18.75" customHeight="1">
      <c r="F329" s="13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</row>
    <row r="330" spans="6:37" ht="18.75" customHeight="1">
      <c r="F330" s="13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</row>
    <row r="331" spans="6:37" ht="18.75" customHeight="1">
      <c r="F331" s="13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</row>
    <row r="332" spans="6:37" ht="18.75" customHeight="1">
      <c r="F332" s="13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</row>
    <row r="333" spans="6:37" ht="18.75" customHeight="1">
      <c r="F333" s="13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</row>
    <row r="334" spans="6:37" ht="18.75" customHeight="1">
      <c r="F334" s="13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</row>
    <row r="335" spans="6:37" ht="18.75" customHeight="1">
      <c r="F335" s="13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</row>
    <row r="336" spans="6:37" ht="18.75" customHeight="1">
      <c r="F336" s="13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</row>
    <row r="337" spans="6:37" ht="18.75" customHeight="1">
      <c r="F337" s="13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</row>
    <row r="338" spans="6:37" ht="18.75" customHeight="1">
      <c r="F338" s="13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</row>
    <row r="339" spans="6:37" ht="18.75" customHeight="1">
      <c r="F339" s="13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</row>
    <row r="340" spans="6:37" ht="18.75" customHeight="1">
      <c r="F340" s="13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</row>
    <row r="341" spans="6:37" ht="18.75" customHeight="1">
      <c r="F341" s="13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</row>
    <row r="342" spans="6:37" ht="18.75" customHeight="1">
      <c r="F342" s="13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</row>
    <row r="343" spans="6:37" ht="18.75" customHeight="1">
      <c r="F343" s="13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</row>
    <row r="344" spans="6:37" ht="18.75" customHeight="1">
      <c r="F344" s="13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</row>
    <row r="345" spans="6:37" ht="18.75" customHeight="1">
      <c r="F345" s="13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</row>
    <row r="346" spans="6:37" ht="18.75" customHeight="1">
      <c r="F346" s="13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</row>
    <row r="347" spans="6:37" ht="18.75" customHeight="1">
      <c r="F347" s="13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</row>
    <row r="348" spans="6:37" ht="18.75" customHeight="1">
      <c r="F348" s="13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</row>
    <row r="349" spans="6:37" ht="18.75" customHeight="1">
      <c r="F349" s="13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</row>
    <row r="350" spans="6:37" ht="18.75" customHeight="1">
      <c r="F350" s="13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</row>
    <row r="351" spans="6:37" ht="18.75" customHeight="1">
      <c r="F351" s="13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</row>
    <row r="352" spans="6:37" ht="18.75" customHeight="1">
      <c r="F352" s="13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</row>
    <row r="353" spans="6:37" ht="18.75" customHeight="1">
      <c r="F353" s="13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</row>
    <row r="354" spans="6:37" ht="18.75" customHeight="1">
      <c r="F354" s="13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</row>
    <row r="355" spans="6:37" ht="18.75" customHeight="1">
      <c r="F355" s="13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</row>
    <row r="356" spans="6:37" ht="18.75" customHeight="1">
      <c r="F356" s="13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</row>
    <row r="357" spans="6:37" ht="18.75" customHeight="1">
      <c r="F357" s="13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</row>
    <row r="358" spans="6:37" ht="18.75" customHeight="1">
      <c r="F358" s="13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</row>
    <row r="359" spans="6:37" ht="18.75" customHeight="1">
      <c r="F359" s="13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</row>
    <row r="360" spans="6:37" ht="18.75" customHeight="1">
      <c r="F360" s="13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</row>
    <row r="361" spans="6:37" ht="18.75" customHeight="1">
      <c r="F361" s="13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</row>
    <row r="362" spans="6:37" ht="18.75" customHeight="1">
      <c r="F362" s="13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</row>
    <row r="363" spans="6:37" ht="18.75" customHeight="1">
      <c r="F363" s="13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</row>
    <row r="364" spans="6:37" ht="18.75" customHeight="1">
      <c r="F364" s="13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</row>
    <row r="365" spans="6:37" ht="18.75" customHeight="1">
      <c r="F365" s="13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</row>
    <row r="366" spans="6:37" ht="18.75" customHeight="1">
      <c r="F366" s="13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</row>
    <row r="367" spans="6:37" ht="18.75" customHeight="1">
      <c r="F367" s="13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</row>
    <row r="368" spans="6:37" ht="18.75" customHeight="1">
      <c r="F368" s="13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</row>
    <row r="369" spans="6:37" ht="18.75" customHeight="1">
      <c r="F369" s="13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</row>
    <row r="370" spans="6:37" ht="18.75" customHeight="1">
      <c r="F370" s="13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</row>
    <row r="371" spans="6:37" ht="18.75" customHeight="1">
      <c r="F371" s="13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</row>
    <row r="372" spans="6:37" ht="18.75" customHeight="1">
      <c r="F372" s="13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</row>
    <row r="373" spans="6:37" ht="18.75" customHeight="1">
      <c r="F373" s="13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</row>
    <row r="374" spans="6:37" ht="18.75" customHeight="1">
      <c r="F374" s="13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</row>
    <row r="375" spans="6:37" ht="18.75" customHeight="1">
      <c r="F375" s="13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</row>
    <row r="376" spans="6:37" ht="18.75" customHeight="1">
      <c r="F376" s="13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</row>
    <row r="377" spans="6:37" ht="18.75" customHeight="1">
      <c r="F377" s="13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</row>
    <row r="378" spans="6:37" ht="18.75" customHeight="1">
      <c r="F378" s="13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</row>
    <row r="379" spans="6:37" ht="18.75" customHeight="1">
      <c r="F379" s="13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</row>
    <row r="380" spans="6:37" ht="18.75" customHeight="1">
      <c r="F380" s="13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</row>
    <row r="381" spans="6:37" ht="18.75" customHeight="1">
      <c r="F381" s="13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</row>
    <row r="382" spans="6:37" ht="18.75" customHeight="1">
      <c r="F382" s="13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</row>
    <row r="383" spans="6:37" ht="18.75" customHeight="1">
      <c r="F383" s="13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</row>
    <row r="384" spans="6:37" ht="18.75" customHeight="1">
      <c r="F384" s="13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</row>
    <row r="385" spans="6:37" ht="18.75" customHeight="1">
      <c r="F385" s="13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</row>
    <row r="386" spans="6:37" ht="18.75" customHeight="1">
      <c r="F386" s="13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</row>
    <row r="387" spans="6:37" ht="18.75" customHeight="1">
      <c r="F387" s="13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</row>
    <row r="388" spans="6:37" ht="18.75" customHeight="1">
      <c r="F388" s="13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</row>
    <row r="389" spans="6:37" ht="18.75" customHeight="1">
      <c r="F389" s="13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</row>
    <row r="390" spans="6:37" ht="18.75" customHeight="1">
      <c r="F390" s="13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</row>
    <row r="391" spans="6:37" ht="18.75" customHeight="1">
      <c r="F391" s="13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</row>
    <row r="392" spans="6:37" ht="18.75" customHeight="1">
      <c r="F392" s="13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</row>
    <row r="393" spans="6:37" ht="18.75" customHeight="1">
      <c r="F393" s="13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</row>
    <row r="394" spans="6:37" ht="18.75" customHeight="1">
      <c r="F394" s="13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</row>
    <row r="395" spans="6:37" ht="18.75" customHeight="1">
      <c r="F395" s="13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</row>
    <row r="396" spans="6:37" ht="18.75" customHeight="1">
      <c r="F396" s="13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</row>
    <row r="397" spans="6:37" ht="18.75" customHeight="1">
      <c r="F397" s="13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</row>
    <row r="398" spans="6:37" ht="18.75" customHeight="1">
      <c r="F398" s="13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</row>
    <row r="399" spans="6:37" ht="18.75" customHeight="1">
      <c r="F399" s="13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</row>
    <row r="400" spans="6:37" ht="18.75" customHeight="1">
      <c r="F400" s="13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</row>
    <row r="401" spans="6:37" ht="18.75" customHeight="1">
      <c r="F401" s="13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</row>
    <row r="402" spans="6:37" ht="18.75" customHeight="1">
      <c r="F402" s="13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</row>
    <row r="403" spans="6:37" ht="18.75" customHeight="1">
      <c r="F403" s="13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</row>
    <row r="404" spans="6:37" ht="18.75" customHeight="1">
      <c r="F404" s="13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</row>
    <row r="405" spans="6:37" ht="18.75" customHeight="1">
      <c r="F405" s="13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</row>
    <row r="406" spans="6:37" ht="18.75" customHeight="1">
      <c r="F406" s="13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</row>
    <row r="407" spans="6:37" ht="18.75" customHeight="1">
      <c r="F407" s="13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</row>
    <row r="408" spans="6:37" ht="18.75" customHeight="1">
      <c r="F408" s="13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</row>
    <row r="409" spans="6:37" ht="18.75" customHeight="1">
      <c r="F409" s="13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</row>
    <row r="410" spans="6:37" ht="18.75" customHeight="1">
      <c r="F410" s="13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</row>
    <row r="411" spans="6:37" ht="18.75" customHeight="1">
      <c r="F411" s="13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</row>
    <row r="412" spans="6:37" ht="18.75" customHeight="1">
      <c r="F412" s="13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</row>
    <row r="413" spans="6:37" ht="18.75" customHeight="1">
      <c r="F413" s="13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</row>
    <row r="414" spans="6:37" ht="18.75" customHeight="1">
      <c r="F414" s="13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</row>
    <row r="415" spans="6:37" ht="18.75" customHeight="1">
      <c r="F415" s="13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</row>
    <row r="416" spans="6:37" ht="18.75" customHeight="1">
      <c r="F416" s="13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</row>
    <row r="417" spans="6:37" ht="18.75" customHeight="1">
      <c r="F417" s="13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</row>
    <row r="418" spans="6:37" ht="18.75" customHeight="1">
      <c r="F418" s="13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</row>
    <row r="419" spans="6:37" ht="18.75" customHeight="1">
      <c r="F419" s="13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</row>
    <row r="420" spans="6:37" ht="18.75" customHeight="1">
      <c r="F420" s="13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</row>
    <row r="421" spans="6:37" ht="18.75" customHeight="1">
      <c r="F421" s="13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</row>
    <row r="422" spans="6:37" ht="18.75" customHeight="1">
      <c r="F422" s="13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</row>
    <row r="423" spans="6:37" ht="18.75" customHeight="1">
      <c r="F423" s="13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</row>
    <row r="424" spans="6:37" ht="18.75" customHeight="1">
      <c r="F424" s="13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</row>
    <row r="425" spans="6:37" ht="18.75" customHeight="1">
      <c r="F425" s="13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</row>
    <row r="426" spans="6:37" ht="18.75" customHeight="1">
      <c r="F426" s="13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</row>
    <row r="427" spans="6:37" ht="18.75" customHeight="1">
      <c r="F427" s="13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</row>
    <row r="428" spans="6:37" ht="18.75" customHeight="1">
      <c r="F428" s="13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</row>
    <row r="429" spans="6:37" ht="18.75" customHeight="1">
      <c r="F429" s="13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</row>
    <row r="430" spans="6:37" ht="18.75" customHeight="1">
      <c r="F430" s="13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</row>
    <row r="431" spans="6:37" ht="18.75" customHeight="1">
      <c r="F431" s="13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</row>
    <row r="432" spans="6:37" ht="18.75" customHeight="1">
      <c r="F432" s="13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</row>
    <row r="433" spans="6:37" ht="18.75" customHeight="1">
      <c r="F433" s="13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</row>
    <row r="434" spans="6:37" ht="18.75" customHeight="1">
      <c r="F434" s="13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</row>
    <row r="435" spans="6:37" ht="18.75" customHeight="1">
      <c r="F435" s="13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</row>
    <row r="436" spans="6:37" ht="18.75" customHeight="1">
      <c r="F436" s="13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</row>
    <row r="437" spans="6:37" ht="18.75" customHeight="1">
      <c r="F437" s="13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</row>
    <row r="438" spans="6:37" ht="18.75" customHeight="1">
      <c r="F438" s="13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</row>
    <row r="439" spans="6:37" ht="18.75" customHeight="1">
      <c r="F439" s="13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</row>
    <row r="440" spans="6:37" ht="18.75" customHeight="1">
      <c r="F440" s="13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</row>
    <row r="441" spans="6:37" ht="18.75" customHeight="1">
      <c r="F441" s="13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</row>
    <row r="442" spans="6:37" ht="18.75" customHeight="1">
      <c r="F442" s="13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</row>
    <row r="443" spans="6:37" ht="18.75" customHeight="1">
      <c r="F443" s="13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</row>
    <row r="444" spans="6:37" ht="18.75" customHeight="1">
      <c r="F444" s="13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</row>
    <row r="445" spans="6:37" ht="18.75" customHeight="1">
      <c r="F445" s="13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</row>
    <row r="446" spans="6:37" ht="18.75" customHeight="1">
      <c r="F446" s="13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</row>
    <row r="447" spans="6:37" ht="18.75" customHeight="1">
      <c r="F447" s="13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</row>
    <row r="448" spans="6:37" ht="18.75" customHeight="1">
      <c r="F448" s="13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</row>
    <row r="449" spans="6:37" ht="18.75" customHeight="1">
      <c r="F449" s="13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</row>
    <row r="450" spans="6:37" ht="18.75" customHeight="1">
      <c r="F450" s="13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</row>
    <row r="451" spans="6:37" ht="18.75" customHeight="1">
      <c r="F451" s="13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</row>
    <row r="452" spans="6:37" ht="18.75" customHeight="1">
      <c r="F452" s="13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</row>
    <row r="453" spans="6:37" ht="18.75" customHeight="1">
      <c r="F453" s="13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</row>
    <row r="454" spans="6:37" ht="18.75" customHeight="1">
      <c r="F454" s="13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</row>
    <row r="455" spans="6:37" ht="18.75" customHeight="1">
      <c r="F455" s="13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</row>
    <row r="456" spans="6:37" ht="18.75" customHeight="1">
      <c r="F456" s="13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</row>
    <row r="457" spans="6:37" ht="18.75" customHeight="1">
      <c r="F457" s="13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</row>
    <row r="458" spans="6:37" ht="18.75" customHeight="1">
      <c r="F458" s="13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</row>
    <row r="459" spans="6:37" ht="18.75" customHeight="1">
      <c r="F459" s="13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</row>
    <row r="460" spans="6:37" ht="18.75" customHeight="1">
      <c r="F460" s="13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</row>
    <row r="461" spans="6:37" ht="18.75" customHeight="1">
      <c r="F461" s="13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</row>
    <row r="462" spans="6:37" ht="18.75" customHeight="1">
      <c r="F462" s="13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</row>
    <row r="463" spans="6:37" ht="18.75" customHeight="1">
      <c r="F463" s="13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</row>
    <row r="464" spans="6:37" ht="18.75" customHeight="1">
      <c r="F464" s="13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</row>
    <row r="465" spans="6:37" ht="18.75" customHeight="1">
      <c r="F465" s="13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</row>
    <row r="466" spans="6:37" ht="18.75" customHeight="1">
      <c r="F466" s="13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</row>
    <row r="467" spans="6:37" ht="18.75" customHeight="1">
      <c r="F467" s="13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</row>
    <row r="468" spans="6:37" ht="18.75" customHeight="1">
      <c r="F468" s="13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</row>
    <row r="469" spans="6:37" ht="18.75" customHeight="1">
      <c r="F469" s="13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</row>
    <row r="470" spans="6:37" ht="18.75" customHeight="1">
      <c r="F470" s="13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</row>
    <row r="471" spans="6:37" ht="18.75" customHeight="1">
      <c r="F471" s="13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</row>
    <row r="472" spans="6:37" ht="18.75" customHeight="1">
      <c r="F472" s="13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</row>
    <row r="473" spans="6:37" ht="18.75" customHeight="1">
      <c r="F473" s="13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</row>
    <row r="474" spans="6:37" ht="18.75" customHeight="1">
      <c r="F474" s="13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</row>
    <row r="475" spans="6:37" ht="18.75" customHeight="1">
      <c r="F475" s="13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</row>
    <row r="476" spans="6:37" ht="18.75" customHeight="1">
      <c r="F476" s="13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</row>
    <row r="477" spans="6:37" ht="18.75" customHeight="1">
      <c r="F477" s="13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</row>
    <row r="478" spans="6:37" ht="18.75" customHeight="1">
      <c r="F478" s="13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</row>
    <row r="479" spans="6:37" ht="18.75" customHeight="1">
      <c r="F479" s="13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</row>
    <row r="480" spans="6:37" ht="18.75" customHeight="1">
      <c r="F480" s="13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</row>
    <row r="481" spans="6:37" ht="18.75" customHeight="1">
      <c r="F481" s="13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</row>
    <row r="482" spans="6:37" ht="18.75" customHeight="1">
      <c r="F482" s="13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</row>
    <row r="483" spans="6:37" ht="18.75" customHeight="1">
      <c r="F483" s="13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</row>
    <row r="484" spans="6:37" ht="18.75" customHeight="1">
      <c r="F484" s="13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</row>
    <row r="485" spans="6:37" ht="18.75" customHeight="1">
      <c r="F485" s="13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</row>
    <row r="486" spans="6:37" ht="18.75" customHeight="1">
      <c r="F486" s="13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</row>
    <row r="487" spans="6:37" ht="18.75" customHeight="1">
      <c r="F487" s="13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</row>
    <row r="488" spans="6:37" ht="18.75" customHeight="1">
      <c r="F488" s="13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</row>
    <row r="489" spans="6:37" ht="18.75" customHeight="1">
      <c r="F489" s="13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</row>
    <row r="490" spans="6:37" ht="18.75" customHeight="1">
      <c r="F490" s="13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</row>
    <row r="491" spans="6:37" ht="18.75" customHeight="1">
      <c r="F491" s="13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</row>
    <row r="492" spans="6:37" ht="18.75" customHeight="1">
      <c r="F492" s="13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</row>
    <row r="493" spans="6:37" ht="18.75" customHeight="1">
      <c r="F493" s="13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</row>
    <row r="494" spans="6:37" ht="18.75" customHeight="1">
      <c r="F494" s="13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</row>
    <row r="495" spans="6:37" ht="18.75" customHeight="1">
      <c r="F495" s="13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</row>
    <row r="496" spans="6:37" ht="18.75" customHeight="1">
      <c r="F496" s="13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</row>
    <row r="497" spans="6:37" ht="18.75" customHeight="1">
      <c r="F497" s="13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</row>
    <row r="498" spans="6:37" ht="18.75" customHeight="1">
      <c r="F498" s="13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</row>
    <row r="499" spans="6:37" ht="18.75" customHeight="1">
      <c r="F499" s="13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</row>
    <row r="500" spans="6:37" ht="18.75" customHeight="1">
      <c r="F500" s="13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</row>
    <row r="501" spans="6:37" ht="18.75" customHeight="1">
      <c r="F501" s="13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</row>
    <row r="502" spans="6:37" ht="18.75" customHeight="1">
      <c r="F502" s="13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</row>
    <row r="503" spans="6:37" ht="18.75" customHeight="1">
      <c r="F503" s="13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</row>
    <row r="504" spans="6:37" ht="18.75" customHeight="1">
      <c r="F504" s="13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</row>
    <row r="505" spans="6:37" ht="18.75" customHeight="1">
      <c r="F505" s="13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</row>
    <row r="506" spans="6:37" ht="18.75" customHeight="1">
      <c r="F506" s="13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</row>
    <row r="507" spans="6:37" ht="18.75" customHeight="1">
      <c r="F507" s="13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</row>
    <row r="508" spans="6:37" ht="18.75" customHeight="1">
      <c r="F508" s="13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</row>
    <row r="509" spans="6:37" ht="18.75" customHeight="1">
      <c r="F509" s="13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</row>
    <row r="510" spans="6:37" ht="18.75" customHeight="1">
      <c r="F510" s="13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</row>
    <row r="511" spans="6:37" ht="18.75" customHeight="1">
      <c r="F511" s="13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</row>
    <row r="512" spans="6:37" ht="18.75" customHeight="1">
      <c r="F512" s="13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</row>
    <row r="513" spans="6:37" ht="18.75" customHeight="1">
      <c r="F513" s="13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</row>
    <row r="514" spans="6:37" ht="18.75" customHeight="1">
      <c r="F514" s="13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</row>
    <row r="515" spans="6:37" ht="18.75" customHeight="1">
      <c r="F515" s="13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</row>
    <row r="516" spans="6:37" ht="18.75" customHeight="1">
      <c r="F516" s="13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</row>
    <row r="517" spans="6:37" ht="18.75" customHeight="1">
      <c r="F517" s="13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</row>
    <row r="518" spans="6:37" ht="18.75" customHeight="1">
      <c r="F518" s="13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</row>
    <row r="519" spans="6:37" ht="18.75" customHeight="1">
      <c r="F519" s="13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</row>
    <row r="520" spans="6:37" ht="18.75" customHeight="1">
      <c r="F520" s="13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</row>
    <row r="521" spans="6:37" ht="18.75" customHeight="1">
      <c r="F521" s="13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</row>
    <row r="522" spans="6:37" ht="18.75" customHeight="1">
      <c r="F522" s="13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</row>
    <row r="523" spans="6:37" ht="18.75" customHeight="1">
      <c r="F523" s="13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</row>
    <row r="524" spans="6:37" ht="18.75" customHeight="1">
      <c r="F524" s="13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</row>
    <row r="525" spans="6:37" ht="18.75" customHeight="1">
      <c r="F525" s="13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</row>
    <row r="526" spans="6:37" ht="18.75" customHeight="1">
      <c r="F526" s="13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</row>
    <row r="527" spans="6:37" ht="18.75" customHeight="1">
      <c r="F527" s="13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</row>
    <row r="528" spans="6:37" ht="18.75" customHeight="1">
      <c r="F528" s="13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</row>
    <row r="529" spans="6:37" ht="18.75" customHeight="1">
      <c r="F529" s="13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</row>
    <row r="530" spans="6:37" ht="18.75" customHeight="1">
      <c r="F530" s="13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</row>
    <row r="531" spans="6:37" ht="18.75" customHeight="1">
      <c r="F531" s="13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</row>
    <row r="532" spans="6:37" ht="18.75" customHeight="1">
      <c r="F532" s="13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</row>
    <row r="533" spans="6:37" ht="18.75" customHeight="1">
      <c r="F533" s="13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</row>
    <row r="534" spans="6:37" ht="18.75" customHeight="1">
      <c r="F534" s="13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</row>
    <row r="535" spans="6:37" ht="18.75" customHeight="1">
      <c r="F535" s="13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</row>
    <row r="536" spans="6:37" ht="18.75" customHeight="1">
      <c r="F536" s="13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</row>
    <row r="537" spans="6:37" ht="18.75" customHeight="1">
      <c r="F537" s="13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</row>
    <row r="538" spans="6:37" ht="18.75" customHeight="1">
      <c r="F538" s="13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</row>
    <row r="539" spans="6:37" ht="18.75" customHeight="1">
      <c r="F539" s="13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</row>
    <row r="540" spans="6:37" ht="18.75" customHeight="1">
      <c r="F540" s="13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</row>
    <row r="541" spans="6:37" ht="18.75" customHeight="1">
      <c r="F541" s="13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</row>
    <row r="542" spans="6:37" ht="18.75" customHeight="1">
      <c r="F542" s="13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</row>
    <row r="543" spans="6:37" ht="18.75" customHeight="1">
      <c r="F543" s="13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</row>
    <row r="544" spans="6:37" ht="18.75" customHeight="1">
      <c r="F544" s="13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</row>
    <row r="545" spans="6:37" ht="18.75" customHeight="1">
      <c r="F545" s="13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</row>
    <row r="546" spans="6:37" ht="18.75" customHeight="1">
      <c r="F546" s="13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</row>
    <row r="547" spans="6:37" ht="18.75" customHeight="1">
      <c r="F547" s="13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</row>
    <row r="548" spans="6:37" ht="18.75" customHeight="1">
      <c r="F548" s="13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</row>
    <row r="549" spans="6:37" ht="18.75" customHeight="1">
      <c r="F549" s="13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</row>
    <row r="550" spans="6:37" ht="18.75" customHeight="1">
      <c r="F550" s="13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</row>
    <row r="551" spans="6:37" ht="18.75" customHeight="1">
      <c r="F551" s="13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</row>
    <row r="552" spans="6:37" ht="18.75" customHeight="1">
      <c r="F552" s="13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</row>
    <row r="553" spans="6:37" ht="18.75" customHeight="1">
      <c r="F553" s="13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</row>
    <row r="554" spans="6:37" ht="18.75" customHeight="1">
      <c r="F554" s="13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</row>
    <row r="555" spans="6:37" ht="18.75" customHeight="1">
      <c r="F555" s="13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</row>
    <row r="556" spans="6:37" ht="18.75" customHeight="1">
      <c r="F556" s="13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</row>
    <row r="557" spans="6:37" ht="18.75" customHeight="1">
      <c r="F557" s="13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</row>
    <row r="558" spans="6:37" ht="18.75" customHeight="1">
      <c r="F558" s="13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</row>
    <row r="559" spans="6:37" ht="18.75" customHeight="1">
      <c r="F559" s="13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</row>
    <row r="560" spans="6:37" ht="18.75" customHeight="1">
      <c r="F560" s="13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</row>
    <row r="561" spans="6:37" ht="18.75" customHeight="1">
      <c r="F561" s="13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</row>
    <row r="562" spans="6:37" ht="18.75" customHeight="1">
      <c r="F562" s="13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</row>
    <row r="563" spans="6:37" ht="18.75" customHeight="1">
      <c r="F563" s="13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</row>
    <row r="564" spans="6:37" ht="18.75" customHeight="1">
      <c r="F564" s="13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</row>
    <row r="565" spans="6:37" ht="18.75" customHeight="1">
      <c r="F565" s="13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</row>
    <row r="566" spans="6:37" ht="18.75" customHeight="1">
      <c r="F566" s="13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</row>
    <row r="567" spans="6:37" ht="18.75" customHeight="1">
      <c r="F567" s="13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</row>
    <row r="568" spans="6:37" ht="18.75" customHeight="1">
      <c r="F568" s="13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</row>
    <row r="569" spans="6:37" ht="18.75" customHeight="1">
      <c r="F569" s="13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</row>
    <row r="570" spans="6:37" ht="18.75" customHeight="1">
      <c r="F570" s="13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</row>
    <row r="571" spans="6:37" ht="18.75" customHeight="1">
      <c r="F571" s="13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</row>
    <row r="572" spans="6:37" ht="18.75" customHeight="1">
      <c r="F572" s="13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</row>
    <row r="573" spans="6:37" ht="18.75" customHeight="1">
      <c r="F573" s="13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</row>
    <row r="574" spans="6:37" ht="18.75" customHeight="1">
      <c r="F574" s="13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</row>
    <row r="575" spans="6:37" ht="18.75" customHeight="1">
      <c r="F575" s="13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</row>
    <row r="576" spans="6:37" ht="18.75" customHeight="1">
      <c r="F576" s="13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</row>
    <row r="577" spans="6:37" ht="18.75" customHeight="1">
      <c r="F577" s="13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</row>
    <row r="578" spans="6:37" ht="18.75" customHeight="1">
      <c r="F578" s="13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</row>
    <row r="579" spans="6:37" ht="18.75" customHeight="1">
      <c r="F579" s="13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</row>
    <row r="580" spans="6:37" ht="18.75" customHeight="1">
      <c r="F580" s="13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</row>
    <row r="581" spans="6:37" ht="18.75" customHeight="1">
      <c r="F581" s="13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</row>
    <row r="582" spans="6:37" ht="18.75" customHeight="1">
      <c r="F582" s="13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</row>
    <row r="583" spans="6:37" ht="18.75" customHeight="1">
      <c r="F583" s="13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</row>
    <row r="584" spans="6:37" ht="18.75" customHeight="1">
      <c r="F584" s="13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</row>
    <row r="585" spans="6:37" ht="18.75" customHeight="1">
      <c r="F585" s="13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</row>
    <row r="586" spans="6:37" ht="18.75" customHeight="1">
      <c r="F586" s="13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</row>
    <row r="587" spans="6:37" ht="18.75" customHeight="1">
      <c r="F587" s="13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</row>
    <row r="588" spans="6:37" ht="18.75" customHeight="1">
      <c r="F588" s="13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</row>
    <row r="589" spans="6:37" ht="18.75" customHeight="1">
      <c r="F589" s="13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</row>
    <row r="590" spans="6:37" ht="18.75" customHeight="1">
      <c r="F590" s="13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</row>
    <row r="591" spans="6:37" ht="18.75" customHeight="1">
      <c r="F591" s="13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</row>
    <row r="592" spans="6:37" ht="18.75" customHeight="1">
      <c r="F592" s="13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</row>
    <row r="593" spans="6:37" ht="18.75" customHeight="1">
      <c r="F593" s="13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</row>
    <row r="594" spans="6:37" ht="18.75" customHeight="1">
      <c r="F594" s="13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</row>
    <row r="595" spans="6:37" ht="18.75" customHeight="1">
      <c r="F595" s="13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</row>
  </sheetData>
  <mergeCells count="12">
    <mergeCell ref="A25:A28"/>
    <mergeCell ref="A29:E31"/>
    <mergeCell ref="AB4:AH4"/>
    <mergeCell ref="AI4:AO4"/>
    <mergeCell ref="B6:E6"/>
    <mergeCell ref="B8:C8"/>
    <mergeCell ref="A10:A24"/>
    <mergeCell ref="B4:E5"/>
    <mergeCell ref="F4:F7"/>
    <mergeCell ref="G4:M4"/>
    <mergeCell ref="N4:T4"/>
    <mergeCell ref="U4:AA4"/>
  </mergeCells>
  <conditionalFormatting sqref="A12:E12">
    <cfRule type="expression" dxfId="1391" priority="9">
      <formula>ISNUMBER(SEARCH("JOK",A12))</formula>
    </cfRule>
  </conditionalFormatting>
  <conditionalFormatting sqref="A4:AO4 B5:AO5 A6:AO7 A8:B8 D8:AO8 A9:AO11 A12:C12 F12:AO12 A13:AO22 A23:A28 F23:AO28 A29:AO31">
    <cfRule type="expression" dxfId="1390" priority="17">
      <formula>ISNUMBER(SEARCH("FORM",A4))</formula>
    </cfRule>
    <cfRule type="expression" dxfId="1389" priority="18">
      <formula>ISNUMBER(SEARCH("ASA",A4))</formula>
    </cfRule>
    <cfRule type="expression" dxfId="1388" priority="19">
      <formula>OR(ISNUMBER(SEARCH("ATM",A4)),ISNUMBER(SEARCH("ATA",A4)))</formula>
    </cfRule>
    <cfRule type="expression" dxfId="1387" priority="20">
      <formula>ISNUMBER(SEARCH("TP",A4))</formula>
    </cfRule>
    <cfRule type="expression" dxfId="1386" priority="21">
      <formula>ISNUMBER(SEARCH("CSE",A4))</formula>
    </cfRule>
    <cfRule type="expression" dxfId="1385" priority="22">
      <formula>ISNUMBER(SEARCH("JOK",A4))</formula>
    </cfRule>
  </conditionalFormatting>
  <conditionalFormatting sqref="A4:AO4 B5:AO5 A6:AO7 A8:B8 D8:AO8 A9:AO11 F12:AO12 A13:AO22 A23:A28 F23:AO28 A29:AO31 A12:C12">
    <cfRule type="expression" dxfId="1384" priority="16">
      <formula>OR(ISNUMBER(SEARCH("PPP 1",A4)),ISNUMBER(SEARCH("PPP 2",A4)))</formula>
    </cfRule>
  </conditionalFormatting>
  <conditionalFormatting sqref="A4:AO4 B5:AO5 A6:AO7 D8:AO8 A9:AO11 F12:AO12 A13:AO22 F23:AO28 A29:AO31 A8:B8 A23:A28">
    <cfRule type="expression" dxfId="1383" priority="15">
      <formula>ISNUMBER(SEARCH("JOK",A4))</formula>
    </cfRule>
  </conditionalFormatting>
  <conditionalFormatting sqref="B8 D8:E8 B9:E11 B12:C12 B13:E22">
    <cfRule type="expression" dxfId="1382" priority="114">
      <formula>ISNUMBER(SEARCH("MRP",$B8))</formula>
    </cfRule>
  </conditionalFormatting>
  <conditionalFormatting sqref="B23:E28">
    <cfRule type="expression" dxfId="1381" priority="11">
      <formula>ISNUMBER(SEARCH("MRP",$B23))</formula>
    </cfRule>
  </conditionalFormatting>
  <conditionalFormatting sqref="D12:E12">
    <cfRule type="expression" dxfId="1380" priority="2">
      <formula>ISNUMBER(SEARCH("JOK",D12))</formula>
    </cfRule>
    <cfRule type="expression" dxfId="1379" priority="3">
      <formula>OR(ISNUMBER(SEARCH("PPP 1",D12)),ISNUMBER(SEARCH("PPP 2",D12)))</formula>
    </cfRule>
    <cfRule type="expression" dxfId="1378" priority="4">
      <formula>ISNUMBER(SEARCH("FORM",D12))</formula>
    </cfRule>
    <cfRule type="expression" dxfId="1377" priority="5">
      <formula>ISNUMBER(SEARCH("ASA",D12))</formula>
    </cfRule>
    <cfRule type="expression" dxfId="1376" priority="6">
      <formula>OR(ISNUMBER(SEARCH("ATM",D12)),ISNUMBER(SEARCH("ATA",D12)))</formula>
    </cfRule>
    <cfRule type="expression" dxfId="1375" priority="7">
      <formula>ISNUMBER(SEARCH("TP",D12))</formula>
    </cfRule>
    <cfRule type="expression" dxfId="1374" priority="8">
      <formula>ISNUMBER(SEARCH("CSE",D12))</formula>
    </cfRule>
    <cfRule type="expression" dxfId="1373" priority="10">
      <formula>ISNUMBER(SEARCH("MRP",$B12))</formula>
    </cfRule>
  </conditionalFormatting>
  <conditionalFormatting sqref="F25:AH31 N6:N24 F8:M24 O8:AH24 AM21:AO24 N23:AL24">
    <cfRule type="expression" dxfId="1372" priority="157">
      <formula>ISNUMBER(SEARCH("JOK",F6))</formula>
    </cfRule>
  </conditionalFormatting>
  <conditionalFormatting sqref="G27:K27">
    <cfRule type="expression" dxfId="1371" priority="172">
      <formula>OR(ISNUMBER(SEARCH("PPP 1",G27)),ISNUMBER(SEARCH("PPP 2",G27)))</formula>
    </cfRule>
    <cfRule type="expression" dxfId="1370" priority="173">
      <formula>ISNUMBER(SEARCH("FORM",G27))</formula>
    </cfRule>
    <cfRule type="expression" dxfId="1369" priority="174">
      <formula>ISNUMBER(SEARCH("ASA",G27))</formula>
    </cfRule>
    <cfRule type="expression" dxfId="1368" priority="175">
      <formula>OR(ISNUMBER(SEARCH("ATM",G27)),ISNUMBER(SEARCH("ATA",G27)))</formula>
    </cfRule>
    <cfRule type="expression" dxfId="1367" priority="176">
      <formula>ISNUMBER(SEARCH("TP",G27))</formula>
    </cfRule>
    <cfRule type="expression" dxfId="1366" priority="177">
      <formula>ISNUMBER(SEARCH("CSE",G27))</formula>
    </cfRule>
    <cfRule type="expression" dxfId="1365" priority="178">
      <formula>OR(ISNUMBER(SEARCH("CA",G27)),ISNUMBER(SEARCH("RC",G27)))</formula>
    </cfRule>
  </conditionalFormatting>
  <conditionalFormatting sqref="G25:AH28 N6:N28 F8:M24 O8:AH24 AM21:AO24 N23:AL24 V25:V31 L29:M29 S29:T29">
    <cfRule type="expression" dxfId="1364" priority="185">
      <formula>OR(ISNUMBER(SEARCH("PPP 1",F6)),ISNUMBER(SEARCH("PPP 2",F6)))</formula>
    </cfRule>
  </conditionalFormatting>
  <conditionalFormatting sqref="G4:AO31">
    <cfRule type="expression" dxfId="1363" priority="12">
      <formula>ISNUMBER(SEARCH("CA/RC ?",G4))</formula>
    </cfRule>
    <cfRule type="expression" dxfId="1362" priority="13">
      <formula>OR(ISNUMBER(SEARCH("CA",G4)),ISNUMBER(SEARCH("RC",G4)))</formula>
    </cfRule>
  </conditionalFormatting>
  <conditionalFormatting sqref="G40:AO40">
    <cfRule type="iconSet" priority="14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L7">
    <cfRule type="expression" dxfId="1361" priority="23">
      <formula>OR(ISNUMBER(SEARCH("PPP 1",L7)),ISNUMBER(SEARCH("PPP 2",L7)))</formula>
    </cfRule>
    <cfRule type="expression" dxfId="1360" priority="24">
      <formula>ISNUMBER(SEARCH("FORM",L7))</formula>
    </cfRule>
    <cfRule type="expression" dxfId="1359" priority="25">
      <formula>ISNUMBER(SEARCH("ASA",L7))</formula>
    </cfRule>
    <cfRule type="expression" dxfId="1358" priority="26">
      <formula>OR(ISNUMBER(SEARCH("ATM",L7)),ISNUMBER(SEARCH("ATA",L7)))</formula>
    </cfRule>
    <cfRule type="expression" dxfId="1357" priority="27">
      <formula>ISNUMBER(SEARCH("TP",L7))</formula>
    </cfRule>
    <cfRule type="expression" dxfId="1356" priority="28">
      <formula>ISNUMBER(SEARCH("CSE",L7))</formula>
    </cfRule>
    <cfRule type="expression" dxfId="1355" priority="29">
      <formula>OR(ISNUMBER(SEARCH("CA",L7)),ISNUMBER(SEARCH("RC",L7)))</formula>
    </cfRule>
    <cfRule type="expression" dxfId="1354" priority="30">
      <formula>OR(ISNUMBER(SEARCH("PPP 1",L7)),ISNUMBER(SEARCH("PPP 2",L7)))</formula>
    </cfRule>
    <cfRule type="expression" dxfId="1353" priority="31">
      <formula>ISNUMBER(SEARCH("FORM",L7))</formula>
    </cfRule>
    <cfRule type="expression" dxfId="1352" priority="32">
      <formula>ISNUMBER(SEARCH("ASA",L7))</formula>
    </cfRule>
    <cfRule type="expression" dxfId="1351" priority="33">
      <formula>OR(ISNUMBER(SEARCH("ATM",L7)),ISNUMBER(SEARCH("ATA",L7)))</formula>
    </cfRule>
    <cfRule type="expression" dxfId="1350" priority="34">
      <formula>ISNUMBER(SEARCH("TP",L7))</formula>
    </cfRule>
    <cfRule type="expression" dxfId="1349" priority="35">
      <formula>ISNUMBER(SEARCH("CSE",L7))</formula>
    </cfRule>
    <cfRule type="expression" dxfId="1348" priority="36">
      <formula>OR(ISNUMBER(SEARCH("CA",L7)),ISNUMBER(SEARCH("RC",L7)))</formula>
    </cfRule>
  </conditionalFormatting>
  <conditionalFormatting sqref="L25:M25 L29:M29">
    <cfRule type="expression" dxfId="1347" priority="44">
      <formula>OR(ISNUMBER(SEARCH("PPP 1",L25)),ISNUMBER(SEARCH("PPP 2",L25)))</formula>
    </cfRule>
    <cfRule type="expression" dxfId="1346" priority="45">
      <formula>ISNUMBER(SEARCH("FORM",L25))</formula>
    </cfRule>
    <cfRule type="expression" dxfId="1345" priority="46">
      <formula>ISNUMBER(SEARCH("ASA",L25))</formula>
    </cfRule>
    <cfRule type="expression" dxfId="1344" priority="47">
      <formula>OR(ISNUMBER(SEARCH("ATM",L25)),ISNUMBER(SEARCH("ATA",L25)))</formula>
    </cfRule>
    <cfRule type="expression" dxfId="1343" priority="48">
      <formula>ISNUMBER(SEARCH("TP",L25))</formula>
    </cfRule>
    <cfRule type="expression" dxfId="1342" priority="49">
      <formula>ISNUMBER(SEARCH("CSE",L25))</formula>
    </cfRule>
    <cfRule type="expression" dxfId="1341" priority="50">
      <formula>OR(ISNUMBER(SEARCH("CA",L25)),ISNUMBER(SEARCH("RC",L25)))</formula>
    </cfRule>
  </conditionalFormatting>
  <conditionalFormatting sqref="L27:M27">
    <cfRule type="expression" dxfId="1340" priority="93">
      <formula>OR(ISNUMBER(SEARCH("PPP 1",L27)),ISNUMBER(SEARCH("PPP 2",L27)))</formula>
    </cfRule>
    <cfRule type="expression" dxfId="1339" priority="94">
      <formula>ISNUMBER(SEARCH("FORM",L27))</formula>
    </cfRule>
    <cfRule type="expression" dxfId="1338" priority="95">
      <formula>ISNUMBER(SEARCH("ASA",L27))</formula>
    </cfRule>
    <cfRule type="expression" dxfId="1337" priority="96">
      <formula>OR(ISNUMBER(SEARCH("ATM",L27)),ISNUMBER(SEARCH("ATA",L27)))</formula>
    </cfRule>
    <cfRule type="expression" dxfId="1336" priority="97">
      <formula>ISNUMBER(SEARCH("TP",L27))</formula>
    </cfRule>
    <cfRule type="expression" dxfId="1335" priority="98">
      <formula>ISNUMBER(SEARCH("CSE",L27))</formula>
    </cfRule>
    <cfRule type="expression" dxfId="1334" priority="99">
      <formula>OR(ISNUMBER(SEARCH("CA",L27)),ISNUMBER(SEARCH("RC",L27)))</formula>
    </cfRule>
  </conditionalFormatting>
  <conditionalFormatting sqref="L28:M28">
    <cfRule type="expression" dxfId="1333" priority="58">
      <formula>OR(ISNUMBER(SEARCH("PPP 1",L28)),ISNUMBER(SEARCH("PPP 2",L28)))</formula>
    </cfRule>
    <cfRule type="expression" dxfId="1332" priority="59">
      <formula>ISNUMBER(SEARCH("FORM",L28))</formula>
    </cfRule>
    <cfRule type="expression" dxfId="1331" priority="60">
      <formula>ISNUMBER(SEARCH("ASA",L28))</formula>
    </cfRule>
    <cfRule type="expression" dxfId="1330" priority="61">
      <formula>OR(ISNUMBER(SEARCH("ATM",L28)),ISNUMBER(SEARCH("ATA",L28)))</formula>
    </cfRule>
    <cfRule type="expression" dxfId="1329" priority="62">
      <formula>ISNUMBER(SEARCH("TP",L28))</formula>
    </cfRule>
    <cfRule type="expression" dxfId="1328" priority="63">
      <formula>ISNUMBER(SEARCH("CSE",L28))</formula>
    </cfRule>
    <cfRule type="expression" dxfId="1327" priority="64">
      <formula>OR(ISNUMBER(SEARCH("CA",L28)),ISNUMBER(SEARCH("RC",L28)))</formula>
    </cfRule>
  </conditionalFormatting>
  <conditionalFormatting sqref="L25:R25">
    <cfRule type="expression" dxfId="1326" priority="150">
      <formula>OR(ISNUMBER(SEARCH("PPP 1",L25)),ISNUMBER(SEARCH("PPP 2",L25)))</formula>
    </cfRule>
    <cfRule type="expression" dxfId="1325" priority="151">
      <formula>ISNUMBER(SEARCH("FORM",L25))</formula>
    </cfRule>
    <cfRule type="expression" dxfId="1324" priority="152">
      <formula>ISNUMBER(SEARCH("ASA",L25))</formula>
    </cfRule>
    <cfRule type="expression" dxfId="1323" priority="153">
      <formula>OR(ISNUMBER(SEARCH("ATM",L25)),ISNUMBER(SEARCH("ATA",L25)))</formula>
    </cfRule>
    <cfRule type="expression" dxfId="1322" priority="154">
      <formula>ISNUMBER(SEARCH("TP",L25))</formula>
    </cfRule>
    <cfRule type="expression" dxfId="1321" priority="155">
      <formula>ISNUMBER(SEARCH("CSE",L25))</formula>
    </cfRule>
    <cfRule type="expression" dxfId="1320" priority="156">
      <formula>OR(ISNUMBER(SEARCH("CA",L25)),ISNUMBER(SEARCH("RC",L25)))</formula>
    </cfRule>
  </conditionalFormatting>
  <conditionalFormatting sqref="M25:M26 M29">
    <cfRule type="expression" dxfId="1319" priority="37">
      <formula>OR(ISNUMBER(SEARCH("PPP 1",M25)),ISNUMBER(SEARCH("PPP 2",M25)))</formula>
    </cfRule>
    <cfRule type="expression" dxfId="1318" priority="38">
      <formula>ISNUMBER(SEARCH("FORM",M25))</formula>
    </cfRule>
    <cfRule type="expression" dxfId="1317" priority="39">
      <formula>ISNUMBER(SEARCH("ASA",M25))</formula>
    </cfRule>
    <cfRule type="expression" dxfId="1316" priority="40">
      <formula>OR(ISNUMBER(SEARCH("ATM",M25)),ISNUMBER(SEARCH("ATA",M25)))</formula>
    </cfRule>
    <cfRule type="expression" dxfId="1315" priority="41">
      <formula>ISNUMBER(SEARCH("TP",M25))</formula>
    </cfRule>
    <cfRule type="expression" dxfId="1314" priority="42">
      <formula>ISNUMBER(SEARCH("CSE",M25))</formula>
    </cfRule>
    <cfRule type="expression" dxfId="1313" priority="43">
      <formula>OR(ISNUMBER(SEARCH("CA",M25)),ISNUMBER(SEARCH("RC",M25)))</formula>
    </cfRule>
  </conditionalFormatting>
  <conditionalFormatting sqref="M25:M27">
    <cfRule type="expression" dxfId="1312" priority="129">
      <formula>OR(ISNUMBER(SEARCH("PPP 1",M25)),ISNUMBER(SEARCH("PPP 2",M25)))</formula>
    </cfRule>
    <cfRule type="expression" dxfId="1311" priority="130">
      <formula>ISNUMBER(SEARCH("FORM",M25))</formula>
    </cfRule>
    <cfRule type="expression" dxfId="1310" priority="131">
      <formula>ISNUMBER(SEARCH("ASA",M25))</formula>
    </cfRule>
    <cfRule type="expression" dxfId="1309" priority="132">
      <formula>OR(ISNUMBER(SEARCH("ATM",M25)),ISNUMBER(SEARCH("ATA",M25)))</formula>
    </cfRule>
    <cfRule type="expression" dxfId="1308" priority="133">
      <formula>ISNUMBER(SEARCH("TP",M25))</formula>
    </cfRule>
    <cfRule type="expression" dxfId="1307" priority="134">
      <formula>ISNUMBER(SEARCH("CSE",M25))</formula>
    </cfRule>
    <cfRule type="expression" dxfId="1306" priority="135">
      <formula>OR(ISNUMBER(SEARCH("CA",M25)),ISNUMBER(SEARCH("RC",M25)))</formula>
    </cfRule>
  </conditionalFormatting>
  <conditionalFormatting sqref="M27:M28">
    <cfRule type="expression" dxfId="1305" priority="86">
      <formula>OR(ISNUMBER(SEARCH("PPP 1",M27)),ISNUMBER(SEARCH("PPP 2",M27)))</formula>
    </cfRule>
    <cfRule type="expression" dxfId="1304" priority="87">
      <formula>ISNUMBER(SEARCH("FORM",M27))</formula>
    </cfRule>
    <cfRule type="expression" dxfId="1303" priority="88">
      <formula>ISNUMBER(SEARCH("ASA",M27))</formula>
    </cfRule>
    <cfRule type="expression" dxfId="1302" priority="89">
      <formula>OR(ISNUMBER(SEARCH("ATM",M27)),ISNUMBER(SEARCH("ATA",M27)))</formula>
    </cfRule>
    <cfRule type="expression" dxfId="1301" priority="90">
      <formula>ISNUMBER(SEARCH("TP",M27))</formula>
    </cfRule>
    <cfRule type="expression" dxfId="1300" priority="91">
      <formula>ISNUMBER(SEARCH("CSE",M27))</formula>
    </cfRule>
    <cfRule type="expression" dxfId="1299" priority="92">
      <formula>OR(ISNUMBER(SEARCH("CA",M27)),ISNUMBER(SEARCH("RC",M27)))</formula>
    </cfRule>
  </conditionalFormatting>
  <conditionalFormatting sqref="M28:M29">
    <cfRule type="expression" dxfId="1298" priority="51">
      <formula>OR(ISNUMBER(SEARCH("PPP 1",M28)),ISNUMBER(SEARCH("PPP 2",M28)))</formula>
    </cfRule>
    <cfRule type="expression" dxfId="1297" priority="52">
      <formula>ISNUMBER(SEARCH("FORM",M28))</formula>
    </cfRule>
    <cfRule type="expression" dxfId="1296" priority="53">
      <formula>ISNUMBER(SEARCH("ASA",M28))</formula>
    </cfRule>
    <cfRule type="expression" dxfId="1295" priority="54">
      <formula>OR(ISNUMBER(SEARCH("ATM",M28)),ISNUMBER(SEARCH("ATA",M28)))</formula>
    </cfRule>
    <cfRule type="expression" dxfId="1294" priority="55">
      <formula>ISNUMBER(SEARCH("TP",M28))</formula>
    </cfRule>
    <cfRule type="expression" dxfId="1293" priority="56">
      <formula>ISNUMBER(SEARCH("CSE",M28))</formula>
    </cfRule>
    <cfRule type="expression" dxfId="1292" priority="57">
      <formula>OR(ISNUMBER(SEARCH("CA",M28)),ISNUMBER(SEARCH("RC",M28)))</formula>
    </cfRule>
  </conditionalFormatting>
  <conditionalFormatting sqref="N6:N24 F8:M24 O8:AH24 AM21:AO24 N23:AL24 F25:AH31">
    <cfRule type="expression" dxfId="1291" priority="158">
      <formula>OR(ISNUMBER(SEARCH("PPP 1",F6)),ISNUMBER(SEARCH("PPP 2",F6)))</formula>
    </cfRule>
    <cfRule type="expression" dxfId="1290" priority="159">
      <formula>ISNUMBER(SEARCH("FORM",F6))</formula>
    </cfRule>
    <cfRule type="expression" dxfId="1289" priority="160">
      <formula>ISNUMBER(SEARCH("ASA",F6))</formula>
    </cfRule>
    <cfRule type="expression" dxfId="1288" priority="161">
      <formula>OR(ISNUMBER(SEARCH("ATM",F6)),ISNUMBER(SEARCH("ATA",F6)))</formula>
    </cfRule>
    <cfRule type="expression" dxfId="1287" priority="162">
      <formula>ISNUMBER(SEARCH("TP",F6))</formula>
    </cfRule>
    <cfRule type="expression" dxfId="1286" priority="163">
      <formula>ISNUMBER(SEARCH("CSE",F6))</formula>
    </cfRule>
    <cfRule type="expression" dxfId="1285" priority="164">
      <formula>OR(ISNUMBER(SEARCH("CA",F6)),ISNUMBER(SEARCH("RC",F6)))</formula>
    </cfRule>
  </conditionalFormatting>
  <conditionalFormatting sqref="N6:N28 F8:M24 O8:AH24 AM21:AO24 N23:AL24 G25:AH28 V25:V31 L29:M29 S29:T29">
    <cfRule type="expression" dxfId="1284" priority="186">
      <formula>ISNUMBER(SEARCH("FORM",F6))</formula>
    </cfRule>
    <cfRule type="expression" dxfId="1283" priority="187">
      <formula>ISNUMBER(SEARCH("ASA",F6))</formula>
    </cfRule>
    <cfRule type="expression" dxfId="1282" priority="188">
      <formula>OR(ISNUMBER(SEARCH("ATM",F6)),ISNUMBER(SEARCH("ATA",F6)))</formula>
    </cfRule>
    <cfRule type="expression" dxfId="1281" priority="189">
      <formula>ISNUMBER(SEARCH("TP",F6))</formula>
    </cfRule>
    <cfRule type="expression" dxfId="1280" priority="190">
      <formula>ISNUMBER(SEARCH("CSE",F6))</formula>
    </cfRule>
    <cfRule type="expression" dxfId="1279" priority="191">
      <formula>OR(ISNUMBER(SEARCH("CA",F6)),ISNUMBER(SEARCH("RC",F6)))</formula>
    </cfRule>
  </conditionalFormatting>
  <conditionalFormatting sqref="O26">
    <cfRule type="expression" dxfId="1278" priority="122">
      <formula>OR(ISNUMBER(SEARCH("PPP 1",O26)),ISNUMBER(SEARCH("PPP 2",O26)))</formula>
    </cfRule>
    <cfRule type="expression" dxfId="1277" priority="123">
      <formula>ISNUMBER(SEARCH("FORM",O26))</formula>
    </cfRule>
    <cfRule type="expression" dxfId="1276" priority="124">
      <formula>ISNUMBER(SEARCH("ASA",O26))</formula>
    </cfRule>
    <cfRule type="expression" dxfId="1275" priority="125">
      <formula>OR(ISNUMBER(SEARCH("ATM",O26)),ISNUMBER(SEARCH("ATA",O26)))</formula>
    </cfRule>
    <cfRule type="expression" dxfId="1274" priority="126">
      <formula>ISNUMBER(SEARCH("TP",O26))</formula>
    </cfRule>
    <cfRule type="expression" dxfId="1273" priority="127">
      <formula>ISNUMBER(SEARCH("CSE",O26))</formula>
    </cfRule>
    <cfRule type="expression" dxfId="1272" priority="128">
      <formula>OR(ISNUMBER(SEARCH("CA",O26)),ISNUMBER(SEARCH("RC",O26)))</formula>
    </cfRule>
  </conditionalFormatting>
  <conditionalFormatting sqref="S27:T27">
    <cfRule type="expression" dxfId="1271" priority="107">
      <formula>OR(ISNUMBER(SEARCH("PPP 1",S27)),ISNUMBER(SEARCH("PPP 2",S27)))</formula>
    </cfRule>
    <cfRule type="expression" dxfId="1270" priority="108">
      <formula>ISNUMBER(SEARCH("FORM",S27))</formula>
    </cfRule>
    <cfRule type="expression" dxfId="1269" priority="109">
      <formula>ISNUMBER(SEARCH("ASA",S27))</formula>
    </cfRule>
    <cfRule type="expression" dxfId="1268" priority="110">
      <formula>OR(ISNUMBER(SEARCH("ATM",S27)),ISNUMBER(SEARCH("ATA",S27)))</formula>
    </cfRule>
    <cfRule type="expression" dxfId="1267" priority="111">
      <formula>ISNUMBER(SEARCH("TP",S27))</formula>
    </cfRule>
    <cfRule type="expression" dxfId="1266" priority="112">
      <formula>ISNUMBER(SEARCH("CSE",S27))</formula>
    </cfRule>
    <cfRule type="expression" dxfId="1265" priority="113">
      <formula>OR(ISNUMBER(SEARCH("CA",S27)),ISNUMBER(SEARCH("RC",S27)))</formula>
    </cfRule>
  </conditionalFormatting>
  <conditionalFormatting sqref="S28:T28">
    <cfRule type="expression" dxfId="1264" priority="79">
      <formula>OR(ISNUMBER(SEARCH("PPP 1",S28)),ISNUMBER(SEARCH("PPP 2",S28)))</formula>
    </cfRule>
    <cfRule type="expression" dxfId="1263" priority="80">
      <formula>ISNUMBER(SEARCH("FORM",S28))</formula>
    </cfRule>
    <cfRule type="expression" dxfId="1262" priority="81">
      <formula>ISNUMBER(SEARCH("ASA",S28))</formula>
    </cfRule>
    <cfRule type="expression" dxfId="1261" priority="82">
      <formula>OR(ISNUMBER(SEARCH("ATM",S28)),ISNUMBER(SEARCH("ATA",S28)))</formula>
    </cfRule>
    <cfRule type="expression" dxfId="1260" priority="83">
      <formula>ISNUMBER(SEARCH("TP",S28))</formula>
    </cfRule>
    <cfRule type="expression" dxfId="1259" priority="84">
      <formula>ISNUMBER(SEARCH("CSE",S28))</formula>
    </cfRule>
    <cfRule type="expression" dxfId="1258" priority="85">
      <formula>OR(ISNUMBER(SEARCH("CA",S28)),ISNUMBER(SEARCH("RC",S28)))</formula>
    </cfRule>
  </conditionalFormatting>
  <conditionalFormatting sqref="T25">
    <cfRule type="expression" dxfId="1257" priority="72">
      <formula>OR(ISNUMBER(SEARCH("PPP 1",T25)),ISNUMBER(SEARCH("PPP 2",T25)))</formula>
    </cfRule>
    <cfRule type="expression" dxfId="1256" priority="73">
      <formula>ISNUMBER(SEARCH("FORM",T25))</formula>
    </cfRule>
    <cfRule type="expression" dxfId="1255" priority="74">
      <formula>ISNUMBER(SEARCH("ASA",T25))</formula>
    </cfRule>
    <cfRule type="expression" dxfId="1254" priority="75">
      <formula>OR(ISNUMBER(SEARCH("ATM",T25)),ISNUMBER(SEARCH("ATA",T25)))</formula>
    </cfRule>
    <cfRule type="expression" dxfId="1253" priority="76">
      <formula>ISNUMBER(SEARCH("TP",T25))</formula>
    </cfRule>
    <cfRule type="expression" dxfId="1252" priority="77">
      <formula>ISNUMBER(SEARCH("CSE",T25))</formula>
    </cfRule>
    <cfRule type="expression" dxfId="1251" priority="78">
      <formula>OR(ISNUMBER(SEARCH("CA",T25)),ISNUMBER(SEARCH("RC",T25)))</formula>
    </cfRule>
  </conditionalFormatting>
  <conditionalFormatting sqref="T27:T28">
    <cfRule type="expression" dxfId="1250" priority="100">
      <formula>OR(ISNUMBER(SEARCH("PPP 1",T27)),ISNUMBER(SEARCH("PPP 2",T27)))</formula>
    </cfRule>
    <cfRule type="expression" dxfId="1249" priority="101">
      <formula>ISNUMBER(SEARCH("FORM",T27))</formula>
    </cfRule>
    <cfRule type="expression" dxfId="1248" priority="102">
      <formula>ISNUMBER(SEARCH("ASA",T27))</formula>
    </cfRule>
    <cfRule type="expression" dxfId="1247" priority="103">
      <formula>OR(ISNUMBER(SEARCH("ATM",T27)),ISNUMBER(SEARCH("ATA",T27)))</formula>
    </cfRule>
    <cfRule type="expression" dxfId="1246" priority="104">
      <formula>ISNUMBER(SEARCH("TP",T27))</formula>
    </cfRule>
    <cfRule type="expression" dxfId="1245" priority="105">
      <formula>ISNUMBER(SEARCH("CSE",T27))</formula>
    </cfRule>
    <cfRule type="expression" dxfId="1244" priority="106">
      <formula>OR(ISNUMBER(SEARCH("CA",T27)),ISNUMBER(SEARCH("RC",T27)))</formula>
    </cfRule>
  </conditionalFormatting>
  <conditionalFormatting sqref="T28:T29">
    <cfRule type="expression" dxfId="1243" priority="65">
      <formula>OR(ISNUMBER(SEARCH("PPP 1",T28)),ISNUMBER(SEARCH("PPP 2",T28)))</formula>
    </cfRule>
    <cfRule type="expression" dxfId="1242" priority="66">
      <formula>ISNUMBER(SEARCH("FORM",T28))</formula>
    </cfRule>
    <cfRule type="expression" dxfId="1241" priority="67">
      <formula>ISNUMBER(SEARCH("ASA",T28))</formula>
    </cfRule>
    <cfRule type="expression" dxfId="1240" priority="68">
      <formula>OR(ISNUMBER(SEARCH("ATM",T28)),ISNUMBER(SEARCH("ATA",T28)))</formula>
    </cfRule>
    <cfRule type="expression" dxfId="1239" priority="69">
      <formula>ISNUMBER(SEARCH("TP",T28))</formula>
    </cfRule>
    <cfRule type="expression" dxfId="1238" priority="70">
      <formula>ISNUMBER(SEARCH("CSE",T28))</formula>
    </cfRule>
    <cfRule type="expression" dxfId="1237" priority="71">
      <formula>OR(ISNUMBER(SEARCH("CA",T28)),ISNUMBER(SEARCH("RC",T28)))</formula>
    </cfRule>
  </conditionalFormatting>
  <conditionalFormatting sqref="Z25:AA25">
    <cfRule type="expression" dxfId="1236" priority="143">
      <formula>OR(ISNUMBER(SEARCH("PPP 1",Z25)),ISNUMBER(SEARCH("PPP 2",Z25)))</formula>
    </cfRule>
    <cfRule type="expression" dxfId="1235" priority="144">
      <formula>ISNUMBER(SEARCH("FORM",Z25))</formula>
    </cfRule>
    <cfRule type="expression" dxfId="1234" priority="145">
      <formula>ISNUMBER(SEARCH("ASA",Z25))</formula>
    </cfRule>
    <cfRule type="expression" dxfId="1233" priority="146">
      <formula>OR(ISNUMBER(SEARCH("ATM",Z25)),ISNUMBER(SEARCH("ATA",Z25)))</formula>
    </cfRule>
    <cfRule type="expression" dxfId="1232" priority="147">
      <formula>ISNUMBER(SEARCH("TP",Z25))</formula>
    </cfRule>
    <cfRule type="expression" dxfId="1231" priority="148">
      <formula>ISNUMBER(SEARCH("CSE",Z25))</formula>
    </cfRule>
    <cfRule type="expression" dxfId="1230" priority="149">
      <formula>OR(ISNUMBER(SEARCH("CA",Z25)),ISNUMBER(SEARCH("RC",Z25)))</formula>
    </cfRule>
  </conditionalFormatting>
  <conditionalFormatting sqref="AA25:AA26">
    <cfRule type="expression" dxfId="1229" priority="136">
      <formula>OR(ISNUMBER(SEARCH("PPP 1",AA25)),ISNUMBER(SEARCH("PPP 2",AA25)))</formula>
    </cfRule>
    <cfRule type="expression" dxfId="1228" priority="137">
      <formula>ISNUMBER(SEARCH("FORM",AA25))</formula>
    </cfRule>
    <cfRule type="expression" dxfId="1227" priority="138">
      <formula>ISNUMBER(SEARCH("ASA",AA25))</formula>
    </cfRule>
    <cfRule type="expression" dxfId="1226" priority="139">
      <formula>OR(ISNUMBER(SEARCH("ATM",AA25)),ISNUMBER(SEARCH("ATA",AA25)))</formula>
    </cfRule>
    <cfRule type="expression" dxfId="1225" priority="140">
      <formula>ISNUMBER(SEARCH("TP",AA25))</formula>
    </cfRule>
    <cfRule type="expression" dxfId="1224" priority="141">
      <formula>ISNUMBER(SEARCH("CSE",AA25))</formula>
    </cfRule>
    <cfRule type="expression" dxfId="1223" priority="142">
      <formula>OR(ISNUMBER(SEARCH("CA",AA25)),ISNUMBER(SEARCH("RC",AA25)))</formula>
    </cfRule>
  </conditionalFormatting>
  <conditionalFormatting sqref="AB25:AC25">
    <cfRule type="expression" dxfId="1222" priority="179">
      <formula>OR(ISNUMBER(SEARCH("PPP 1",AB25)),ISNUMBER(SEARCH("PPP 2",AB25)))</formula>
    </cfRule>
    <cfRule type="expression" dxfId="1221" priority="180">
      <formula>ISNUMBER(SEARCH("ASA",AB25))</formula>
    </cfRule>
    <cfRule type="expression" dxfId="1220" priority="181">
      <formula>OR(ISNUMBER(SEARCH("ATM",AB25)),ISNUMBER(SEARCH("ATA",AB25)))</formula>
    </cfRule>
    <cfRule type="expression" dxfId="1219" priority="182">
      <formula>ISNUMBER(SEARCH("TP",AB25))</formula>
    </cfRule>
    <cfRule type="expression" dxfId="1218" priority="183">
      <formula>ISNUMBER(SEARCH("CSE",AB25))</formula>
    </cfRule>
    <cfRule type="expression" dxfId="1217" priority="184">
      <formula>OR(ISNUMBER(SEARCH("CA",AB25)),ISNUMBER(SEARCH("RC",AB25)))</formula>
    </cfRule>
  </conditionalFormatting>
  <conditionalFormatting sqref="AB27:AC27">
    <cfRule type="expression" dxfId="1216" priority="115">
      <formula>OR(ISNUMBER(SEARCH("PPP 1",AB27)),ISNUMBER(SEARCH("PPP 2",AB27)))</formula>
    </cfRule>
    <cfRule type="expression" dxfId="1215" priority="116">
      <formula>ISNUMBER(SEARCH("FORM",AB27))</formula>
    </cfRule>
    <cfRule type="expression" dxfId="1214" priority="117">
      <formula>ISNUMBER(SEARCH("ASA",AB27))</formula>
    </cfRule>
    <cfRule type="expression" dxfId="1213" priority="118">
      <formula>OR(ISNUMBER(SEARCH("ATM",AB27)),ISNUMBER(SEARCH("ATA",AB27)))</formula>
    </cfRule>
    <cfRule type="expression" dxfId="1212" priority="119">
      <formula>ISNUMBER(SEARCH("TP",AB27))</formula>
    </cfRule>
    <cfRule type="expression" dxfId="1211" priority="120">
      <formula>ISNUMBER(SEARCH("CSE",AB27))</formula>
    </cfRule>
    <cfRule type="expression" dxfId="1210" priority="121">
      <formula>OR(ISNUMBER(SEARCH("CA",AB27)),ISNUMBER(SEARCH("RC",AB27)))</formula>
    </cfRule>
  </conditionalFormatting>
  <conditionalFormatting sqref="AD27:AF27">
    <cfRule type="expression" dxfId="1209" priority="165">
      <formula>OR(ISNUMBER(SEARCH("PPP 1",AD27)),ISNUMBER(SEARCH("PPP 2",AD27)))</formula>
    </cfRule>
    <cfRule type="expression" dxfId="1208" priority="166">
      <formula>ISNUMBER(SEARCH("FORM",AD27))</formula>
    </cfRule>
    <cfRule type="expression" dxfId="1207" priority="167">
      <formula>ISNUMBER(SEARCH("ASA",AD27))</formula>
    </cfRule>
    <cfRule type="expression" dxfId="1206" priority="168">
      <formula>OR(ISNUMBER(SEARCH("ATM",AD27)),ISNUMBER(SEARCH("ATA",AD27)))</formula>
    </cfRule>
    <cfRule type="expression" dxfId="1205" priority="169">
      <formula>ISNUMBER(SEARCH("TP",AD27))</formula>
    </cfRule>
    <cfRule type="expression" dxfId="1204" priority="170">
      <formula>ISNUMBER(SEARCH("CSE",AD27))</formula>
    </cfRule>
    <cfRule type="expression" dxfId="1203" priority="171">
      <formula>OR(ISNUMBER(SEARCH("CA",AD27)),ISNUMBER(SEARCH("RC",AD27)))</formula>
    </cfRule>
  </conditionalFormatting>
  <dataValidations count="1">
    <dataValidation allowBlank="1" showInputMessage="1" showErrorMessage="1" sqref="G9" xr:uid="{00000000-0002-0000-0700-000000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CCFF"/>
  </sheetPr>
  <dimension ref="A1:AH595"/>
  <sheetViews>
    <sheetView topLeftCell="A22" zoomScaleNormal="100" workbookViewId="0">
      <pane xSplit="6" topLeftCell="T1" activePane="topRight" state="frozen"/>
      <selection pane="topRight" activeCell="V17" sqref="V17"/>
      <selection activeCell="A22" sqref="A22"/>
    </sheetView>
  </sheetViews>
  <sheetFormatPr defaultColWidth="12" defaultRowHeight="15"/>
  <cols>
    <col min="1" max="1" width="12.42578125" customWidth="1"/>
    <col min="2" max="2" width="21.28515625" customWidth="1"/>
    <col min="3" max="3" width="22.42578125" customWidth="1"/>
    <col min="4" max="4" width="21.42578125" customWidth="1"/>
    <col min="5" max="5" width="19.28515625" customWidth="1"/>
    <col min="6" max="6" width="13.7109375" customWidth="1"/>
    <col min="7" max="10" width="10.85546875" customWidth="1"/>
    <col min="11" max="11" width="9.42578125" customWidth="1"/>
    <col min="12" max="12" width="6.7109375" customWidth="1"/>
    <col min="13" max="13" width="6.28515625" customWidth="1"/>
    <col min="14" max="18" width="9.42578125" customWidth="1"/>
    <col min="19" max="19" width="7.7109375" customWidth="1"/>
    <col min="20" max="20" width="6.28515625" customWidth="1"/>
    <col min="21" max="21" width="12.7109375" customWidth="1"/>
    <col min="22" max="25" width="10.85546875" customWidth="1"/>
    <col min="26" max="26" width="8.28515625" customWidth="1"/>
    <col min="27" max="27" width="6.28515625" customWidth="1"/>
    <col min="28" max="32" width="10.85546875" customWidth="1"/>
    <col min="33" max="33" width="8.28515625" customWidth="1"/>
    <col min="34" max="34" width="6.28515625" customWidth="1"/>
  </cols>
  <sheetData>
    <row r="1" spans="1:34" ht="18.75" customHeight="1">
      <c r="F1" s="13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ht="18.75" customHeight="1">
      <c r="F2" s="13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</row>
    <row r="3" spans="1:34" ht="34.5" customHeight="1">
      <c r="A3" s="15"/>
      <c r="B3" s="16"/>
      <c r="C3" s="16"/>
      <c r="D3" s="16"/>
      <c r="E3" s="16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4" spans="1:34" ht="18.75" customHeight="1">
      <c r="A4" s="18" t="s">
        <v>23</v>
      </c>
      <c r="B4" s="422" t="s">
        <v>319</v>
      </c>
      <c r="C4" s="422"/>
      <c r="D4" s="422"/>
      <c r="E4" s="422"/>
      <c r="F4" s="429"/>
      <c r="G4" s="440" t="s">
        <v>320</v>
      </c>
      <c r="H4" s="440"/>
      <c r="I4" s="440"/>
      <c r="J4" s="440"/>
      <c r="K4" s="440"/>
      <c r="L4" s="440"/>
      <c r="M4" s="440"/>
      <c r="N4" s="440" t="s">
        <v>321</v>
      </c>
      <c r="O4" s="440"/>
      <c r="P4" s="440"/>
      <c r="Q4" s="440"/>
      <c r="R4" s="440"/>
      <c r="S4" s="440"/>
      <c r="T4" s="440"/>
      <c r="U4" s="440" t="s">
        <v>322</v>
      </c>
      <c r="V4" s="440"/>
      <c r="W4" s="440"/>
      <c r="X4" s="440"/>
      <c r="Y4" s="440"/>
      <c r="Z4" s="440"/>
      <c r="AA4" s="440"/>
      <c r="AB4" s="440" t="s">
        <v>323</v>
      </c>
      <c r="AC4" s="440"/>
      <c r="AD4" s="440"/>
      <c r="AE4" s="440"/>
      <c r="AF4" s="440"/>
      <c r="AG4" s="440"/>
      <c r="AH4" s="440"/>
    </row>
    <row r="5" spans="1:34" ht="21" customHeight="1">
      <c r="A5" s="152" t="s">
        <v>24</v>
      </c>
      <c r="B5" s="422"/>
      <c r="C5" s="422"/>
      <c r="D5" s="422"/>
      <c r="E5" s="422"/>
      <c r="F5" s="429"/>
      <c r="G5" s="22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168"/>
    </row>
    <row r="6" spans="1:34" ht="19.5" customHeight="1">
      <c r="A6" s="27" t="s">
        <v>25</v>
      </c>
      <c r="B6" s="421" t="s">
        <v>60</v>
      </c>
      <c r="C6" s="421"/>
      <c r="D6" s="421"/>
      <c r="E6" s="421"/>
      <c r="F6" s="429"/>
      <c r="G6" s="169" t="s">
        <v>61</v>
      </c>
      <c r="H6" s="170" t="s">
        <v>62</v>
      </c>
      <c r="I6" s="170" t="s">
        <v>63</v>
      </c>
      <c r="J6" s="170" t="s">
        <v>64</v>
      </c>
      <c r="K6" s="170" t="s">
        <v>65</v>
      </c>
      <c r="L6" s="171" t="s">
        <v>66</v>
      </c>
      <c r="M6" s="171" t="s">
        <v>67</v>
      </c>
      <c r="N6" s="170" t="s">
        <v>68</v>
      </c>
      <c r="O6" s="170" t="s">
        <v>62</v>
      </c>
      <c r="P6" s="170" t="s">
        <v>63</v>
      </c>
      <c r="Q6" s="170" t="s">
        <v>64</v>
      </c>
      <c r="R6" s="170" t="s">
        <v>65</v>
      </c>
      <c r="S6" s="171" t="s">
        <v>66</v>
      </c>
      <c r="T6" s="171" t="s">
        <v>67</v>
      </c>
      <c r="U6" s="170" t="s">
        <v>68</v>
      </c>
      <c r="V6" s="170" t="s">
        <v>62</v>
      </c>
      <c r="W6" s="170" t="s">
        <v>63</v>
      </c>
      <c r="X6" s="170" t="s">
        <v>64</v>
      </c>
      <c r="Y6" s="170" t="s">
        <v>65</v>
      </c>
      <c r="Z6" s="171" t="s">
        <v>66</v>
      </c>
      <c r="AA6" s="171" t="s">
        <v>67</v>
      </c>
      <c r="AB6" s="170" t="s">
        <v>68</v>
      </c>
      <c r="AC6" s="170" t="s">
        <v>62</v>
      </c>
      <c r="AD6" s="170" t="s">
        <v>63</v>
      </c>
      <c r="AE6" s="170" t="s">
        <v>64</v>
      </c>
      <c r="AF6" s="170" t="s">
        <v>65</v>
      </c>
      <c r="AG6" s="171" t="s">
        <v>66</v>
      </c>
      <c r="AH6" s="172" t="s">
        <v>67</v>
      </c>
    </row>
    <row r="7" spans="1:34" ht="36" customHeight="1">
      <c r="A7" s="274" t="s">
        <v>26</v>
      </c>
      <c r="B7" s="275" t="s">
        <v>69</v>
      </c>
      <c r="C7" s="35" t="s">
        <v>70</v>
      </c>
      <c r="D7" s="276" t="s">
        <v>71</v>
      </c>
      <c r="E7" s="277" t="s">
        <v>72</v>
      </c>
      <c r="F7" s="429"/>
      <c r="G7" s="278">
        <v>3</v>
      </c>
      <c r="H7" s="279">
        <v>4</v>
      </c>
      <c r="I7" s="279">
        <v>5</v>
      </c>
      <c r="J7" s="279">
        <v>6</v>
      </c>
      <c r="K7" s="279">
        <v>7</v>
      </c>
      <c r="L7" s="281">
        <v>8</v>
      </c>
      <c r="M7" s="281">
        <v>9</v>
      </c>
      <c r="N7" s="279">
        <v>10</v>
      </c>
      <c r="O7" s="279">
        <v>11</v>
      </c>
      <c r="P7" s="279">
        <v>12</v>
      </c>
      <c r="Q7" s="279">
        <v>13</v>
      </c>
      <c r="R7" s="279">
        <v>14</v>
      </c>
      <c r="S7" s="281">
        <v>15</v>
      </c>
      <c r="T7" s="281">
        <v>16</v>
      </c>
      <c r="U7" s="279">
        <v>17</v>
      </c>
      <c r="V7" s="279">
        <v>18</v>
      </c>
      <c r="W7" s="279">
        <v>19</v>
      </c>
      <c r="X7" s="279">
        <v>20</v>
      </c>
      <c r="Y7" s="279">
        <v>21</v>
      </c>
      <c r="Z7" s="281">
        <v>22</v>
      </c>
      <c r="AA7" s="281">
        <v>23</v>
      </c>
      <c r="AB7" s="279">
        <v>24</v>
      </c>
      <c r="AC7" s="279">
        <v>25</v>
      </c>
      <c r="AD7" s="279">
        <v>26</v>
      </c>
      <c r="AE7" s="279">
        <v>27</v>
      </c>
      <c r="AF7" s="279">
        <v>28</v>
      </c>
      <c r="AG7" s="281">
        <v>29</v>
      </c>
      <c r="AH7" s="282">
        <v>30</v>
      </c>
    </row>
    <row r="8" spans="1:34" ht="54" customHeight="1">
      <c r="A8" s="283" t="s">
        <v>27</v>
      </c>
      <c r="B8" s="54" t="s">
        <v>73</v>
      </c>
      <c r="C8" s="44" t="s">
        <v>73</v>
      </c>
      <c r="D8" s="185" t="s">
        <v>74</v>
      </c>
      <c r="E8" s="177" t="s">
        <v>75</v>
      </c>
      <c r="F8" s="221">
        <v>1</v>
      </c>
      <c r="G8" s="204"/>
      <c r="H8" s="205"/>
      <c r="I8" s="205"/>
      <c r="J8" s="205"/>
      <c r="K8" s="205"/>
      <c r="L8" s="323"/>
      <c r="M8" s="323"/>
      <c r="N8" s="205"/>
      <c r="O8" s="205"/>
      <c r="P8" s="205"/>
      <c r="Q8" s="205"/>
      <c r="R8" s="205"/>
      <c r="S8" s="323"/>
      <c r="T8" s="323"/>
      <c r="U8" s="205"/>
      <c r="V8" s="205"/>
      <c r="W8" s="205"/>
      <c r="X8" s="205"/>
      <c r="Y8" s="205"/>
      <c r="Z8" s="323"/>
      <c r="AA8" s="323"/>
      <c r="AB8" s="205" t="s">
        <v>271</v>
      </c>
      <c r="AC8" s="205" t="s">
        <v>76</v>
      </c>
      <c r="AD8" s="205" t="s">
        <v>271</v>
      </c>
      <c r="AE8" s="205" t="s">
        <v>271</v>
      </c>
      <c r="AF8" s="205" t="s">
        <v>271</v>
      </c>
      <c r="AG8" s="323"/>
      <c r="AH8" s="324"/>
    </row>
    <row r="9" spans="1:34" ht="71.25" customHeight="1">
      <c r="A9" s="292" t="s">
        <v>28</v>
      </c>
      <c r="B9" s="293" t="s">
        <v>77</v>
      </c>
      <c r="C9" s="294" t="s">
        <v>78</v>
      </c>
      <c r="D9" s="295" t="s">
        <v>79</v>
      </c>
      <c r="E9" s="296" t="s">
        <v>80</v>
      </c>
      <c r="F9" s="228">
        <v>1</v>
      </c>
      <c r="G9" s="113" t="s">
        <v>83</v>
      </c>
      <c r="H9" s="114" t="s">
        <v>83</v>
      </c>
      <c r="I9" s="114" t="s">
        <v>83</v>
      </c>
      <c r="J9" s="114" t="s">
        <v>83</v>
      </c>
      <c r="K9" s="114" t="s">
        <v>83</v>
      </c>
      <c r="L9" s="116"/>
      <c r="M9" s="116"/>
      <c r="N9" s="114" t="s">
        <v>83</v>
      </c>
      <c r="O9" s="114" t="s">
        <v>83</v>
      </c>
      <c r="P9" s="114" t="s">
        <v>83</v>
      </c>
      <c r="Q9" s="114" t="s">
        <v>83</v>
      </c>
      <c r="R9" s="114" t="s">
        <v>83</v>
      </c>
      <c r="S9" s="116"/>
      <c r="T9" s="116"/>
      <c r="U9" s="114" t="s">
        <v>324</v>
      </c>
      <c r="V9" s="114" t="s">
        <v>324</v>
      </c>
      <c r="W9" s="114" t="s">
        <v>324</v>
      </c>
      <c r="X9" s="114" t="s">
        <v>324</v>
      </c>
      <c r="Y9" s="114" t="s">
        <v>324</v>
      </c>
      <c r="Z9" s="116"/>
      <c r="AA9" s="116"/>
      <c r="AB9" s="114" t="s">
        <v>324</v>
      </c>
      <c r="AC9" s="114" t="s">
        <v>324</v>
      </c>
      <c r="AD9" s="114" t="s">
        <v>324</v>
      </c>
      <c r="AE9" s="114" t="s">
        <v>324</v>
      </c>
      <c r="AF9" s="114" t="s">
        <v>324</v>
      </c>
      <c r="AG9" s="116"/>
      <c r="AH9" s="117"/>
    </row>
    <row r="10" spans="1:34" ht="18.75" customHeight="1">
      <c r="A10" s="417" t="s">
        <v>88</v>
      </c>
      <c r="B10" s="64" t="s">
        <v>89</v>
      </c>
      <c r="C10" s="65" t="s">
        <v>90</v>
      </c>
      <c r="D10" s="186" t="s">
        <v>91</v>
      </c>
      <c r="E10" s="187" t="s">
        <v>92</v>
      </c>
      <c r="F10" s="354">
        <v>0.5</v>
      </c>
      <c r="G10" s="69"/>
      <c r="H10" s="61"/>
      <c r="I10" s="61"/>
      <c r="J10" s="61"/>
      <c r="K10" s="61"/>
      <c r="L10" s="70"/>
      <c r="M10" s="70"/>
      <c r="N10" s="61"/>
      <c r="O10" s="61"/>
      <c r="P10" s="61"/>
      <c r="Q10" s="61"/>
      <c r="R10" s="61"/>
      <c r="S10" s="70"/>
      <c r="T10" s="70"/>
      <c r="U10" s="334" t="s">
        <v>25</v>
      </c>
      <c r="V10" s="334" t="s">
        <v>25</v>
      </c>
      <c r="W10" s="334" t="s">
        <v>25</v>
      </c>
      <c r="X10" s="334" t="s">
        <v>25</v>
      </c>
      <c r="Y10" s="334" t="s">
        <v>25</v>
      </c>
      <c r="Z10" s="70"/>
      <c r="AA10" s="70"/>
      <c r="AB10" s="334" t="s">
        <v>25</v>
      </c>
      <c r="AC10" s="334" t="s">
        <v>25</v>
      </c>
      <c r="AD10" s="334" t="s">
        <v>25</v>
      </c>
      <c r="AE10" s="334" t="s">
        <v>25</v>
      </c>
      <c r="AF10" s="334" t="s">
        <v>25</v>
      </c>
      <c r="AG10" s="70"/>
      <c r="AH10" s="72"/>
    </row>
    <row r="11" spans="1:34" ht="18.75" customHeight="1">
      <c r="A11" s="417"/>
      <c r="B11" s="64" t="s">
        <v>94</v>
      </c>
      <c r="C11" s="65" t="s">
        <v>95</v>
      </c>
      <c r="D11" s="191" t="s">
        <v>96</v>
      </c>
      <c r="E11" s="192" t="s">
        <v>97</v>
      </c>
      <c r="F11" s="354">
        <v>1</v>
      </c>
      <c r="G11" s="76"/>
      <c r="H11" s="58"/>
      <c r="I11" s="58"/>
      <c r="J11" s="58"/>
      <c r="K11" s="58"/>
      <c r="L11" s="59"/>
      <c r="M11" s="59"/>
      <c r="N11" s="58"/>
      <c r="O11" s="58"/>
      <c r="P11" s="58"/>
      <c r="Q11" s="58"/>
      <c r="R11" s="58"/>
      <c r="S11" s="59"/>
      <c r="T11" s="59"/>
      <c r="U11" s="58"/>
      <c r="V11" s="58"/>
      <c r="W11" s="58"/>
      <c r="X11" s="58"/>
      <c r="Y11" s="58"/>
      <c r="Z11" s="59"/>
      <c r="AA11" s="59"/>
      <c r="AB11" s="61"/>
      <c r="AC11" s="61"/>
      <c r="AD11" s="61"/>
      <c r="AE11" s="61"/>
      <c r="AF11" s="61"/>
      <c r="AG11" s="59"/>
      <c r="AH11" s="63"/>
    </row>
    <row r="12" spans="1:34" ht="18.75" customHeight="1">
      <c r="A12" s="417"/>
      <c r="B12" s="64" t="s">
        <v>98</v>
      </c>
      <c r="C12" s="65" t="s">
        <v>99</v>
      </c>
      <c r="D12" s="193" t="s">
        <v>100</v>
      </c>
      <c r="E12" s="194" t="s">
        <v>101</v>
      </c>
      <c r="F12" s="354">
        <v>1</v>
      </c>
      <c r="G12" s="69"/>
      <c r="H12" s="61"/>
      <c r="I12" s="61"/>
      <c r="J12" s="61"/>
      <c r="K12" s="61"/>
      <c r="L12" s="70"/>
      <c r="M12" s="70"/>
      <c r="N12" s="61"/>
      <c r="O12" s="61"/>
      <c r="P12" s="61"/>
      <c r="Q12" s="58"/>
      <c r="R12" s="58"/>
      <c r="S12" s="59"/>
      <c r="T12" s="59"/>
      <c r="U12" s="61"/>
      <c r="V12" s="61"/>
      <c r="W12" s="58"/>
      <c r="X12" s="58"/>
      <c r="Y12" s="61"/>
      <c r="Z12" s="59"/>
      <c r="AA12" s="70"/>
      <c r="AB12" s="61"/>
      <c r="AC12" s="58"/>
      <c r="AD12" s="61"/>
      <c r="AE12" s="61"/>
      <c r="AF12" s="61"/>
      <c r="AG12" s="59"/>
      <c r="AH12" s="72"/>
    </row>
    <row r="13" spans="1:34" ht="18.75" customHeight="1">
      <c r="A13" s="417"/>
      <c r="B13" s="64" t="s">
        <v>102</v>
      </c>
      <c r="C13" s="65" t="s">
        <v>103</v>
      </c>
      <c r="D13" s="193" t="s">
        <v>104</v>
      </c>
      <c r="E13" s="194" t="s">
        <v>105</v>
      </c>
      <c r="F13" s="354">
        <v>0.8</v>
      </c>
      <c r="G13" s="69"/>
      <c r="H13" s="61"/>
      <c r="I13" s="61"/>
      <c r="J13" s="61"/>
      <c r="K13" s="61"/>
      <c r="L13" s="59"/>
      <c r="M13" s="70"/>
      <c r="N13" s="61"/>
      <c r="O13" s="61"/>
      <c r="P13" s="58"/>
      <c r="Q13" s="61"/>
      <c r="R13" s="58"/>
      <c r="S13" s="59"/>
      <c r="T13" s="59"/>
      <c r="U13" s="61"/>
      <c r="V13" s="61"/>
      <c r="W13" s="61"/>
      <c r="X13" s="61"/>
      <c r="Y13" s="61"/>
      <c r="Z13" s="59"/>
      <c r="AA13" s="70"/>
      <c r="AB13" s="61"/>
      <c r="AC13" s="61"/>
      <c r="AD13" s="61"/>
      <c r="AE13" s="61"/>
      <c r="AF13" s="61"/>
      <c r="AG13" s="59"/>
      <c r="AH13" s="72"/>
    </row>
    <row r="14" spans="1:34" ht="18.75" customHeight="1">
      <c r="A14" s="417"/>
      <c r="B14" s="64" t="s">
        <v>107</v>
      </c>
      <c r="C14" s="65" t="s">
        <v>108</v>
      </c>
      <c r="D14" s="193" t="s">
        <v>109</v>
      </c>
      <c r="E14" s="194" t="s">
        <v>110</v>
      </c>
      <c r="F14" s="354">
        <v>1</v>
      </c>
      <c r="G14" s="69"/>
      <c r="H14" s="61"/>
      <c r="I14" s="58"/>
      <c r="J14" s="61"/>
      <c r="K14" s="61"/>
      <c r="L14" s="70"/>
      <c r="M14" s="70"/>
      <c r="N14" s="61"/>
      <c r="O14" s="61"/>
      <c r="P14" s="61"/>
      <c r="Q14" s="58"/>
      <c r="R14" s="58"/>
      <c r="S14" s="59"/>
      <c r="T14" s="59"/>
      <c r="U14" s="61"/>
      <c r="V14" s="61"/>
      <c r="W14" s="61"/>
      <c r="X14" s="58"/>
      <c r="Y14" s="61"/>
      <c r="Z14" s="59"/>
      <c r="AA14" s="70"/>
      <c r="AB14" s="61"/>
      <c r="AC14" s="61"/>
      <c r="AD14" s="58"/>
      <c r="AE14" s="61"/>
      <c r="AF14" s="61"/>
      <c r="AG14" s="59"/>
      <c r="AH14" s="72"/>
    </row>
    <row r="15" spans="1:34" ht="18.75" customHeight="1">
      <c r="A15" s="417"/>
      <c r="B15" s="64" t="s">
        <v>111</v>
      </c>
      <c r="C15" s="65" t="s">
        <v>112</v>
      </c>
      <c r="D15" s="193" t="s">
        <v>113</v>
      </c>
      <c r="E15" s="194" t="s">
        <v>114</v>
      </c>
      <c r="F15" s="354">
        <v>1</v>
      </c>
      <c r="G15" s="69"/>
      <c r="H15" s="61"/>
      <c r="I15" s="61"/>
      <c r="J15" s="61"/>
      <c r="K15" s="61"/>
      <c r="L15" s="59"/>
      <c r="M15" s="70"/>
      <c r="N15" s="61"/>
      <c r="O15" s="61"/>
      <c r="P15" s="61"/>
      <c r="Q15" s="58"/>
      <c r="R15" s="58"/>
      <c r="S15" s="59"/>
      <c r="T15" s="59"/>
      <c r="U15" s="61"/>
      <c r="V15" s="61"/>
      <c r="W15" s="61"/>
      <c r="X15" s="61"/>
      <c r="Y15" s="61"/>
      <c r="Z15" s="59"/>
      <c r="AA15" s="70"/>
      <c r="AB15" s="61"/>
      <c r="AC15" s="61"/>
      <c r="AD15" s="61"/>
      <c r="AE15" s="61"/>
      <c r="AF15" s="58"/>
      <c r="AG15" s="59"/>
      <c r="AH15" s="72"/>
    </row>
    <row r="16" spans="1:34" ht="18.75" customHeight="1">
      <c r="A16" s="417"/>
      <c r="B16" s="64" t="s">
        <v>116</v>
      </c>
      <c r="C16" s="65" t="s">
        <v>117</v>
      </c>
      <c r="D16" s="193" t="s">
        <v>118</v>
      </c>
      <c r="E16" s="194" t="s">
        <v>119</v>
      </c>
      <c r="F16" s="354">
        <v>1</v>
      </c>
      <c r="G16" s="355" t="s">
        <v>25</v>
      </c>
      <c r="H16" s="303" t="s">
        <v>25</v>
      </c>
      <c r="I16" s="303" t="s">
        <v>25</v>
      </c>
      <c r="J16" s="303" t="s">
        <v>25</v>
      </c>
      <c r="K16" s="303" t="s">
        <v>25</v>
      </c>
      <c r="L16" s="70"/>
      <c r="M16" s="70"/>
      <c r="N16" s="61"/>
      <c r="O16" s="61"/>
      <c r="P16" s="61"/>
      <c r="Q16" s="58"/>
      <c r="R16" s="58"/>
      <c r="S16" s="59"/>
      <c r="T16" s="59"/>
      <c r="U16" s="61"/>
      <c r="V16" s="61"/>
      <c r="W16" s="61"/>
      <c r="X16" s="61"/>
      <c r="Y16" s="58"/>
      <c r="Z16" s="59"/>
      <c r="AA16" s="70"/>
      <c r="AB16" s="61"/>
      <c r="AC16" s="61"/>
      <c r="AD16" s="61"/>
      <c r="AE16" s="58"/>
      <c r="AF16" s="61"/>
      <c r="AG16" s="59"/>
      <c r="AH16" s="72"/>
    </row>
    <row r="17" spans="1:34" ht="18.75" customHeight="1">
      <c r="A17" s="417"/>
      <c r="B17" s="64" t="s">
        <v>120</v>
      </c>
      <c r="C17" s="65" t="s">
        <v>121</v>
      </c>
      <c r="D17" s="193" t="s">
        <v>122</v>
      </c>
      <c r="E17" s="194" t="s">
        <v>123</v>
      </c>
      <c r="F17" s="354">
        <v>1</v>
      </c>
      <c r="G17" s="69"/>
      <c r="H17" s="61"/>
      <c r="I17" s="61"/>
      <c r="J17" s="61"/>
      <c r="K17" s="61"/>
      <c r="L17" s="59"/>
      <c r="M17" s="70"/>
      <c r="N17" s="61"/>
      <c r="O17" s="61"/>
      <c r="P17" s="61"/>
      <c r="Q17" s="58"/>
      <c r="R17" s="58"/>
      <c r="S17" s="59"/>
      <c r="T17" s="59"/>
      <c r="U17" s="61"/>
      <c r="V17" s="61"/>
      <c r="W17" s="61"/>
      <c r="X17" s="58"/>
      <c r="Y17" s="61"/>
      <c r="Z17" s="59"/>
      <c r="AA17" s="70"/>
      <c r="AB17" s="58"/>
      <c r="AC17" s="61"/>
      <c r="AD17" s="61"/>
      <c r="AE17" s="61"/>
      <c r="AF17" s="61"/>
      <c r="AG17" s="59"/>
      <c r="AH17" s="72"/>
    </row>
    <row r="18" spans="1:34" ht="18.75" customHeight="1">
      <c r="A18" s="417"/>
      <c r="B18" s="64" t="s">
        <v>124</v>
      </c>
      <c r="C18" s="65" t="s">
        <v>125</v>
      </c>
      <c r="D18" s="193" t="s">
        <v>126</v>
      </c>
      <c r="E18" s="194" t="s">
        <v>127</v>
      </c>
      <c r="F18" s="354">
        <v>1</v>
      </c>
      <c r="G18" s="69"/>
      <c r="H18" s="61"/>
      <c r="I18" s="61"/>
      <c r="J18" s="61"/>
      <c r="K18" s="58"/>
      <c r="L18" s="70"/>
      <c r="M18" s="70"/>
      <c r="N18" s="61"/>
      <c r="O18" s="61"/>
      <c r="P18" s="61"/>
      <c r="Q18" s="58"/>
      <c r="R18" s="58"/>
      <c r="S18" s="59"/>
      <c r="T18" s="59"/>
      <c r="U18" s="58"/>
      <c r="V18" s="61" t="s">
        <v>115</v>
      </c>
      <c r="W18" s="61"/>
      <c r="X18" s="61"/>
      <c r="Y18" s="61"/>
      <c r="Z18" s="59"/>
      <c r="AA18" s="70"/>
      <c r="AB18" s="61"/>
      <c r="AC18" s="61"/>
      <c r="AD18" s="61"/>
      <c r="AE18" s="61"/>
      <c r="AF18" s="58"/>
      <c r="AG18" s="59"/>
      <c r="AH18" s="72"/>
    </row>
    <row r="19" spans="1:34" ht="18.75" customHeight="1">
      <c r="A19" s="417"/>
      <c r="B19" s="64" t="s">
        <v>129</v>
      </c>
      <c r="C19" s="65" t="s">
        <v>130</v>
      </c>
      <c r="D19" s="196" t="s">
        <v>131</v>
      </c>
      <c r="E19" s="197" t="s">
        <v>132</v>
      </c>
      <c r="F19" s="354">
        <v>1</v>
      </c>
      <c r="G19" s="91"/>
      <c r="H19" s="88"/>
      <c r="I19" s="88"/>
      <c r="J19" s="88"/>
      <c r="K19" s="92"/>
      <c r="L19" s="87"/>
      <c r="M19" s="87"/>
      <c r="N19" s="88"/>
      <c r="O19" s="88"/>
      <c r="P19" s="88"/>
      <c r="Q19" s="92"/>
      <c r="R19" s="92"/>
      <c r="S19" s="94"/>
      <c r="T19" s="94"/>
      <c r="U19" s="92"/>
      <c r="V19" s="88"/>
      <c r="W19" s="88"/>
      <c r="X19" s="88"/>
      <c r="Y19" s="88"/>
      <c r="Z19" s="94"/>
      <c r="AA19" s="87"/>
      <c r="AB19" s="88"/>
      <c r="AC19" s="88"/>
      <c r="AD19" s="88"/>
      <c r="AE19" s="88"/>
      <c r="AF19" s="92"/>
      <c r="AG19" s="94"/>
      <c r="AH19" s="90"/>
    </row>
    <row r="20" spans="1:34" ht="18.75" customHeight="1">
      <c r="A20" s="417"/>
      <c r="B20" s="64" t="s">
        <v>133</v>
      </c>
      <c r="C20" s="65" t="s">
        <v>134</v>
      </c>
      <c r="D20" s="196" t="s">
        <v>135</v>
      </c>
      <c r="E20" s="197" t="s">
        <v>136</v>
      </c>
      <c r="F20" s="354">
        <v>1</v>
      </c>
      <c r="G20" s="242"/>
      <c r="H20" s="99"/>
      <c r="I20" s="99"/>
      <c r="J20" s="99"/>
      <c r="K20" s="99"/>
      <c r="L20" s="98"/>
      <c r="M20" s="98"/>
      <c r="N20" s="99"/>
      <c r="O20" s="99"/>
      <c r="P20" s="99"/>
      <c r="Q20" s="99"/>
      <c r="R20" s="99"/>
      <c r="S20" s="98"/>
      <c r="T20" s="98"/>
      <c r="U20" s="99"/>
      <c r="V20" s="99"/>
      <c r="W20" s="99"/>
      <c r="X20" s="99"/>
      <c r="Y20" s="99"/>
      <c r="Z20" s="98"/>
      <c r="AA20" s="98"/>
      <c r="AB20" s="99"/>
      <c r="AC20" s="99"/>
      <c r="AD20" s="99"/>
      <c r="AE20" s="99"/>
      <c r="AF20" s="99"/>
      <c r="AG20" s="98"/>
      <c r="AH20" s="100"/>
    </row>
    <row r="21" spans="1:34" ht="18.75" customHeight="1">
      <c r="A21" s="417"/>
      <c r="B21" s="64" t="s">
        <v>137</v>
      </c>
      <c r="C21" s="65" t="s">
        <v>138</v>
      </c>
      <c r="D21" s="196" t="s">
        <v>139</v>
      </c>
      <c r="E21" s="197" t="s">
        <v>140</v>
      </c>
      <c r="F21" s="354">
        <v>1</v>
      </c>
      <c r="G21" s="242"/>
      <c r="H21" s="99"/>
      <c r="I21" s="99"/>
      <c r="J21" s="99"/>
      <c r="K21" s="99"/>
      <c r="L21" s="98"/>
      <c r="M21" s="98"/>
      <c r="N21" s="239" t="s">
        <v>25</v>
      </c>
      <c r="O21" s="239" t="s">
        <v>25</v>
      </c>
      <c r="P21" s="239" t="s">
        <v>25</v>
      </c>
      <c r="Q21" s="239" t="s">
        <v>25</v>
      </c>
      <c r="R21" s="239" t="s">
        <v>25</v>
      </c>
      <c r="S21" s="98"/>
      <c r="T21" s="98"/>
      <c r="U21" s="239" t="s">
        <v>25</v>
      </c>
      <c r="V21" s="239" t="s">
        <v>25</v>
      </c>
      <c r="W21" s="239" t="s">
        <v>25</v>
      </c>
      <c r="X21" s="239" t="s">
        <v>25</v>
      </c>
      <c r="Y21" s="239" t="s">
        <v>25</v>
      </c>
      <c r="Z21" s="98"/>
      <c r="AA21" s="98"/>
      <c r="AB21" s="239" t="s">
        <v>25</v>
      </c>
      <c r="AC21" s="239" t="s">
        <v>25</v>
      </c>
      <c r="AD21" s="239" t="s">
        <v>25</v>
      </c>
      <c r="AE21" s="239" t="s">
        <v>25</v>
      </c>
      <c r="AF21" s="239" t="s">
        <v>25</v>
      </c>
      <c r="AG21" s="98"/>
      <c r="AH21" s="100"/>
    </row>
    <row r="22" spans="1:34" ht="18.75" customHeight="1">
      <c r="A22" s="417"/>
      <c r="B22" s="64" t="s">
        <v>141</v>
      </c>
      <c r="C22" s="65" t="s">
        <v>142</v>
      </c>
      <c r="D22" s="196" t="s">
        <v>143</v>
      </c>
      <c r="E22" s="197" t="s">
        <v>144</v>
      </c>
      <c r="F22" s="354">
        <v>1</v>
      </c>
      <c r="G22" s="242"/>
      <c r="H22" s="99"/>
      <c r="I22" s="99"/>
      <c r="J22" s="99"/>
      <c r="K22" s="99"/>
      <c r="L22" s="98"/>
      <c r="M22" s="98"/>
      <c r="N22" s="99"/>
      <c r="O22" s="99"/>
      <c r="P22" s="99"/>
      <c r="Q22" s="99"/>
      <c r="R22" s="99"/>
      <c r="S22" s="98"/>
      <c r="T22" s="98"/>
      <c r="U22" s="99"/>
      <c r="V22" s="99"/>
      <c r="W22" s="99"/>
      <c r="X22" s="99"/>
      <c r="Y22" s="99"/>
      <c r="Z22" s="98"/>
      <c r="AA22" s="98"/>
      <c r="AB22" s="99"/>
      <c r="AC22" s="99"/>
      <c r="AD22" s="99"/>
      <c r="AE22" s="99"/>
      <c r="AF22" s="99"/>
      <c r="AG22" s="98"/>
      <c r="AH22" s="100"/>
    </row>
    <row r="23" spans="1:34" ht="18.75" customHeight="1">
      <c r="A23" s="417"/>
      <c r="B23" s="64" t="s">
        <v>146</v>
      </c>
      <c r="C23" s="65"/>
      <c r="D23" s="95" t="s">
        <v>147</v>
      </c>
      <c r="E23" s="85" t="s">
        <v>148</v>
      </c>
      <c r="F23" s="354">
        <v>1</v>
      </c>
      <c r="G23" s="243" t="s">
        <v>25</v>
      </c>
      <c r="H23" s="239" t="s">
        <v>25</v>
      </c>
      <c r="I23" s="239" t="s">
        <v>25</v>
      </c>
      <c r="J23" s="239" t="s">
        <v>25</v>
      </c>
      <c r="K23" s="239" t="s">
        <v>25</v>
      </c>
      <c r="L23" s="98"/>
      <c r="M23" s="98"/>
      <c r="N23" s="239" t="s">
        <v>25</v>
      </c>
      <c r="O23" s="239" t="s">
        <v>25</v>
      </c>
      <c r="P23" s="239" t="s">
        <v>25</v>
      </c>
      <c r="Q23" s="239" t="s">
        <v>25</v>
      </c>
      <c r="R23" s="239" t="s">
        <v>25</v>
      </c>
      <c r="S23" s="98"/>
      <c r="T23" s="98"/>
      <c r="U23" s="99">
        <v>8005</v>
      </c>
      <c r="V23" s="99">
        <v>8005</v>
      </c>
      <c r="W23" s="99">
        <v>8005</v>
      </c>
      <c r="X23" s="99">
        <v>8005</v>
      </c>
      <c r="Y23" s="99">
        <v>8005</v>
      </c>
      <c r="Z23" s="98"/>
      <c r="AA23" s="98"/>
      <c r="AB23" s="99">
        <v>8005</v>
      </c>
      <c r="AC23" s="99">
        <v>8005</v>
      </c>
      <c r="AD23" s="99">
        <v>8005</v>
      </c>
      <c r="AE23" s="99">
        <v>8005</v>
      </c>
      <c r="AF23" s="99">
        <v>8005</v>
      </c>
      <c r="AG23" s="98"/>
      <c r="AH23" s="100"/>
    </row>
    <row r="24" spans="1:34" ht="18.75" customHeight="1">
      <c r="A24" s="417"/>
      <c r="B24" s="101" t="s">
        <v>150</v>
      </c>
      <c r="C24" s="65"/>
      <c r="D24" s="84" t="s">
        <v>151</v>
      </c>
      <c r="E24" s="85" t="s">
        <v>152</v>
      </c>
      <c r="F24" s="356">
        <v>1</v>
      </c>
      <c r="G24" s="91" t="s">
        <v>312</v>
      </c>
      <c r="H24" s="88" t="s">
        <v>312</v>
      </c>
      <c r="I24" s="88" t="s">
        <v>312</v>
      </c>
      <c r="J24" s="88" t="s">
        <v>312</v>
      </c>
      <c r="K24" s="88" t="s">
        <v>312</v>
      </c>
      <c r="L24" s="87"/>
      <c r="M24" s="87"/>
      <c r="N24" s="88" t="s">
        <v>325</v>
      </c>
      <c r="O24" s="88" t="s">
        <v>325</v>
      </c>
      <c r="P24" s="88" t="s">
        <v>325</v>
      </c>
      <c r="Q24" s="88" t="s">
        <v>325</v>
      </c>
      <c r="R24" s="88" t="s">
        <v>325</v>
      </c>
      <c r="S24" s="87"/>
      <c r="T24" s="87"/>
      <c r="U24" s="88" t="s">
        <v>325</v>
      </c>
      <c r="V24" s="88" t="s">
        <v>325</v>
      </c>
      <c r="W24" s="88" t="s">
        <v>325</v>
      </c>
      <c r="X24" s="88" t="s">
        <v>325</v>
      </c>
      <c r="Y24" s="88" t="s">
        <v>325</v>
      </c>
      <c r="Z24" s="87"/>
      <c r="AA24" s="87"/>
      <c r="AB24" s="88" t="s">
        <v>325</v>
      </c>
      <c r="AC24" s="88" t="s">
        <v>325</v>
      </c>
      <c r="AD24" s="88" t="s">
        <v>325</v>
      </c>
      <c r="AE24" s="88" t="s">
        <v>325</v>
      </c>
      <c r="AF24" s="88" t="s">
        <v>325</v>
      </c>
      <c r="AG24" s="87"/>
      <c r="AH24" s="90"/>
    </row>
    <row r="25" spans="1:34" ht="18.75" customHeight="1">
      <c r="A25" s="430" t="s">
        <v>156</v>
      </c>
      <c r="B25" s="108" t="s">
        <v>157</v>
      </c>
      <c r="C25" s="109" t="s">
        <v>158</v>
      </c>
      <c r="D25" s="110" t="s">
        <v>159</v>
      </c>
      <c r="E25" s="111" t="s">
        <v>160</v>
      </c>
      <c r="F25" s="357">
        <v>1</v>
      </c>
      <c r="G25" s="113" t="s">
        <v>157</v>
      </c>
      <c r="H25" s="114" t="s">
        <v>157</v>
      </c>
      <c r="I25" s="114" t="s">
        <v>157</v>
      </c>
      <c r="J25" s="114" t="s">
        <v>157</v>
      </c>
      <c r="K25" s="114" t="s">
        <v>157</v>
      </c>
      <c r="L25" s="115"/>
      <c r="M25" s="116"/>
      <c r="N25" s="114" t="s">
        <v>157</v>
      </c>
      <c r="O25" s="114" t="s">
        <v>157</v>
      </c>
      <c r="P25" s="114" t="s">
        <v>157</v>
      </c>
      <c r="Q25" s="114" t="s">
        <v>157</v>
      </c>
      <c r="R25" s="114" t="s">
        <v>157</v>
      </c>
      <c r="S25" s="116"/>
      <c r="T25" s="116"/>
      <c r="U25" s="114" t="s">
        <v>157</v>
      </c>
      <c r="V25" s="114" t="s">
        <v>157</v>
      </c>
      <c r="W25" s="114" t="s">
        <v>157</v>
      </c>
      <c r="X25" s="114" t="s">
        <v>157</v>
      </c>
      <c r="Y25" s="114" t="s">
        <v>157</v>
      </c>
      <c r="Z25" s="115"/>
      <c r="AA25" s="116"/>
      <c r="AB25" s="287" t="s">
        <v>25</v>
      </c>
      <c r="AC25" s="287" t="s">
        <v>25</v>
      </c>
      <c r="AD25" s="287" t="s">
        <v>25</v>
      </c>
      <c r="AE25" s="287" t="s">
        <v>25</v>
      </c>
      <c r="AF25" s="287" t="s">
        <v>25</v>
      </c>
      <c r="AG25" s="116"/>
      <c r="AH25" s="117"/>
    </row>
    <row r="26" spans="1:34" ht="18.75" customHeight="1">
      <c r="A26" s="430"/>
      <c r="B26" s="118" t="s">
        <v>161</v>
      </c>
      <c r="C26" s="119" t="s">
        <v>158</v>
      </c>
      <c r="D26" s="120" t="s">
        <v>162</v>
      </c>
      <c r="E26" s="121" t="s">
        <v>163</v>
      </c>
      <c r="F26" s="354">
        <v>1</v>
      </c>
      <c r="G26" s="358" t="s">
        <v>25</v>
      </c>
      <c r="H26" s="334" t="s">
        <v>25</v>
      </c>
      <c r="I26" s="334" t="s">
        <v>25</v>
      </c>
      <c r="J26" s="334" t="s">
        <v>25</v>
      </c>
      <c r="K26" s="334" t="s">
        <v>25</v>
      </c>
      <c r="L26" s="70"/>
      <c r="M26" s="94"/>
      <c r="N26" s="334" t="s">
        <v>25</v>
      </c>
      <c r="O26" s="334" t="s">
        <v>25</v>
      </c>
      <c r="P26" s="334" t="s">
        <v>25</v>
      </c>
      <c r="Q26" s="334" t="s">
        <v>25</v>
      </c>
      <c r="R26" s="334" t="s">
        <v>25</v>
      </c>
      <c r="S26" s="70"/>
      <c r="T26" s="94"/>
      <c r="U26" s="88" t="s">
        <v>161</v>
      </c>
      <c r="V26" s="88" t="s">
        <v>161</v>
      </c>
      <c r="W26" s="88" t="s">
        <v>161</v>
      </c>
      <c r="X26" s="88" t="s">
        <v>161</v>
      </c>
      <c r="Y26" s="88" t="s">
        <v>161</v>
      </c>
      <c r="Z26" s="70"/>
      <c r="AA26" s="94"/>
      <c r="AB26" s="88" t="s">
        <v>161</v>
      </c>
      <c r="AC26" s="88" t="s">
        <v>161</v>
      </c>
      <c r="AD26" s="88" t="s">
        <v>161</v>
      </c>
      <c r="AE26" s="88" t="s">
        <v>161</v>
      </c>
      <c r="AF26" s="88" t="s">
        <v>161</v>
      </c>
      <c r="AG26" s="70"/>
      <c r="AH26" s="124"/>
    </row>
    <row r="27" spans="1:34" ht="18.75" customHeight="1">
      <c r="A27" s="430"/>
      <c r="B27" s="118" t="s">
        <v>164</v>
      </c>
      <c r="C27" s="119" t="s">
        <v>158</v>
      </c>
      <c r="D27" s="119" t="s">
        <v>165</v>
      </c>
      <c r="E27" s="125" t="s">
        <v>105</v>
      </c>
      <c r="F27" s="354">
        <v>1</v>
      </c>
      <c r="G27" s="91" t="s">
        <v>161</v>
      </c>
      <c r="H27" s="88" t="s">
        <v>161</v>
      </c>
      <c r="I27" s="88" t="s">
        <v>161</v>
      </c>
      <c r="J27" s="88" t="s">
        <v>161</v>
      </c>
      <c r="K27" s="88" t="s">
        <v>161</v>
      </c>
      <c r="L27" s="70"/>
      <c r="M27" s="87"/>
      <c r="N27" s="88" t="s">
        <v>161</v>
      </c>
      <c r="O27" s="88" t="s">
        <v>161</v>
      </c>
      <c r="P27" s="88" t="s">
        <v>161</v>
      </c>
      <c r="Q27" s="88" t="s">
        <v>161</v>
      </c>
      <c r="R27" s="88" t="s">
        <v>161</v>
      </c>
      <c r="S27" s="70"/>
      <c r="T27" s="87"/>
      <c r="U27" s="88" t="s">
        <v>271</v>
      </c>
      <c r="V27" s="88" t="s">
        <v>271</v>
      </c>
      <c r="W27" s="88" t="s">
        <v>271</v>
      </c>
      <c r="X27" s="88" t="s">
        <v>271</v>
      </c>
      <c r="Y27" s="88" t="s">
        <v>271</v>
      </c>
      <c r="Z27" s="70"/>
      <c r="AA27" s="87"/>
      <c r="AB27" s="88" t="s">
        <v>157</v>
      </c>
      <c r="AC27" s="88" t="s">
        <v>157</v>
      </c>
      <c r="AD27" s="88" t="s">
        <v>157</v>
      </c>
      <c r="AE27" s="88" t="s">
        <v>157</v>
      </c>
      <c r="AF27" s="88" t="s">
        <v>157</v>
      </c>
      <c r="AG27" s="70"/>
      <c r="AH27" s="90"/>
    </row>
    <row r="28" spans="1:34" ht="18.75" customHeight="1">
      <c r="A28" s="430"/>
      <c r="B28" s="127" t="s">
        <v>170</v>
      </c>
      <c r="C28" s="128" t="s">
        <v>158</v>
      </c>
      <c r="D28" s="128" t="s">
        <v>171</v>
      </c>
      <c r="E28" s="129" t="s">
        <v>172</v>
      </c>
      <c r="F28" s="359">
        <v>1</v>
      </c>
      <c r="G28" s="139" t="s">
        <v>271</v>
      </c>
      <c r="H28" s="140" t="s">
        <v>271</v>
      </c>
      <c r="I28" s="140" t="s">
        <v>271</v>
      </c>
      <c r="J28" s="140" t="s">
        <v>271</v>
      </c>
      <c r="K28" s="140" t="s">
        <v>271</v>
      </c>
      <c r="L28" s="141"/>
      <c r="M28" s="141"/>
      <c r="N28" s="140" t="s">
        <v>271</v>
      </c>
      <c r="O28" s="140" t="s">
        <v>271</v>
      </c>
      <c r="P28" s="140" t="s">
        <v>271</v>
      </c>
      <c r="Q28" s="140" t="s">
        <v>271</v>
      </c>
      <c r="R28" s="140" t="s">
        <v>271</v>
      </c>
      <c r="S28" s="141"/>
      <c r="T28" s="141"/>
      <c r="U28" s="340" t="s">
        <v>25</v>
      </c>
      <c r="V28" s="340" t="s">
        <v>25</v>
      </c>
      <c r="W28" s="340" t="s">
        <v>25</v>
      </c>
      <c r="X28" s="340" t="s">
        <v>25</v>
      </c>
      <c r="Y28" s="340" t="s">
        <v>25</v>
      </c>
      <c r="Z28" s="141"/>
      <c r="AA28" s="141"/>
      <c r="AB28" s="340" t="s">
        <v>25</v>
      </c>
      <c r="AC28" s="340" t="s">
        <v>25</v>
      </c>
      <c r="AD28" s="340" t="s">
        <v>25</v>
      </c>
      <c r="AE28" s="340" t="s">
        <v>25</v>
      </c>
      <c r="AF28" s="340" t="s">
        <v>25</v>
      </c>
      <c r="AG28" s="141"/>
      <c r="AH28" s="142"/>
    </row>
    <row r="29" spans="1:34" ht="18.75" customHeight="1">
      <c r="A29" s="431" t="s">
        <v>174</v>
      </c>
      <c r="B29" s="431"/>
      <c r="C29" s="431"/>
      <c r="D29" s="431"/>
      <c r="E29" s="431"/>
      <c r="F29" s="360">
        <v>1</v>
      </c>
      <c r="G29" s="307"/>
      <c r="H29" s="92"/>
      <c r="I29" s="92"/>
      <c r="J29" s="92"/>
      <c r="K29" s="92"/>
      <c r="L29" s="59"/>
      <c r="M29" s="59"/>
      <c r="N29" s="92"/>
      <c r="O29" s="92"/>
      <c r="P29" s="92"/>
      <c r="Q29" s="92"/>
      <c r="R29" s="92"/>
      <c r="S29" s="59"/>
      <c r="T29" s="59"/>
      <c r="U29" s="92"/>
      <c r="V29" s="92"/>
      <c r="W29" s="92"/>
      <c r="X29" s="92"/>
      <c r="Y29" s="92"/>
      <c r="Z29" s="59"/>
      <c r="AA29" s="59"/>
      <c r="AB29" s="92"/>
      <c r="AC29" s="92"/>
      <c r="AD29" s="92"/>
      <c r="AE29" s="92"/>
      <c r="AF29" s="92"/>
      <c r="AG29" s="59"/>
      <c r="AH29" s="63"/>
    </row>
    <row r="30" spans="1:34" ht="18.75" customHeight="1">
      <c r="A30" s="431"/>
      <c r="B30" s="431"/>
      <c r="C30" s="431"/>
      <c r="D30" s="431"/>
      <c r="E30" s="431"/>
      <c r="F30" s="361">
        <v>1</v>
      </c>
      <c r="G30" s="266"/>
      <c r="H30" s="88"/>
      <c r="I30" s="88"/>
      <c r="J30" s="88"/>
      <c r="K30" s="88"/>
      <c r="L30" s="70"/>
      <c r="M30" s="70"/>
      <c r="N30" s="88"/>
      <c r="O30" s="88"/>
      <c r="P30" s="88"/>
      <c r="Q30" s="88"/>
      <c r="R30" s="88"/>
      <c r="S30" s="70"/>
      <c r="T30" s="70"/>
      <c r="U30" s="88"/>
      <c r="V30" s="88"/>
      <c r="W30" s="88"/>
      <c r="X30" s="88"/>
      <c r="Y30" s="88"/>
      <c r="Z30" s="70"/>
      <c r="AA30" s="70"/>
      <c r="AB30" s="88"/>
      <c r="AC30" s="88"/>
      <c r="AD30" s="88"/>
      <c r="AE30" s="88"/>
      <c r="AF30" s="88"/>
      <c r="AG30" s="70"/>
      <c r="AH30" s="72"/>
    </row>
    <row r="31" spans="1:34" ht="18.75" customHeight="1">
      <c r="A31" s="431"/>
      <c r="B31" s="431"/>
      <c r="C31" s="431"/>
      <c r="D31" s="431"/>
      <c r="E31" s="431"/>
      <c r="F31" s="362">
        <v>1</v>
      </c>
      <c r="G31" s="270"/>
      <c r="H31" s="140"/>
      <c r="I31" s="140"/>
      <c r="J31" s="140"/>
      <c r="K31" s="140"/>
      <c r="L31" s="141"/>
      <c r="M31" s="141"/>
      <c r="N31" s="140"/>
      <c r="O31" s="140"/>
      <c r="P31" s="140"/>
      <c r="Q31" s="140"/>
      <c r="R31" s="140"/>
      <c r="S31" s="141"/>
      <c r="T31" s="141"/>
      <c r="U31" s="140"/>
      <c r="V31" s="140"/>
      <c r="W31" s="140"/>
      <c r="X31" s="140"/>
      <c r="Y31" s="140"/>
      <c r="Z31" s="141"/>
      <c r="AA31" s="141"/>
      <c r="AB31" s="140"/>
      <c r="AC31" s="140"/>
      <c r="AD31" s="140"/>
      <c r="AE31" s="140"/>
      <c r="AF31" s="140"/>
      <c r="AG31" s="141"/>
      <c r="AH31" s="142"/>
    </row>
    <row r="32" spans="1:34" ht="24" customHeight="1">
      <c r="F32" s="21"/>
      <c r="G32" s="144">
        <f>COUNTA(G29:G31)</f>
        <v>0</v>
      </c>
      <c r="H32" s="144">
        <f>COUNTA(H29:H31)</f>
        <v>0</v>
      </c>
      <c r="I32" s="144">
        <f>COUNTA(I29:I31)</f>
        <v>0</v>
      </c>
      <c r="J32" s="144">
        <f>COUNTA(J29:J31)</f>
        <v>0</v>
      </c>
      <c r="K32" s="144">
        <f>COUNTA(K29:K31)</f>
        <v>0</v>
      </c>
      <c r="L32" s="145"/>
      <c r="M32" s="145"/>
      <c r="N32" s="144">
        <f>COUNTA(N29:N31)</f>
        <v>0</v>
      </c>
      <c r="O32" s="144">
        <f>COUNTA(O29:O31)</f>
        <v>0</v>
      </c>
      <c r="P32" s="144">
        <f>COUNTA(P29:P31)</f>
        <v>0</v>
      </c>
      <c r="Q32" s="144">
        <f>COUNTA(Q29:Q31)</f>
        <v>0</v>
      </c>
      <c r="R32" s="144">
        <f>COUNTA(R29:R31)</f>
        <v>0</v>
      </c>
      <c r="S32" s="146"/>
      <c r="T32" s="146"/>
      <c r="U32" s="144">
        <f>COUNTA(U29:U31)</f>
        <v>0</v>
      </c>
      <c r="V32" s="144">
        <f>COUNTA(V29:V31)</f>
        <v>0</v>
      </c>
      <c r="W32" s="144">
        <f>COUNTA(W29:W31)</f>
        <v>0</v>
      </c>
      <c r="X32" s="144">
        <f>COUNTA(X29:X31)</f>
        <v>0</v>
      </c>
      <c r="Y32" s="144">
        <f>COUNTA(Y29:Y31)</f>
        <v>0</v>
      </c>
      <c r="Z32" s="146"/>
      <c r="AA32" s="146"/>
      <c r="AB32" s="144">
        <f>COUNTA(AB29:AB31)</f>
        <v>0</v>
      </c>
      <c r="AC32" s="144">
        <f>COUNTA(AC29:AC31)</f>
        <v>0</v>
      </c>
      <c r="AD32" s="144">
        <f>COUNTA(AD29:AD31)</f>
        <v>0</v>
      </c>
      <c r="AE32" s="144">
        <f>COUNTA(AE29:AE31)</f>
        <v>0</v>
      </c>
      <c r="AF32" s="144">
        <f>COUNTA(AF29:AF31)</f>
        <v>0</v>
      </c>
      <c r="AG32" s="146"/>
      <c r="AH32" s="147"/>
    </row>
    <row r="33" spans="4:34" ht="24" customHeight="1">
      <c r="D33" s="86" t="s">
        <v>176</v>
      </c>
      <c r="E33" s="86">
        <f t="shared" ref="E33:E38" si="0">SUM(L33,S33,Z33,AG33,AN33)</f>
        <v>0</v>
      </c>
      <c r="F33" s="86" t="s">
        <v>23</v>
      </c>
      <c r="G33" s="148">
        <f>COUNTIF(G8:G31,"TP")</f>
        <v>0</v>
      </c>
      <c r="H33" s="148">
        <f>COUNTIF(H8:H31,"TP")</f>
        <v>0</v>
      </c>
      <c r="I33" s="148">
        <f>COUNTIF(I8:I31,"TP")</f>
        <v>0</v>
      </c>
      <c r="J33" s="148">
        <f>COUNTIF(J8:J31,"TP")</f>
        <v>0</v>
      </c>
      <c r="K33" s="148">
        <f>COUNTIF(K8:K31,"TP")</f>
        <v>0</v>
      </c>
      <c r="L33" s="149">
        <f t="shared" ref="L33:L38" si="1">SUM(G33:K33)</f>
        <v>0</v>
      </c>
      <c r="M33" s="149"/>
      <c r="N33" s="148">
        <f>COUNTIF(N8:N31,"TP")</f>
        <v>0</v>
      </c>
      <c r="O33" s="148">
        <f>COUNTIF(O8:O31,"TP")</f>
        <v>0</v>
      </c>
      <c r="P33" s="148">
        <f>COUNTIF(P8:P31,"TP")</f>
        <v>0</v>
      </c>
      <c r="Q33" s="148">
        <f>COUNTIF(Q8:Q31,"TP")</f>
        <v>0</v>
      </c>
      <c r="R33" s="148">
        <f>COUNTIF(R8:R31,"TP")</f>
        <v>0</v>
      </c>
      <c r="S33" s="150">
        <f t="shared" ref="S33:S38" si="2">SUM(N33:R33)</f>
        <v>0</v>
      </c>
      <c r="T33" s="150"/>
      <c r="U33" s="148">
        <f>COUNTIF(U8:U31,"TP")</f>
        <v>0</v>
      </c>
      <c r="V33" s="148">
        <f>COUNTIF(V8:V31,"TP")</f>
        <v>0</v>
      </c>
      <c r="W33" s="148">
        <f>COUNTIF(W8:W31,"TP")</f>
        <v>0</v>
      </c>
      <c r="X33" s="148">
        <f>COUNTIF(X8:X31,"TP")</f>
        <v>0</v>
      </c>
      <c r="Y33" s="148">
        <f>COUNTIF(Y8:Y31,"TP")</f>
        <v>0</v>
      </c>
      <c r="Z33" s="150">
        <f t="shared" ref="Z33:Z38" si="3">SUM(U33:Y33)</f>
        <v>0</v>
      </c>
      <c r="AA33" s="150"/>
      <c r="AB33" s="148">
        <f>COUNTIF(AB8:AB31,"TP")</f>
        <v>0</v>
      </c>
      <c r="AC33" s="148">
        <f>COUNTIF(AC8:AC31,"TP")</f>
        <v>0</v>
      </c>
      <c r="AD33" s="148">
        <f>COUNTIF(AD8:AD31,"TP")</f>
        <v>0</v>
      </c>
      <c r="AE33" s="148">
        <f>COUNTIF(AE8:AE31,"TP")</f>
        <v>0</v>
      </c>
      <c r="AF33" s="148">
        <f>COUNTIF(AF8:AF31,"TP")</f>
        <v>0</v>
      </c>
      <c r="AG33" s="150">
        <f t="shared" ref="AG33:AG38" si="4">SUM(AB33:AF33)</f>
        <v>0</v>
      </c>
      <c r="AH33" s="151"/>
    </row>
    <row r="34" spans="4:34" ht="24" customHeight="1">
      <c r="D34" s="152" t="s">
        <v>176</v>
      </c>
      <c r="E34" s="152">
        <f t="shared" si="0"/>
        <v>0</v>
      </c>
      <c r="F34" s="152" t="s">
        <v>24</v>
      </c>
      <c r="G34" s="148">
        <f>COUNTIF(G8:G31,"CSE") + COUNTIF(G8:G31,"RPX")</f>
        <v>0</v>
      </c>
      <c r="H34" s="148">
        <f>COUNTIF(H8:H31,"CSE") + COUNTIF(H8:H31,"RPX")</f>
        <v>0</v>
      </c>
      <c r="I34" s="148">
        <f>COUNTIF(I8:I31,"CSE") + COUNTIF(I8:I31,"RPX")</f>
        <v>0</v>
      </c>
      <c r="J34" s="148">
        <f>COUNTIF(J8:J31,"CSE") + COUNTIF(J8:J31,"RPX")</f>
        <v>0</v>
      </c>
      <c r="K34" s="148">
        <f>COUNTIF(K8:K31,"CSE") + COUNTIF(K8:K31,"RPX")</f>
        <v>0</v>
      </c>
      <c r="L34" s="149">
        <f t="shared" si="1"/>
        <v>0</v>
      </c>
      <c r="M34" s="149"/>
      <c r="N34" s="148">
        <f>COUNTIF(N8:N31,"CSE") + COUNTIF(N8:N31,"RPX")</f>
        <v>0</v>
      </c>
      <c r="O34" s="148">
        <f>COUNTIF(O8:O31,"CSE") + COUNTIF(O8:O31,"RPX")</f>
        <v>0</v>
      </c>
      <c r="P34" s="148">
        <f>COUNTIF(P8:P31,"CSE") + COUNTIF(P8:P31,"RPX")</f>
        <v>0</v>
      </c>
      <c r="Q34" s="148">
        <f>COUNTIF(Q8:Q31,"CSE") + COUNTIF(Q8:Q31,"RPX")</f>
        <v>0</v>
      </c>
      <c r="R34" s="148">
        <f>COUNTIF(R8:R31,"CSE") + COUNTIF(R8:R31,"RPX")</f>
        <v>0</v>
      </c>
      <c r="S34" s="150">
        <f t="shared" si="2"/>
        <v>0</v>
      </c>
      <c r="T34" s="150"/>
      <c r="U34" s="148">
        <f>COUNTIF(U9:U31,"CSE") + COUNTIF(U9:U31,"RPX")</f>
        <v>0</v>
      </c>
      <c r="V34" s="148">
        <f>COUNTIF(V9:V31,"CSE") + COUNTIF(V9:V31,"RPX")</f>
        <v>0</v>
      </c>
      <c r="W34" s="148">
        <f>COUNTIF(W9:W31,"CSE") + COUNTIF(W9:W31,"RPX")</f>
        <v>0</v>
      </c>
      <c r="X34" s="148">
        <f>COUNTIF(X9:X31,"CSE") + COUNTIF(X9:X31,"RPX")</f>
        <v>0</v>
      </c>
      <c r="Y34" s="148">
        <f>COUNTIF(Y9:Y31,"CSE") + COUNTIF(Y9:Y31,"RPX")</f>
        <v>0</v>
      </c>
      <c r="Z34" s="150">
        <f t="shared" si="3"/>
        <v>0</v>
      </c>
      <c r="AA34" s="150"/>
      <c r="AB34" s="148">
        <f>COUNTIF(AB8:AB31,"CSE") + COUNTIF(AB8:AB31,"RPX")</f>
        <v>0</v>
      </c>
      <c r="AC34" s="148">
        <f>COUNTIF(AC8:AC31,"CSE") + COUNTIF(AC8:AC31,"RPX")</f>
        <v>0</v>
      </c>
      <c r="AD34" s="148">
        <f>COUNTIF(AD8:AD31,"CSE") + COUNTIF(AD8:AD31,"RPX")</f>
        <v>0</v>
      </c>
      <c r="AE34" s="148">
        <f>COUNTIF(AE8:AE31,"CSE") + COUNTIF(AE8:AE31,"RPX")</f>
        <v>0</v>
      </c>
      <c r="AF34" s="148">
        <f>COUNTIF(AF8:AF31,"CSE") + COUNTIF(AF8:AF31,"RPX")</f>
        <v>0</v>
      </c>
      <c r="AG34" s="150">
        <f t="shared" si="4"/>
        <v>0</v>
      </c>
      <c r="AH34" s="151"/>
    </row>
    <row r="35" spans="4:34" ht="24" customHeight="1">
      <c r="D35" s="153" t="s">
        <v>176</v>
      </c>
      <c r="E35" s="153">
        <f t="shared" si="0"/>
        <v>65</v>
      </c>
      <c r="F35" s="153" t="s">
        <v>25</v>
      </c>
      <c r="G35" s="148">
        <f>COUNTIF(G8:G31,"CA/RC")</f>
        <v>3</v>
      </c>
      <c r="H35" s="148">
        <f>COUNTIF(H8:H31,"CA/RC")</f>
        <v>3</v>
      </c>
      <c r="I35" s="148">
        <f>COUNTIF(I8:I31,"CA/RC")</f>
        <v>3</v>
      </c>
      <c r="J35" s="148">
        <f>COUNTIF(J8:J31,"CA/RC")</f>
        <v>3</v>
      </c>
      <c r="K35" s="148">
        <f>COUNTIF(K8:K31,"CA/RC")</f>
        <v>3</v>
      </c>
      <c r="L35" s="149">
        <f t="shared" si="1"/>
        <v>15</v>
      </c>
      <c r="M35" s="149"/>
      <c r="N35" s="148">
        <f>COUNTIF(N8:N31,"CA/RC")</f>
        <v>3</v>
      </c>
      <c r="O35" s="148">
        <f>COUNTIF(O8:O31,"CA/RC")</f>
        <v>3</v>
      </c>
      <c r="P35" s="148">
        <f>COUNTIF(P8:P31,"CA/RC")</f>
        <v>3</v>
      </c>
      <c r="Q35" s="148">
        <f>COUNTIF(Q8:Q31,"CA/RC")</f>
        <v>3</v>
      </c>
      <c r="R35" s="148">
        <f>COUNTIF(R8:R31,"CA/RC")</f>
        <v>3</v>
      </c>
      <c r="S35" s="150">
        <f t="shared" si="2"/>
        <v>15</v>
      </c>
      <c r="T35" s="150"/>
      <c r="U35" s="148">
        <f>COUNTIF(U8:U31,"CA/RC")</f>
        <v>3</v>
      </c>
      <c r="V35" s="148">
        <f>COUNTIF(V8:V31,"CA/RC")</f>
        <v>3</v>
      </c>
      <c r="W35" s="148">
        <f>COUNTIF(W8:W31,"CA/RC")</f>
        <v>3</v>
      </c>
      <c r="X35" s="148">
        <f>COUNTIF(X8:X31,"CA/RC")</f>
        <v>3</v>
      </c>
      <c r="Y35" s="148">
        <f>COUNTIF(Y8:Y31,"CA/RC")</f>
        <v>3</v>
      </c>
      <c r="Z35" s="150">
        <f t="shared" si="3"/>
        <v>15</v>
      </c>
      <c r="AA35" s="150"/>
      <c r="AB35" s="148">
        <f>COUNTIF(AB8:AB31,"CA/RC")</f>
        <v>4</v>
      </c>
      <c r="AC35" s="148">
        <f>COUNTIF(AC8:AC31,"CA/RC")</f>
        <v>4</v>
      </c>
      <c r="AD35" s="148">
        <f>COUNTIF(AD8:AD31,"CA/RC")</f>
        <v>4</v>
      </c>
      <c r="AE35" s="148">
        <f>COUNTIF(AE8:AE31,"CA/RC")</f>
        <v>4</v>
      </c>
      <c r="AF35" s="148">
        <f>COUNTIF(AF8:AF31,"CA/RC")</f>
        <v>4</v>
      </c>
      <c r="AG35" s="150">
        <f t="shared" si="4"/>
        <v>20</v>
      </c>
      <c r="AH35" s="151"/>
    </row>
    <row r="36" spans="4:34" ht="24" customHeight="1">
      <c r="D36" s="154" t="s">
        <v>176</v>
      </c>
      <c r="E36" s="154">
        <f t="shared" si="0"/>
        <v>0</v>
      </c>
      <c r="F36" s="154" t="s">
        <v>26</v>
      </c>
      <c r="G36" s="148">
        <f>COUNTIF(G8:G31,"ATM/ATA")</f>
        <v>0</v>
      </c>
      <c r="H36" s="148">
        <f>COUNTIF(H8:H31,"ATM/ATA")</f>
        <v>0</v>
      </c>
      <c r="I36" s="148">
        <f>COUNTIF(I8:I31,"ATM/ATA")</f>
        <v>0</v>
      </c>
      <c r="J36" s="148">
        <f>COUNTIF(J8:J31,"ATM/ATA")</f>
        <v>0</v>
      </c>
      <c r="K36" s="148">
        <f>COUNTIF(K8:K31,"ATM/ATA")</f>
        <v>0</v>
      </c>
      <c r="L36" s="149">
        <f t="shared" si="1"/>
        <v>0</v>
      </c>
      <c r="M36" s="149"/>
      <c r="N36" s="148">
        <f>COUNTIF(N8:N31,"ATM/ATA")</f>
        <v>0</v>
      </c>
      <c r="O36" s="148">
        <f>COUNTIF(O8:O31,"ATM/ATA")</f>
        <v>0</v>
      </c>
      <c r="P36" s="148">
        <f>COUNTIF(P8:P31,"ATM/ATA")</f>
        <v>0</v>
      </c>
      <c r="Q36" s="148">
        <f>COUNTIF(Q8:Q31,"ATM/ATA")</f>
        <v>0</v>
      </c>
      <c r="R36" s="148">
        <f>COUNTIF(R8:R31,"ATM/ATA")</f>
        <v>0</v>
      </c>
      <c r="S36" s="150">
        <f t="shared" si="2"/>
        <v>0</v>
      </c>
      <c r="T36" s="150"/>
      <c r="U36" s="148">
        <f>COUNTIF(U8:U31,"ATM/ATA")</f>
        <v>0</v>
      </c>
      <c r="V36" s="148">
        <f>COUNTIF(V8:V31,"ATM/ATA")</f>
        <v>0</v>
      </c>
      <c r="W36" s="148">
        <f>COUNTIF(W8:W31,"ATM/ATA")</f>
        <v>0</v>
      </c>
      <c r="X36" s="148">
        <f>COUNTIF(X8:X31,"ATM/ATA")</f>
        <v>0</v>
      </c>
      <c r="Y36" s="148">
        <f>COUNTIF(Y8:Y31,"ATM/ATA")</f>
        <v>0</v>
      </c>
      <c r="Z36" s="150">
        <f t="shared" si="3"/>
        <v>0</v>
      </c>
      <c r="AA36" s="150"/>
      <c r="AB36" s="148">
        <f>COUNTIF(AB8:AB31,"ATM/ATA")</f>
        <v>0</v>
      </c>
      <c r="AC36" s="148">
        <f>COUNTIF(AC8:AC31,"ATM/ATA")</f>
        <v>0</v>
      </c>
      <c r="AD36" s="148">
        <f>COUNTIF(AD8:AD31,"ATM/ATA")</f>
        <v>0</v>
      </c>
      <c r="AE36" s="148">
        <f>COUNTIF(AE8:AE31,"ATM/ATA")</f>
        <v>0</v>
      </c>
      <c r="AF36" s="148">
        <f>COUNTIF(AF8:AF31,"ATM/ATA")</f>
        <v>0</v>
      </c>
      <c r="AG36" s="150">
        <f t="shared" si="4"/>
        <v>0</v>
      </c>
      <c r="AH36" s="151"/>
    </row>
    <row r="37" spans="4:34" ht="24" customHeight="1">
      <c r="D37" s="122" t="s">
        <v>176</v>
      </c>
      <c r="E37" s="122">
        <f t="shared" si="0"/>
        <v>0</v>
      </c>
      <c r="F37" s="122" t="s">
        <v>27</v>
      </c>
      <c r="G37" s="148">
        <f>COUNTIF(G8:G31,"ASA")</f>
        <v>0</v>
      </c>
      <c r="H37" s="148">
        <f>COUNTIF(H8:H31,"ASA")</f>
        <v>0</v>
      </c>
      <c r="I37" s="148">
        <f>COUNTIF(I8:I31,"ASA")</f>
        <v>0</v>
      </c>
      <c r="J37" s="148">
        <f>COUNTIF(J8:J31,"ASA")</f>
        <v>0</v>
      </c>
      <c r="K37" s="148">
        <f>COUNTIF(K8:K31,"ASA")</f>
        <v>0</v>
      </c>
      <c r="L37" s="149">
        <f t="shared" si="1"/>
        <v>0</v>
      </c>
      <c r="M37" s="149"/>
      <c r="N37" s="148">
        <f>COUNTIF(N8:N31,"ASA")</f>
        <v>0</v>
      </c>
      <c r="O37" s="148">
        <f>COUNTIF(O8:O31,"ASA")</f>
        <v>0</v>
      </c>
      <c r="P37" s="148">
        <f>COUNTIF(P8:P31,"ASA")</f>
        <v>0</v>
      </c>
      <c r="Q37" s="148">
        <f>COUNTIF(Q8:Q31,"ASA")</f>
        <v>0</v>
      </c>
      <c r="R37" s="148">
        <f>COUNTIF(R8:R31,"ASA")</f>
        <v>0</v>
      </c>
      <c r="S37" s="150">
        <f t="shared" si="2"/>
        <v>0</v>
      </c>
      <c r="T37" s="150"/>
      <c r="U37" s="148">
        <f>COUNTIF(U8:U31,"ASA")</f>
        <v>0</v>
      </c>
      <c r="V37" s="148">
        <f>COUNTIF(V8:V31,"ASA")</f>
        <v>0</v>
      </c>
      <c r="W37" s="148">
        <f>COUNTIF(W8:W31,"ASA")</f>
        <v>0</v>
      </c>
      <c r="X37" s="148">
        <f>COUNTIF(X8:X31,"ASA")</f>
        <v>0</v>
      </c>
      <c r="Y37" s="148">
        <f>COUNTIF(Y8:Y31,"ASA")</f>
        <v>0</v>
      </c>
      <c r="Z37" s="150">
        <f t="shared" si="3"/>
        <v>0</v>
      </c>
      <c r="AA37" s="150"/>
      <c r="AB37" s="148">
        <f>COUNTIF(AB8:AB31,"ASA")</f>
        <v>0</v>
      </c>
      <c r="AC37" s="148">
        <f>COUNTIF(AC8:AC31,"ASA")</f>
        <v>0</v>
      </c>
      <c r="AD37" s="148">
        <f>COUNTIF(AD8:AD31,"ASA")</f>
        <v>0</v>
      </c>
      <c r="AE37" s="148">
        <f>COUNTIF(AE8:AE31,"ASA")</f>
        <v>0</v>
      </c>
      <c r="AF37" s="148">
        <f>COUNTIF(AF8:AF31,"ASA")</f>
        <v>0</v>
      </c>
      <c r="AG37" s="150">
        <f t="shared" si="4"/>
        <v>0</v>
      </c>
      <c r="AH37" s="151"/>
    </row>
    <row r="38" spans="4:34" ht="24" customHeight="1">
      <c r="D38" s="155" t="s">
        <v>176</v>
      </c>
      <c r="E38" s="155">
        <f t="shared" si="0"/>
        <v>0</v>
      </c>
      <c r="F38" s="155" t="s">
        <v>28</v>
      </c>
      <c r="G38" s="148">
        <f>COUNTIF(G8:G31,"FORM")</f>
        <v>0</v>
      </c>
      <c r="H38" s="148">
        <f>COUNTIF(H8:H31,"FORM")</f>
        <v>0</v>
      </c>
      <c r="I38" s="148">
        <f>COUNTIF(I8:I31,"FORM")</f>
        <v>0</v>
      </c>
      <c r="J38" s="148">
        <f>COUNTIF(J8:J31,"FORM")</f>
        <v>0</v>
      </c>
      <c r="K38" s="148">
        <f>COUNTIF(K8:K31,"FORM")</f>
        <v>0</v>
      </c>
      <c r="L38" s="149">
        <f t="shared" si="1"/>
        <v>0</v>
      </c>
      <c r="M38" s="149"/>
      <c r="N38" s="148">
        <f>COUNTIF(N8:N31,"FORM")</f>
        <v>0</v>
      </c>
      <c r="O38" s="148">
        <f>COUNTIF(O8:O31,"FORM")</f>
        <v>0</v>
      </c>
      <c r="P38" s="148">
        <f>COUNTIF(P8:P31,"FORM")</f>
        <v>0</v>
      </c>
      <c r="Q38" s="148">
        <f>COUNTIF(Q8:Q31,"FORM")</f>
        <v>0</v>
      </c>
      <c r="R38" s="148">
        <f>COUNTIF(R8:R31,"FORM")</f>
        <v>0</v>
      </c>
      <c r="S38" s="150">
        <f t="shared" si="2"/>
        <v>0</v>
      </c>
      <c r="T38" s="150"/>
      <c r="U38" s="148">
        <f>COUNTIF(U8:U31,"FORM")</f>
        <v>0</v>
      </c>
      <c r="V38" s="148">
        <f>COUNTIF(V8:V31,"FORM")</f>
        <v>0</v>
      </c>
      <c r="W38" s="148">
        <f>COUNTIF(W8:W31,"FORM")</f>
        <v>0</v>
      </c>
      <c r="X38" s="148">
        <f>COUNTIF(X8:X31,"FORM")</f>
        <v>0</v>
      </c>
      <c r="Y38" s="148">
        <f>COUNTIF(Y8:Y31,"FORM")</f>
        <v>0</v>
      </c>
      <c r="Z38" s="150">
        <f t="shared" si="3"/>
        <v>0</v>
      </c>
      <c r="AA38" s="150"/>
      <c r="AB38" s="148">
        <f>COUNTIF(AB8:AB31,"FORM")</f>
        <v>0</v>
      </c>
      <c r="AC38" s="148">
        <f>COUNTIF(AC8:AC31,"FORM")</f>
        <v>0</v>
      </c>
      <c r="AD38" s="148">
        <f>COUNTIF(AD8:AD31,"FORM")</f>
        <v>0</v>
      </c>
      <c r="AE38" s="148">
        <f>COUNTIF(AE8:AE31,"FORM")</f>
        <v>0</v>
      </c>
      <c r="AF38" s="148">
        <f>COUNTIF(AF8:AF31,"FORM")</f>
        <v>0</v>
      </c>
      <c r="AG38" s="150">
        <f t="shared" si="4"/>
        <v>0</v>
      </c>
      <c r="AH38" s="151"/>
    </row>
    <row r="39" spans="4:34" ht="24" customHeight="1">
      <c r="D39" s="156" t="s">
        <v>177</v>
      </c>
      <c r="E39" s="156">
        <f>AVERAGE(G39:AM39)</f>
        <v>3.25</v>
      </c>
      <c r="F39" s="215" t="s">
        <v>178</v>
      </c>
      <c r="G39" s="158">
        <f>SUM(G33:G38)</f>
        <v>3</v>
      </c>
      <c r="H39" s="158">
        <f>SUM(H33:H38)</f>
        <v>3</v>
      </c>
      <c r="I39" s="158">
        <f>SUM(I33:I38)</f>
        <v>3</v>
      </c>
      <c r="J39" s="158">
        <f>SUM(J33:J38)</f>
        <v>3</v>
      </c>
      <c r="K39" s="158">
        <f>SUM(K33:K38)</f>
        <v>3</v>
      </c>
      <c r="L39" s="158"/>
      <c r="M39" s="158"/>
      <c r="N39" s="158">
        <f>SUM(N33:N38)</f>
        <v>3</v>
      </c>
      <c r="O39" s="158">
        <f>SUM(O33:O38)</f>
        <v>3</v>
      </c>
      <c r="P39" s="158">
        <f>SUM(P33:P38)</f>
        <v>3</v>
      </c>
      <c r="Q39" s="158">
        <f>SUM(Q33:Q38)</f>
        <v>3</v>
      </c>
      <c r="R39" s="158">
        <f>SUM(R33:R38)</f>
        <v>3</v>
      </c>
      <c r="S39" s="158"/>
      <c r="T39" s="158"/>
      <c r="U39" s="158">
        <f>SUM(U33:U38)</f>
        <v>3</v>
      </c>
      <c r="V39" s="158">
        <f>SUM(V33:V38)</f>
        <v>3</v>
      </c>
      <c r="W39" s="158">
        <f>SUM(W33:W38)</f>
        <v>3</v>
      </c>
      <c r="X39" s="158">
        <f>SUM(X33:X38)</f>
        <v>3</v>
      </c>
      <c r="Y39" s="158">
        <f>SUM(Y33:Y38)</f>
        <v>3</v>
      </c>
      <c r="Z39" s="158"/>
      <c r="AA39" s="158"/>
      <c r="AB39" s="158">
        <f>SUM(AB33:AB38)</f>
        <v>4</v>
      </c>
      <c r="AC39" s="158">
        <f>SUM(AC33:AC38)</f>
        <v>4</v>
      </c>
      <c r="AD39" s="158">
        <f>SUM(AD33:AD38)</f>
        <v>4</v>
      </c>
      <c r="AE39" s="158">
        <f>SUM(AE33:AE38)</f>
        <v>4</v>
      </c>
      <c r="AF39" s="158">
        <f>SUM(AF33:AF38)</f>
        <v>4</v>
      </c>
      <c r="AG39" s="158"/>
      <c r="AH39" s="159"/>
    </row>
    <row r="40" spans="4:34" ht="24" customHeight="1">
      <c r="D40" s="156" t="s">
        <v>177</v>
      </c>
      <c r="E40" s="156">
        <f>AVERAGE(G40:AM40)</f>
        <v>16.75</v>
      </c>
      <c r="F40" s="215" t="s">
        <v>179</v>
      </c>
      <c r="G40" s="158">
        <f>(20+G32)-G39</f>
        <v>17</v>
      </c>
      <c r="H40" s="158">
        <f>(20+H32)-H39</f>
        <v>17</v>
      </c>
      <c r="I40" s="158">
        <f>(20+I32)-I39</f>
        <v>17</v>
      </c>
      <c r="J40" s="158">
        <f>(20+J32)-J39</f>
        <v>17</v>
      </c>
      <c r="K40" s="158">
        <f>(20+K32)-K39</f>
        <v>17</v>
      </c>
      <c r="L40" s="158"/>
      <c r="M40" s="158"/>
      <c r="N40" s="158">
        <f>(20+N32)-N39</f>
        <v>17</v>
      </c>
      <c r="O40" s="158">
        <f>(20+O32)-O39</f>
        <v>17</v>
      </c>
      <c r="P40" s="158">
        <f>(20+P32)-P39</f>
        <v>17</v>
      </c>
      <c r="Q40" s="158">
        <f>(20+Q32)-Q39</f>
        <v>17</v>
      </c>
      <c r="R40" s="158">
        <f>(20+R32)-R39</f>
        <v>17</v>
      </c>
      <c r="S40" s="158"/>
      <c r="T40" s="158"/>
      <c r="U40" s="158">
        <f>(20+U32)-U39</f>
        <v>17</v>
      </c>
      <c r="V40" s="158">
        <f>(20+V32)-V39</f>
        <v>17</v>
      </c>
      <c r="W40" s="158">
        <f>(20+W32)-W39</f>
        <v>17</v>
      </c>
      <c r="X40" s="158">
        <f>(20+X32)-X39</f>
        <v>17</v>
      </c>
      <c r="Y40" s="158">
        <f>(20+Y32)-Y39</f>
        <v>17</v>
      </c>
      <c r="Z40" s="158"/>
      <c r="AA40" s="158"/>
      <c r="AB40" s="158">
        <f>(20+AB32)-AB39</f>
        <v>16</v>
      </c>
      <c r="AC40" s="158">
        <f>(20+AC32)-AC39</f>
        <v>16</v>
      </c>
      <c r="AD40" s="158">
        <f>(20+AD32)-AD39</f>
        <v>16</v>
      </c>
      <c r="AE40" s="158">
        <f>(20+AE32)-AE39</f>
        <v>16</v>
      </c>
      <c r="AF40" s="158">
        <f>(20+AF32)-AF39</f>
        <v>16</v>
      </c>
      <c r="AG40" s="158"/>
      <c r="AH40" s="159"/>
    </row>
    <row r="41" spans="4:34" ht="24" customHeight="1">
      <c r="D41" s="156" t="s">
        <v>177</v>
      </c>
      <c r="E41" s="156">
        <f>AVERAGE(G41:AM41)</f>
        <v>16</v>
      </c>
      <c r="F41" s="216" t="s">
        <v>180</v>
      </c>
      <c r="G41" s="161">
        <v>16</v>
      </c>
      <c r="H41" s="161">
        <v>16</v>
      </c>
      <c r="I41" s="161">
        <v>16</v>
      </c>
      <c r="J41" s="161">
        <v>16</v>
      </c>
      <c r="K41" s="161">
        <v>16</v>
      </c>
      <c r="L41" s="161"/>
      <c r="M41" s="161"/>
      <c r="N41" s="161">
        <v>16</v>
      </c>
      <c r="O41" s="161">
        <v>16</v>
      </c>
      <c r="P41" s="161">
        <v>16</v>
      </c>
      <c r="Q41" s="161">
        <v>16</v>
      </c>
      <c r="R41" s="161">
        <v>16</v>
      </c>
      <c r="S41" s="162"/>
      <c r="T41" s="162"/>
      <c r="U41" s="161">
        <v>16</v>
      </c>
      <c r="V41" s="161">
        <v>16</v>
      </c>
      <c r="W41" s="161">
        <v>16</v>
      </c>
      <c r="X41" s="161">
        <v>16</v>
      </c>
      <c r="Y41" s="161">
        <v>16</v>
      </c>
      <c r="Z41" s="162"/>
      <c r="AA41" s="162"/>
      <c r="AB41" s="161">
        <v>16</v>
      </c>
      <c r="AC41" s="161">
        <v>16</v>
      </c>
      <c r="AD41" s="161">
        <v>16</v>
      </c>
      <c r="AE41" s="161">
        <v>16</v>
      </c>
      <c r="AF41" s="161">
        <v>16</v>
      </c>
      <c r="AG41" s="162"/>
      <c r="AH41" s="163"/>
    </row>
    <row r="42" spans="4:34" ht="24" customHeight="1">
      <c r="D42" s="156" t="s">
        <v>177</v>
      </c>
      <c r="E42" s="156">
        <f>AVERAGE(G42:AM42)</f>
        <v>0.75</v>
      </c>
      <c r="F42" s="217" t="s">
        <v>181</v>
      </c>
      <c r="G42" s="166">
        <f>G40-G41</f>
        <v>1</v>
      </c>
      <c r="H42" s="166">
        <f>H40-H41</f>
        <v>1</v>
      </c>
      <c r="I42" s="166">
        <f>I40-I41</f>
        <v>1</v>
      </c>
      <c r="J42" s="166">
        <f>J40-J41</f>
        <v>1</v>
      </c>
      <c r="K42" s="166">
        <f>K40-K41</f>
        <v>1</v>
      </c>
      <c r="L42" s="166"/>
      <c r="M42" s="166"/>
      <c r="N42" s="166">
        <f>N40-N41</f>
        <v>1</v>
      </c>
      <c r="O42" s="166">
        <f>O40-O41</f>
        <v>1</v>
      </c>
      <c r="P42" s="166">
        <f>P40-P41</f>
        <v>1</v>
      </c>
      <c r="Q42" s="166">
        <f>Q40-Q41</f>
        <v>1</v>
      </c>
      <c r="R42" s="166">
        <f>R40-R41</f>
        <v>1</v>
      </c>
      <c r="S42" s="166"/>
      <c r="T42" s="166"/>
      <c r="U42" s="166">
        <f>U40-U41</f>
        <v>1</v>
      </c>
      <c r="V42" s="166">
        <f>V40-V41</f>
        <v>1</v>
      </c>
      <c r="W42" s="166">
        <f>W40-W41</f>
        <v>1</v>
      </c>
      <c r="X42" s="166">
        <f>X40-X41</f>
        <v>1</v>
      </c>
      <c r="Y42" s="166">
        <f>Y40-Y41</f>
        <v>1</v>
      </c>
      <c r="Z42" s="166"/>
      <c r="AA42" s="166"/>
      <c r="AB42" s="166">
        <f>AB40-AB41</f>
        <v>0</v>
      </c>
      <c r="AC42" s="166">
        <f>AC40-AC41</f>
        <v>0</v>
      </c>
      <c r="AD42" s="166">
        <f>AD40-AD41</f>
        <v>0</v>
      </c>
      <c r="AE42" s="166">
        <f>AE40-AE41</f>
        <v>0</v>
      </c>
      <c r="AF42" s="166">
        <f>AF40-AF41</f>
        <v>0</v>
      </c>
      <c r="AG42" s="166"/>
      <c r="AH42" s="167"/>
    </row>
    <row r="43" spans="4:34" ht="18.75" customHeight="1">
      <c r="F43" s="13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4:34" ht="18.75" customHeight="1">
      <c r="F44" s="13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4:34" ht="18.75" customHeight="1">
      <c r="F45" s="13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4:34" ht="18.75" customHeight="1">
      <c r="F46" s="13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4:34" ht="18.75" customHeight="1">
      <c r="F47" s="13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4:34" ht="18.75" customHeight="1">
      <c r="F48" s="13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6:34" ht="18.75" customHeight="1">
      <c r="F49" s="13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  <row r="50" spans="6:34" ht="18.75" customHeight="1">
      <c r="F50" s="13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</row>
    <row r="51" spans="6:34" ht="18.75" customHeight="1">
      <c r="F51" s="13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</row>
    <row r="52" spans="6:34" ht="18.75" customHeight="1">
      <c r="F52" s="13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</row>
    <row r="53" spans="6:34" ht="18.75" customHeight="1">
      <c r="F53" s="13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</row>
    <row r="54" spans="6:34" ht="18.75" customHeight="1">
      <c r="F54" s="13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</row>
    <row r="55" spans="6:34" ht="18.75" customHeight="1">
      <c r="F55" s="13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</row>
    <row r="56" spans="6:34" ht="18.75" customHeight="1">
      <c r="F56" s="13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</row>
    <row r="57" spans="6:34" ht="18.75" customHeight="1">
      <c r="F57" s="13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</row>
    <row r="58" spans="6:34" ht="18.75" customHeight="1">
      <c r="F58" s="13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</row>
    <row r="59" spans="6:34" ht="18.75" customHeight="1">
      <c r="F59" s="13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</row>
    <row r="60" spans="6:34" ht="18.75" customHeight="1">
      <c r="F60" s="13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</row>
    <row r="61" spans="6:34" ht="18.75" customHeight="1">
      <c r="F61" s="13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</row>
    <row r="62" spans="6:34" ht="18.75" customHeight="1">
      <c r="F62" s="13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</row>
    <row r="63" spans="6:34" ht="18.75" customHeight="1">
      <c r="F63" s="13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</row>
    <row r="64" spans="6:34" ht="18.75" customHeight="1">
      <c r="F64" s="13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</row>
    <row r="65" spans="6:34" ht="18.75" customHeight="1">
      <c r="F65" s="13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</row>
    <row r="66" spans="6:34" ht="18.75" customHeight="1">
      <c r="F66" s="13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</row>
    <row r="67" spans="6:34" ht="18.75" customHeight="1">
      <c r="F67" s="13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</row>
    <row r="68" spans="6:34" ht="18.75" customHeight="1">
      <c r="F68" s="13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</row>
    <row r="69" spans="6:34" ht="18.75" customHeight="1">
      <c r="F69" s="13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</row>
    <row r="70" spans="6:34" ht="18.75" customHeight="1">
      <c r="F70" s="13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</row>
    <row r="71" spans="6:34" ht="18.75" customHeight="1">
      <c r="F71" s="13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</row>
    <row r="72" spans="6:34" ht="18.75" customHeight="1">
      <c r="F72" s="13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</row>
    <row r="73" spans="6:34" ht="18.75" customHeight="1">
      <c r="F73" s="13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</row>
    <row r="74" spans="6:34" ht="18.75" customHeight="1">
      <c r="F74" s="13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</row>
    <row r="75" spans="6:34" ht="18.75" customHeight="1">
      <c r="F75" s="13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</row>
    <row r="76" spans="6:34" ht="18.75" customHeight="1">
      <c r="F76" s="13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</row>
    <row r="77" spans="6:34" ht="18.75" customHeight="1">
      <c r="F77" s="13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</row>
    <row r="78" spans="6:34" ht="18.75" customHeight="1">
      <c r="F78" s="13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</row>
    <row r="79" spans="6:34" ht="18.75" customHeight="1">
      <c r="F79" s="13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</row>
    <row r="80" spans="6:34" ht="18.75" customHeight="1">
      <c r="F80" s="13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</row>
    <row r="81" spans="6:34" ht="18.75" customHeight="1">
      <c r="F81" s="13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</row>
    <row r="82" spans="6:34" ht="18.75" customHeight="1">
      <c r="F82" s="13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</row>
    <row r="83" spans="6:34" ht="18.75" customHeight="1">
      <c r="F83" s="13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</row>
    <row r="84" spans="6:34" ht="18.75" customHeight="1">
      <c r="F84" s="13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</row>
    <row r="85" spans="6:34" ht="18.75" customHeight="1">
      <c r="F85" s="13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</row>
    <row r="86" spans="6:34" ht="18.75" customHeight="1">
      <c r="F86" s="13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</row>
    <row r="87" spans="6:34" ht="18.75" customHeight="1">
      <c r="F87" s="13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</row>
    <row r="88" spans="6:34" ht="18.75" customHeight="1">
      <c r="F88" s="13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</row>
    <row r="89" spans="6:34" ht="18.75" customHeight="1">
      <c r="F89" s="13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</row>
    <row r="90" spans="6:34" ht="18.75" customHeight="1">
      <c r="F90" s="13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</row>
    <row r="91" spans="6:34" ht="18.75" customHeight="1">
      <c r="F91" s="13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</row>
    <row r="92" spans="6:34" ht="18.75" customHeight="1">
      <c r="F92" s="13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</row>
    <row r="93" spans="6:34" ht="18.75" customHeight="1">
      <c r="F93" s="13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</row>
    <row r="94" spans="6:34" ht="18.75" customHeight="1">
      <c r="F94" s="13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</row>
    <row r="95" spans="6:34" ht="18.75" customHeight="1">
      <c r="F95" s="13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</row>
    <row r="96" spans="6:34" ht="18.75" customHeight="1">
      <c r="F96" s="13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</row>
    <row r="97" spans="6:34" ht="18.75" customHeight="1">
      <c r="F97" s="13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</row>
    <row r="98" spans="6:34" ht="18.75" customHeight="1">
      <c r="F98" s="13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</row>
    <row r="99" spans="6:34" ht="18.75" customHeight="1">
      <c r="F99" s="13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</row>
    <row r="100" spans="6:34" ht="18.75" customHeight="1">
      <c r="F100" s="13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</row>
    <row r="101" spans="6:34" ht="18.75" customHeight="1">
      <c r="F101" s="13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</row>
    <row r="102" spans="6:34" ht="18.75" customHeight="1">
      <c r="F102" s="13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</row>
    <row r="103" spans="6:34" ht="18.75" customHeight="1">
      <c r="F103" s="13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</row>
    <row r="104" spans="6:34" ht="18.75" customHeight="1">
      <c r="F104" s="13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</row>
    <row r="105" spans="6:34" ht="18.75" customHeight="1">
      <c r="F105" s="13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</row>
    <row r="106" spans="6:34" ht="18.75" customHeight="1">
      <c r="F106" s="13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</row>
    <row r="107" spans="6:34" ht="18.75" customHeight="1">
      <c r="F107" s="13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</row>
    <row r="108" spans="6:34" ht="18.75" customHeight="1">
      <c r="F108" s="13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</row>
    <row r="109" spans="6:34" ht="18.75" customHeight="1">
      <c r="F109" s="13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</row>
    <row r="110" spans="6:34" ht="18.75" customHeight="1">
      <c r="F110" s="13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</row>
    <row r="111" spans="6:34" ht="18.75" customHeight="1">
      <c r="F111" s="13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</row>
    <row r="112" spans="6:34" ht="18.75" customHeight="1">
      <c r="F112" s="13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</row>
    <row r="113" spans="6:34" ht="18.75" customHeight="1">
      <c r="F113" s="13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</row>
    <row r="114" spans="6:34" ht="18.75" customHeight="1">
      <c r="F114" s="13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</row>
    <row r="115" spans="6:34" ht="18.75" customHeight="1">
      <c r="F115" s="13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</row>
    <row r="116" spans="6:34" ht="18.75" customHeight="1">
      <c r="F116" s="13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</row>
    <row r="117" spans="6:34" ht="18.75" customHeight="1">
      <c r="F117" s="13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</row>
    <row r="118" spans="6:34" ht="18.75" customHeight="1">
      <c r="F118" s="13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</row>
    <row r="119" spans="6:34" ht="18.75" customHeight="1">
      <c r="F119" s="13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</row>
    <row r="120" spans="6:34" ht="18.75" customHeight="1">
      <c r="F120" s="13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</row>
    <row r="121" spans="6:34" ht="18.75" customHeight="1">
      <c r="F121" s="13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</row>
    <row r="122" spans="6:34" ht="18.75" customHeight="1">
      <c r="F122" s="13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</row>
    <row r="123" spans="6:34" ht="18.75" customHeight="1">
      <c r="F123" s="13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</row>
    <row r="124" spans="6:34" ht="18.75" customHeight="1">
      <c r="F124" s="13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</row>
    <row r="125" spans="6:34" ht="18.75" customHeight="1">
      <c r="F125" s="13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</row>
    <row r="126" spans="6:34" ht="18.75" customHeight="1">
      <c r="F126" s="13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</row>
    <row r="127" spans="6:34" ht="18.75" customHeight="1">
      <c r="F127" s="13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</row>
    <row r="128" spans="6:34" ht="18.75" customHeight="1">
      <c r="F128" s="13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</row>
    <row r="129" spans="6:34" ht="18.75" customHeight="1">
      <c r="F129" s="13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</row>
    <row r="130" spans="6:34" ht="18.75" customHeight="1">
      <c r="F130" s="13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</row>
    <row r="131" spans="6:34" ht="18.75" customHeight="1">
      <c r="F131" s="13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</row>
    <row r="132" spans="6:34" ht="18.75" customHeight="1">
      <c r="F132" s="13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</row>
    <row r="133" spans="6:34" ht="18.75" customHeight="1">
      <c r="F133" s="13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</row>
    <row r="134" spans="6:34" ht="18.75" customHeight="1">
      <c r="F134" s="13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</row>
    <row r="135" spans="6:34" ht="18.75" customHeight="1">
      <c r="F135" s="13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</row>
    <row r="136" spans="6:34" ht="18.75" customHeight="1">
      <c r="F136" s="13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</row>
    <row r="137" spans="6:34" ht="18.75" customHeight="1">
      <c r="F137" s="13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</row>
    <row r="138" spans="6:34" ht="18.75" customHeight="1">
      <c r="F138" s="13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</row>
    <row r="139" spans="6:34" ht="18.75" customHeight="1">
      <c r="F139" s="13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</row>
    <row r="140" spans="6:34" ht="18.75" customHeight="1">
      <c r="F140" s="13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</row>
    <row r="141" spans="6:34" ht="18.75" customHeight="1">
      <c r="F141" s="13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</row>
    <row r="142" spans="6:34" ht="18.75" customHeight="1">
      <c r="F142" s="13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</row>
    <row r="143" spans="6:34" ht="18.75" customHeight="1">
      <c r="F143" s="13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</row>
    <row r="144" spans="6:34" ht="18.75" customHeight="1">
      <c r="F144" s="13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</row>
    <row r="145" spans="6:34" ht="18.75" customHeight="1">
      <c r="F145" s="13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</row>
    <row r="146" spans="6:34" ht="18.75" customHeight="1">
      <c r="F146" s="13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</row>
    <row r="147" spans="6:34" ht="18.75" customHeight="1">
      <c r="F147" s="13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</row>
    <row r="148" spans="6:34" ht="18.75" customHeight="1">
      <c r="F148" s="13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</row>
    <row r="149" spans="6:34" ht="18.75" customHeight="1">
      <c r="F149" s="13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</row>
    <row r="150" spans="6:34" ht="18.75" customHeight="1">
      <c r="F150" s="13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</row>
    <row r="151" spans="6:34" ht="18.75" customHeight="1">
      <c r="F151" s="13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</row>
    <row r="152" spans="6:34" ht="18.75" customHeight="1">
      <c r="F152" s="13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</row>
    <row r="153" spans="6:34" ht="18.75" customHeight="1">
      <c r="F153" s="13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</row>
    <row r="154" spans="6:34" ht="18.75" customHeight="1">
      <c r="F154" s="13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</row>
    <row r="155" spans="6:34" ht="18.75" customHeight="1">
      <c r="F155" s="13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</row>
    <row r="156" spans="6:34" ht="18.75" customHeight="1">
      <c r="F156" s="13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</row>
    <row r="157" spans="6:34" ht="18.75" customHeight="1">
      <c r="F157" s="13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</row>
    <row r="158" spans="6:34" ht="18.75" customHeight="1">
      <c r="F158" s="13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</row>
    <row r="159" spans="6:34" ht="18.75" customHeight="1">
      <c r="F159" s="13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</row>
    <row r="160" spans="6:34" ht="18.75" customHeight="1">
      <c r="F160" s="13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</row>
    <row r="161" spans="6:34" ht="18.75" customHeight="1">
      <c r="F161" s="13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</row>
    <row r="162" spans="6:34" ht="18.75" customHeight="1">
      <c r="F162" s="13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</row>
    <row r="163" spans="6:34" ht="18.75" customHeight="1">
      <c r="F163" s="13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</row>
    <row r="164" spans="6:34" ht="18.75" customHeight="1">
      <c r="F164" s="13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</row>
    <row r="165" spans="6:34" ht="18.75" customHeight="1">
      <c r="F165" s="13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</row>
    <row r="166" spans="6:34" ht="18.75" customHeight="1">
      <c r="F166" s="13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</row>
    <row r="167" spans="6:34" ht="18.75" customHeight="1">
      <c r="F167" s="13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</row>
    <row r="168" spans="6:34" ht="18.75" customHeight="1">
      <c r="F168" s="13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</row>
    <row r="169" spans="6:34" ht="18.75" customHeight="1">
      <c r="F169" s="13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</row>
    <row r="170" spans="6:34" ht="18.75" customHeight="1">
      <c r="F170" s="13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</row>
    <row r="171" spans="6:34" ht="18.75" customHeight="1">
      <c r="F171" s="13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</row>
    <row r="172" spans="6:34" ht="18.75" customHeight="1">
      <c r="F172" s="13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</row>
    <row r="173" spans="6:34" ht="18.75" customHeight="1">
      <c r="F173" s="13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</row>
    <row r="174" spans="6:34" ht="18.75" customHeight="1">
      <c r="F174" s="13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</row>
    <row r="175" spans="6:34" ht="18.75" customHeight="1">
      <c r="F175" s="13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</row>
    <row r="176" spans="6:34" ht="18.75" customHeight="1">
      <c r="F176" s="13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</row>
    <row r="177" spans="6:34" ht="18.75" customHeight="1">
      <c r="F177" s="13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</row>
    <row r="178" spans="6:34" ht="18.75" customHeight="1">
      <c r="F178" s="13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</row>
    <row r="179" spans="6:34" ht="18.75" customHeight="1">
      <c r="F179" s="13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</row>
    <row r="180" spans="6:34" ht="18.75" customHeight="1">
      <c r="F180" s="13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</row>
    <row r="181" spans="6:34" ht="18.75" customHeight="1">
      <c r="F181" s="13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</row>
    <row r="182" spans="6:34" ht="18.75" customHeight="1">
      <c r="F182" s="13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</row>
    <row r="183" spans="6:34" ht="18.75" customHeight="1">
      <c r="F183" s="13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</row>
    <row r="184" spans="6:34" ht="18.75" customHeight="1">
      <c r="F184" s="13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</row>
    <row r="185" spans="6:34" ht="18.75" customHeight="1">
      <c r="F185" s="13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</row>
    <row r="186" spans="6:34" ht="18.75" customHeight="1">
      <c r="F186" s="13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</row>
    <row r="187" spans="6:34" ht="18.75" customHeight="1">
      <c r="F187" s="13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</row>
    <row r="188" spans="6:34" ht="18.75" customHeight="1">
      <c r="F188" s="13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</row>
    <row r="189" spans="6:34" ht="18.75" customHeight="1">
      <c r="F189" s="13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</row>
    <row r="190" spans="6:34" ht="18.75" customHeight="1">
      <c r="F190" s="13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</row>
    <row r="191" spans="6:34" ht="18.75" customHeight="1">
      <c r="F191" s="13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</row>
    <row r="192" spans="6:34" ht="18.75" customHeight="1">
      <c r="F192" s="13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</row>
    <row r="193" spans="6:34" ht="18.75" customHeight="1">
      <c r="F193" s="13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</row>
    <row r="194" spans="6:34" ht="18.75" customHeight="1">
      <c r="F194" s="13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</row>
    <row r="195" spans="6:34" ht="18.75" customHeight="1">
      <c r="F195" s="13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</row>
    <row r="196" spans="6:34" ht="18.75" customHeight="1">
      <c r="F196" s="13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</row>
    <row r="197" spans="6:34" ht="18.75" customHeight="1">
      <c r="F197" s="13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</row>
    <row r="198" spans="6:34" ht="18.75" customHeight="1">
      <c r="F198" s="13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</row>
    <row r="199" spans="6:34" ht="18.75" customHeight="1">
      <c r="F199" s="13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</row>
    <row r="200" spans="6:34" ht="18.75" customHeight="1">
      <c r="F200" s="13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</row>
    <row r="201" spans="6:34" ht="18.75" customHeight="1">
      <c r="F201" s="13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</row>
    <row r="202" spans="6:34" ht="18.75" customHeight="1">
      <c r="F202" s="13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</row>
    <row r="203" spans="6:34" ht="18.75" customHeight="1">
      <c r="F203" s="13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</row>
    <row r="204" spans="6:34" ht="18.75" customHeight="1">
      <c r="F204" s="13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</row>
    <row r="205" spans="6:34" ht="18.75" customHeight="1">
      <c r="F205" s="13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</row>
    <row r="206" spans="6:34" ht="18.75" customHeight="1">
      <c r="F206" s="13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</row>
    <row r="207" spans="6:34" ht="18.75" customHeight="1">
      <c r="F207" s="13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</row>
    <row r="208" spans="6:34" ht="18.75" customHeight="1">
      <c r="F208" s="13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</row>
    <row r="209" spans="6:34" ht="18.75" customHeight="1">
      <c r="F209" s="13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</row>
    <row r="210" spans="6:34" ht="18.75" customHeight="1">
      <c r="F210" s="13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</row>
    <row r="211" spans="6:34" ht="18.75" customHeight="1">
      <c r="F211" s="13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</row>
    <row r="212" spans="6:34" ht="18.75" customHeight="1">
      <c r="F212" s="13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</row>
    <row r="213" spans="6:34" ht="18.75" customHeight="1">
      <c r="F213" s="13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</row>
    <row r="214" spans="6:34" ht="18.75" customHeight="1">
      <c r="F214" s="13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</row>
    <row r="215" spans="6:34" ht="18.75" customHeight="1">
      <c r="F215" s="13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</row>
    <row r="216" spans="6:34" ht="18.75" customHeight="1">
      <c r="F216" s="13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</row>
    <row r="217" spans="6:34" ht="18.75" customHeight="1">
      <c r="F217" s="13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</row>
    <row r="218" spans="6:34" ht="18.75" customHeight="1">
      <c r="F218" s="13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</row>
    <row r="219" spans="6:34" ht="18.75" customHeight="1">
      <c r="F219" s="13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</row>
    <row r="220" spans="6:34" ht="18.75" customHeight="1">
      <c r="F220" s="13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</row>
    <row r="221" spans="6:34" ht="18.75" customHeight="1">
      <c r="F221" s="13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</row>
    <row r="222" spans="6:34" ht="18.75" customHeight="1">
      <c r="F222" s="13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</row>
    <row r="223" spans="6:34" ht="18.75" customHeight="1">
      <c r="F223" s="13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</row>
    <row r="224" spans="6:34" ht="18.75" customHeight="1">
      <c r="F224" s="13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</row>
    <row r="225" spans="6:34" ht="18.75" customHeight="1">
      <c r="F225" s="13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</row>
    <row r="226" spans="6:34" ht="18.75" customHeight="1">
      <c r="F226" s="13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</row>
    <row r="227" spans="6:34" ht="18.75" customHeight="1">
      <c r="F227" s="13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</row>
    <row r="228" spans="6:34" ht="18.75" customHeight="1">
      <c r="F228" s="13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</row>
    <row r="229" spans="6:34" ht="18.75" customHeight="1">
      <c r="F229" s="13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</row>
    <row r="230" spans="6:34" ht="18.75" customHeight="1">
      <c r="F230" s="13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</row>
    <row r="231" spans="6:34" ht="18.75" customHeight="1">
      <c r="F231" s="13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</row>
    <row r="232" spans="6:34" ht="18.75" customHeight="1">
      <c r="F232" s="13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</row>
    <row r="233" spans="6:34" ht="18.75" customHeight="1">
      <c r="F233" s="13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</row>
    <row r="234" spans="6:34" ht="18.75" customHeight="1">
      <c r="F234" s="13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</row>
    <row r="235" spans="6:34" ht="18.75" customHeight="1">
      <c r="F235" s="13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</row>
    <row r="236" spans="6:34" ht="18.75" customHeight="1">
      <c r="F236" s="13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</row>
    <row r="237" spans="6:34" ht="18.75" customHeight="1">
      <c r="F237" s="13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</row>
    <row r="238" spans="6:34" ht="18.75" customHeight="1">
      <c r="F238" s="13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</row>
    <row r="239" spans="6:34" ht="18.75" customHeight="1">
      <c r="F239" s="13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</row>
    <row r="240" spans="6:34" ht="18.75" customHeight="1">
      <c r="F240" s="13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</row>
    <row r="241" spans="6:34" ht="18.75" customHeight="1">
      <c r="F241" s="13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</row>
    <row r="242" spans="6:34" ht="18.75" customHeight="1">
      <c r="F242" s="13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</row>
    <row r="243" spans="6:34" ht="18.75" customHeight="1">
      <c r="F243" s="13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</row>
    <row r="244" spans="6:34" ht="18.75" customHeight="1">
      <c r="F244" s="13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</row>
    <row r="245" spans="6:34" ht="18.75" customHeight="1">
      <c r="F245" s="13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</row>
    <row r="246" spans="6:34" ht="18.75" customHeight="1">
      <c r="F246" s="13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</row>
    <row r="247" spans="6:34" ht="18.75" customHeight="1">
      <c r="F247" s="13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</row>
    <row r="248" spans="6:34" ht="18.75" customHeight="1">
      <c r="F248" s="13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</row>
    <row r="249" spans="6:34" ht="18.75" customHeight="1">
      <c r="F249" s="13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</row>
    <row r="250" spans="6:34" ht="18.75" customHeight="1">
      <c r="F250" s="13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</row>
    <row r="251" spans="6:34" ht="18.75" customHeight="1">
      <c r="F251" s="13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</row>
    <row r="252" spans="6:34" ht="18.75" customHeight="1">
      <c r="F252" s="13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</row>
    <row r="253" spans="6:34" ht="18.75" customHeight="1">
      <c r="F253" s="13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</row>
    <row r="254" spans="6:34" ht="18.75" customHeight="1">
      <c r="F254" s="13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</row>
    <row r="255" spans="6:34" ht="18.75" customHeight="1">
      <c r="F255" s="13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</row>
    <row r="256" spans="6:34" ht="18.75" customHeight="1">
      <c r="F256" s="13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</row>
    <row r="257" spans="6:34" ht="18.75" customHeight="1">
      <c r="F257" s="13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</row>
    <row r="258" spans="6:34" ht="18.75" customHeight="1">
      <c r="F258" s="13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</row>
    <row r="259" spans="6:34" ht="18.75" customHeight="1">
      <c r="F259" s="13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</row>
    <row r="260" spans="6:34" ht="18.75" customHeight="1">
      <c r="F260" s="13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</row>
    <row r="261" spans="6:34" ht="18.75" customHeight="1">
      <c r="F261" s="13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</row>
    <row r="262" spans="6:34" ht="18.75" customHeight="1">
      <c r="F262" s="13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</row>
    <row r="263" spans="6:34" ht="18.75" customHeight="1">
      <c r="F263" s="13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</row>
    <row r="264" spans="6:34" ht="18.75" customHeight="1">
      <c r="F264" s="13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</row>
    <row r="265" spans="6:34" ht="18.75" customHeight="1">
      <c r="F265" s="13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</row>
    <row r="266" spans="6:34" ht="18.75" customHeight="1">
      <c r="F266" s="13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</row>
    <row r="267" spans="6:34" ht="18.75" customHeight="1">
      <c r="F267" s="13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</row>
    <row r="268" spans="6:34" ht="18.75" customHeight="1">
      <c r="F268" s="13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</row>
    <row r="269" spans="6:34" ht="18.75" customHeight="1">
      <c r="F269" s="13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</row>
    <row r="270" spans="6:34" ht="18.75" customHeight="1">
      <c r="F270" s="13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</row>
    <row r="271" spans="6:34" ht="18.75" customHeight="1">
      <c r="F271" s="13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</row>
    <row r="272" spans="6:34" ht="18.75" customHeight="1">
      <c r="F272" s="13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</row>
    <row r="273" spans="6:34" ht="18.75" customHeight="1">
      <c r="F273" s="13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</row>
    <row r="274" spans="6:34" ht="18.75" customHeight="1">
      <c r="F274" s="13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</row>
    <row r="275" spans="6:34" ht="18.75" customHeight="1">
      <c r="F275" s="13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</row>
    <row r="276" spans="6:34" ht="18.75" customHeight="1">
      <c r="F276" s="13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</row>
    <row r="277" spans="6:34" ht="18.75" customHeight="1">
      <c r="F277" s="13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</row>
    <row r="278" spans="6:34" ht="18.75" customHeight="1">
      <c r="F278" s="13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</row>
    <row r="279" spans="6:34" ht="18.75" customHeight="1">
      <c r="F279" s="13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</row>
    <row r="280" spans="6:34" ht="18.75" customHeight="1">
      <c r="F280" s="13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</row>
    <row r="281" spans="6:34" ht="18.75" customHeight="1">
      <c r="F281" s="13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</row>
    <row r="282" spans="6:34" ht="18.75" customHeight="1">
      <c r="F282" s="13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</row>
    <row r="283" spans="6:34" ht="18.75" customHeight="1">
      <c r="F283" s="13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</row>
    <row r="284" spans="6:34" ht="18.75" customHeight="1">
      <c r="F284" s="13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</row>
    <row r="285" spans="6:34" ht="18.75" customHeight="1">
      <c r="F285" s="13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</row>
    <row r="286" spans="6:34" ht="18.75" customHeight="1">
      <c r="F286" s="13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</row>
    <row r="287" spans="6:34" ht="18.75" customHeight="1">
      <c r="F287" s="13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</row>
    <row r="288" spans="6:34" ht="18.75" customHeight="1">
      <c r="F288" s="13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</row>
    <row r="289" spans="6:34" ht="18.75" customHeight="1">
      <c r="F289" s="13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</row>
    <row r="290" spans="6:34" ht="18.75" customHeight="1">
      <c r="F290" s="13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</row>
    <row r="291" spans="6:34" ht="18.75" customHeight="1">
      <c r="F291" s="13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</row>
    <row r="292" spans="6:34" ht="18.75" customHeight="1">
      <c r="F292" s="13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</row>
    <row r="293" spans="6:34" ht="18.75" customHeight="1">
      <c r="F293" s="13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</row>
    <row r="294" spans="6:34" ht="18.75" customHeight="1">
      <c r="F294" s="13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</row>
    <row r="295" spans="6:34" ht="18.75" customHeight="1">
      <c r="F295" s="13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</row>
    <row r="296" spans="6:34" ht="18.75" customHeight="1">
      <c r="F296" s="13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</row>
    <row r="297" spans="6:34" ht="18.75" customHeight="1">
      <c r="F297" s="13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</row>
    <row r="298" spans="6:34" ht="18.75" customHeight="1">
      <c r="F298" s="13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</row>
    <row r="299" spans="6:34" ht="18.75" customHeight="1">
      <c r="F299" s="13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</row>
    <row r="300" spans="6:34" ht="18.75" customHeight="1">
      <c r="F300" s="13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</row>
    <row r="301" spans="6:34" ht="18.75" customHeight="1">
      <c r="F301" s="13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</row>
    <row r="302" spans="6:34" ht="18.75" customHeight="1">
      <c r="F302" s="13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</row>
    <row r="303" spans="6:34" ht="18.75" customHeight="1">
      <c r="F303" s="13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</row>
    <row r="304" spans="6:34" ht="18.75" customHeight="1">
      <c r="F304" s="13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</row>
    <row r="305" spans="6:34" ht="18.75" customHeight="1">
      <c r="F305" s="13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</row>
    <row r="306" spans="6:34" ht="18.75" customHeight="1">
      <c r="F306" s="13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</row>
    <row r="307" spans="6:34" ht="18.75" customHeight="1">
      <c r="F307" s="13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</row>
    <row r="308" spans="6:34" ht="18.75" customHeight="1">
      <c r="F308" s="13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</row>
    <row r="309" spans="6:34" ht="18.75" customHeight="1">
      <c r="F309" s="13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</row>
    <row r="310" spans="6:34" ht="18.75" customHeight="1">
      <c r="F310" s="13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</row>
    <row r="311" spans="6:34" ht="18.75" customHeight="1">
      <c r="F311" s="13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</row>
    <row r="312" spans="6:34" ht="18.75" customHeight="1">
      <c r="F312" s="13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</row>
    <row r="313" spans="6:34" ht="18.75" customHeight="1">
      <c r="F313" s="13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</row>
    <row r="314" spans="6:34" ht="18.75" customHeight="1">
      <c r="F314" s="13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</row>
    <row r="315" spans="6:34" ht="18.75" customHeight="1">
      <c r="F315" s="13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</row>
    <row r="316" spans="6:34" ht="18.75" customHeight="1">
      <c r="F316" s="13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</row>
    <row r="317" spans="6:34" ht="18.75" customHeight="1">
      <c r="F317" s="13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</row>
    <row r="318" spans="6:34" ht="18.75" customHeight="1">
      <c r="F318" s="13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</row>
    <row r="319" spans="6:34" ht="18.75" customHeight="1">
      <c r="F319" s="13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</row>
    <row r="320" spans="6:34" ht="18.75" customHeight="1">
      <c r="F320" s="13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</row>
    <row r="321" spans="6:34" ht="18.75" customHeight="1">
      <c r="F321" s="13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</row>
    <row r="322" spans="6:34" ht="18.75" customHeight="1">
      <c r="F322" s="13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</row>
    <row r="323" spans="6:34" ht="18.75" customHeight="1">
      <c r="F323" s="13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</row>
    <row r="324" spans="6:34" ht="18.75" customHeight="1">
      <c r="F324" s="13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</row>
    <row r="325" spans="6:34" ht="18.75" customHeight="1">
      <c r="F325" s="13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</row>
    <row r="326" spans="6:34" ht="18.75" customHeight="1">
      <c r="F326" s="13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</row>
    <row r="327" spans="6:34" ht="18.75" customHeight="1">
      <c r="F327" s="13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</row>
    <row r="328" spans="6:34" ht="18.75" customHeight="1">
      <c r="F328" s="13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</row>
    <row r="329" spans="6:34" ht="18.75" customHeight="1">
      <c r="F329" s="13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</row>
    <row r="330" spans="6:34" ht="18.75" customHeight="1">
      <c r="F330" s="13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</row>
    <row r="331" spans="6:34" ht="18.75" customHeight="1">
      <c r="F331" s="13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</row>
    <row r="332" spans="6:34" ht="18.75" customHeight="1">
      <c r="F332" s="13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</row>
    <row r="333" spans="6:34" ht="18.75" customHeight="1">
      <c r="F333" s="13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</row>
    <row r="334" spans="6:34" ht="18.75" customHeight="1">
      <c r="F334" s="13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</row>
    <row r="335" spans="6:34" ht="18.75" customHeight="1">
      <c r="F335" s="13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</row>
    <row r="336" spans="6:34" ht="18.75" customHeight="1">
      <c r="F336" s="13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</row>
    <row r="337" spans="6:34" ht="18.75" customHeight="1">
      <c r="F337" s="13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</row>
    <row r="338" spans="6:34" ht="18.75" customHeight="1">
      <c r="F338" s="13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</row>
    <row r="339" spans="6:34" ht="18.75" customHeight="1">
      <c r="F339" s="13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</row>
    <row r="340" spans="6:34" ht="18.75" customHeight="1">
      <c r="F340" s="13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</row>
    <row r="341" spans="6:34" ht="18.75" customHeight="1">
      <c r="F341" s="13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</row>
    <row r="342" spans="6:34" ht="18.75" customHeight="1">
      <c r="F342" s="13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</row>
    <row r="343" spans="6:34" ht="18.75" customHeight="1">
      <c r="F343" s="13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</row>
    <row r="344" spans="6:34" ht="18.75" customHeight="1">
      <c r="F344" s="13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</row>
    <row r="345" spans="6:34" ht="18.75" customHeight="1">
      <c r="F345" s="13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</row>
    <row r="346" spans="6:34" ht="18.75" customHeight="1">
      <c r="F346" s="13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</row>
    <row r="347" spans="6:34" ht="18.75" customHeight="1">
      <c r="F347" s="13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</row>
    <row r="348" spans="6:34" ht="18.75" customHeight="1">
      <c r="F348" s="13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</row>
    <row r="349" spans="6:34" ht="18.75" customHeight="1">
      <c r="F349" s="13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</row>
    <row r="350" spans="6:34" ht="18.75" customHeight="1">
      <c r="F350" s="13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</row>
    <row r="351" spans="6:34" ht="18.75" customHeight="1">
      <c r="F351" s="13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</row>
    <row r="352" spans="6:34" ht="18.75" customHeight="1">
      <c r="F352" s="13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</row>
    <row r="353" spans="6:34" ht="18.75" customHeight="1">
      <c r="F353" s="13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</row>
    <row r="354" spans="6:34" ht="18.75" customHeight="1">
      <c r="F354" s="13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</row>
    <row r="355" spans="6:34" ht="18.75" customHeight="1">
      <c r="F355" s="13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</row>
    <row r="356" spans="6:34" ht="18.75" customHeight="1">
      <c r="F356" s="13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</row>
    <row r="357" spans="6:34" ht="18.75" customHeight="1">
      <c r="F357" s="13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</row>
    <row r="358" spans="6:34" ht="18.75" customHeight="1">
      <c r="F358" s="13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</row>
    <row r="359" spans="6:34" ht="18.75" customHeight="1">
      <c r="F359" s="13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</row>
    <row r="360" spans="6:34" ht="18.75" customHeight="1">
      <c r="F360" s="13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</row>
    <row r="361" spans="6:34" ht="18.75" customHeight="1">
      <c r="F361" s="13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</row>
    <row r="362" spans="6:34" ht="18.75" customHeight="1">
      <c r="F362" s="13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</row>
    <row r="363" spans="6:34" ht="18.75" customHeight="1">
      <c r="F363" s="13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</row>
    <row r="364" spans="6:34" ht="18.75" customHeight="1">
      <c r="F364" s="13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</row>
    <row r="365" spans="6:34" ht="18.75" customHeight="1">
      <c r="F365" s="13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</row>
    <row r="366" spans="6:34" ht="18.75" customHeight="1">
      <c r="F366" s="13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</row>
    <row r="367" spans="6:34" ht="18.75" customHeight="1">
      <c r="F367" s="13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</row>
    <row r="368" spans="6:34" ht="18.75" customHeight="1">
      <c r="F368" s="13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</row>
    <row r="369" spans="6:34" ht="18.75" customHeight="1">
      <c r="F369" s="13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</row>
    <row r="370" spans="6:34" ht="18.75" customHeight="1">
      <c r="F370" s="13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</row>
    <row r="371" spans="6:34" ht="18.75" customHeight="1">
      <c r="F371" s="13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</row>
    <row r="372" spans="6:34" ht="18.75" customHeight="1">
      <c r="F372" s="13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</row>
    <row r="373" spans="6:34" ht="18.75" customHeight="1">
      <c r="F373" s="13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</row>
    <row r="374" spans="6:34" ht="18.75" customHeight="1">
      <c r="F374" s="13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</row>
    <row r="375" spans="6:34" ht="18.75" customHeight="1">
      <c r="F375" s="13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</row>
    <row r="376" spans="6:34" ht="18.75" customHeight="1">
      <c r="F376" s="13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</row>
    <row r="377" spans="6:34" ht="18.75" customHeight="1">
      <c r="F377" s="13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</row>
    <row r="378" spans="6:34" ht="18.75" customHeight="1">
      <c r="F378" s="13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</row>
    <row r="379" spans="6:34" ht="18.75" customHeight="1">
      <c r="F379" s="13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</row>
    <row r="380" spans="6:34" ht="18.75" customHeight="1">
      <c r="F380" s="13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</row>
    <row r="381" spans="6:34" ht="18.75" customHeight="1">
      <c r="F381" s="13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</row>
    <row r="382" spans="6:34" ht="18.75" customHeight="1">
      <c r="F382" s="13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</row>
    <row r="383" spans="6:34" ht="18.75" customHeight="1">
      <c r="F383" s="13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</row>
    <row r="384" spans="6:34" ht="18.75" customHeight="1">
      <c r="F384" s="13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</row>
    <row r="385" spans="6:34" ht="18.75" customHeight="1">
      <c r="F385" s="13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</row>
    <row r="386" spans="6:34" ht="18.75" customHeight="1">
      <c r="F386" s="13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</row>
    <row r="387" spans="6:34" ht="18.75" customHeight="1">
      <c r="F387" s="13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</row>
    <row r="388" spans="6:34" ht="18.75" customHeight="1">
      <c r="F388" s="13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</row>
    <row r="389" spans="6:34" ht="18.75" customHeight="1">
      <c r="F389" s="13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</row>
    <row r="390" spans="6:34" ht="18.75" customHeight="1">
      <c r="F390" s="13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</row>
    <row r="391" spans="6:34" ht="18.75" customHeight="1">
      <c r="F391" s="13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</row>
    <row r="392" spans="6:34" ht="18.75" customHeight="1">
      <c r="F392" s="13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</row>
    <row r="393" spans="6:34" ht="18.75" customHeight="1">
      <c r="F393" s="13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</row>
    <row r="394" spans="6:34" ht="18.75" customHeight="1">
      <c r="F394" s="13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</row>
    <row r="395" spans="6:34" ht="18.75" customHeight="1">
      <c r="F395" s="13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</row>
    <row r="396" spans="6:34" ht="18.75" customHeight="1">
      <c r="F396" s="13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</row>
    <row r="397" spans="6:34" ht="18.75" customHeight="1">
      <c r="F397" s="13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</row>
    <row r="398" spans="6:34" ht="18.75" customHeight="1">
      <c r="F398" s="13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</row>
    <row r="399" spans="6:34" ht="18.75" customHeight="1">
      <c r="F399" s="13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</row>
    <row r="400" spans="6:34" ht="18.75" customHeight="1">
      <c r="F400" s="13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</row>
    <row r="401" spans="6:34" ht="18.75" customHeight="1">
      <c r="F401" s="13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</row>
    <row r="402" spans="6:34" ht="18.75" customHeight="1">
      <c r="F402" s="13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</row>
    <row r="403" spans="6:34" ht="18.75" customHeight="1">
      <c r="F403" s="13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</row>
    <row r="404" spans="6:34" ht="18.75" customHeight="1">
      <c r="F404" s="13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</row>
    <row r="405" spans="6:34" ht="18.75" customHeight="1">
      <c r="F405" s="13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</row>
    <row r="406" spans="6:34" ht="18.75" customHeight="1">
      <c r="F406" s="13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</row>
    <row r="407" spans="6:34" ht="18.75" customHeight="1">
      <c r="F407" s="13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</row>
    <row r="408" spans="6:34" ht="18.75" customHeight="1">
      <c r="F408" s="13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</row>
    <row r="409" spans="6:34" ht="18.75" customHeight="1">
      <c r="F409" s="13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</row>
    <row r="410" spans="6:34" ht="18.75" customHeight="1">
      <c r="F410" s="13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</row>
    <row r="411" spans="6:34" ht="18.75" customHeight="1">
      <c r="F411" s="13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</row>
    <row r="412" spans="6:34" ht="18.75" customHeight="1">
      <c r="F412" s="13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</row>
    <row r="413" spans="6:34" ht="18.75" customHeight="1">
      <c r="F413" s="13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</row>
    <row r="414" spans="6:34" ht="18.75" customHeight="1">
      <c r="F414" s="13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</row>
    <row r="415" spans="6:34" ht="18.75" customHeight="1">
      <c r="F415" s="13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</row>
    <row r="416" spans="6:34" ht="18.75" customHeight="1">
      <c r="F416" s="13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</row>
    <row r="417" spans="6:34" ht="18.75" customHeight="1">
      <c r="F417" s="13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</row>
    <row r="418" spans="6:34" ht="18.75" customHeight="1">
      <c r="F418" s="13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</row>
    <row r="419" spans="6:34" ht="18.75" customHeight="1">
      <c r="F419" s="13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</row>
    <row r="420" spans="6:34" ht="18.75" customHeight="1">
      <c r="F420" s="13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</row>
    <row r="421" spans="6:34" ht="18.75" customHeight="1">
      <c r="F421" s="13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</row>
    <row r="422" spans="6:34" ht="18.75" customHeight="1">
      <c r="F422" s="13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</row>
    <row r="423" spans="6:34" ht="18.75" customHeight="1">
      <c r="F423" s="13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</row>
    <row r="424" spans="6:34" ht="18.75" customHeight="1">
      <c r="F424" s="13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</row>
    <row r="425" spans="6:34" ht="18.75" customHeight="1">
      <c r="F425" s="13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</row>
    <row r="426" spans="6:34" ht="18.75" customHeight="1">
      <c r="F426" s="13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</row>
    <row r="427" spans="6:34" ht="18.75" customHeight="1">
      <c r="F427" s="13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</row>
    <row r="428" spans="6:34" ht="18.75" customHeight="1">
      <c r="F428" s="13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</row>
    <row r="429" spans="6:34" ht="18.75" customHeight="1">
      <c r="F429" s="13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</row>
    <row r="430" spans="6:34" ht="18.75" customHeight="1">
      <c r="F430" s="13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</row>
    <row r="431" spans="6:34" ht="18.75" customHeight="1">
      <c r="F431" s="13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</row>
    <row r="432" spans="6:34" ht="18.75" customHeight="1">
      <c r="F432" s="13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</row>
    <row r="433" spans="6:34" ht="18.75" customHeight="1">
      <c r="F433" s="13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</row>
    <row r="434" spans="6:34" ht="18.75" customHeight="1">
      <c r="F434" s="13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</row>
    <row r="435" spans="6:34" ht="18.75" customHeight="1">
      <c r="F435" s="13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</row>
    <row r="436" spans="6:34" ht="18.75" customHeight="1">
      <c r="F436" s="13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</row>
    <row r="437" spans="6:34" ht="18.75" customHeight="1">
      <c r="F437" s="13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</row>
    <row r="438" spans="6:34" ht="18.75" customHeight="1">
      <c r="F438" s="13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</row>
    <row r="439" spans="6:34" ht="18.75" customHeight="1">
      <c r="F439" s="13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</row>
    <row r="440" spans="6:34" ht="18.75" customHeight="1">
      <c r="F440" s="13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</row>
    <row r="441" spans="6:34" ht="18.75" customHeight="1">
      <c r="F441" s="13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</row>
    <row r="442" spans="6:34" ht="18.75" customHeight="1">
      <c r="F442" s="13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</row>
    <row r="443" spans="6:34" ht="18.75" customHeight="1">
      <c r="F443" s="13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</row>
    <row r="444" spans="6:34" ht="18.75" customHeight="1">
      <c r="F444" s="13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</row>
    <row r="445" spans="6:34" ht="18.75" customHeight="1">
      <c r="F445" s="13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</row>
    <row r="446" spans="6:34" ht="18.75" customHeight="1">
      <c r="F446" s="13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</row>
    <row r="447" spans="6:34" ht="18.75" customHeight="1">
      <c r="F447" s="13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</row>
    <row r="448" spans="6:34" ht="18.75" customHeight="1">
      <c r="F448" s="13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</row>
    <row r="449" spans="6:34" ht="18.75" customHeight="1">
      <c r="F449" s="13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</row>
    <row r="450" spans="6:34" ht="18.75" customHeight="1">
      <c r="F450" s="13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</row>
    <row r="451" spans="6:34" ht="18.75" customHeight="1">
      <c r="F451" s="13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</row>
    <row r="452" spans="6:34" ht="18.75" customHeight="1">
      <c r="F452" s="13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</row>
    <row r="453" spans="6:34" ht="18.75" customHeight="1">
      <c r="F453" s="13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</row>
    <row r="454" spans="6:34" ht="18.75" customHeight="1">
      <c r="F454" s="13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</row>
    <row r="455" spans="6:34" ht="18.75" customHeight="1">
      <c r="F455" s="13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</row>
    <row r="456" spans="6:34" ht="18.75" customHeight="1">
      <c r="F456" s="13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</row>
    <row r="457" spans="6:34" ht="18.75" customHeight="1">
      <c r="F457" s="13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</row>
    <row r="458" spans="6:34" ht="18.75" customHeight="1">
      <c r="F458" s="13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</row>
    <row r="459" spans="6:34" ht="18.75" customHeight="1">
      <c r="F459" s="13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</row>
    <row r="460" spans="6:34" ht="18.75" customHeight="1">
      <c r="F460" s="13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</row>
    <row r="461" spans="6:34" ht="18.75" customHeight="1">
      <c r="F461" s="13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</row>
    <row r="462" spans="6:34" ht="18.75" customHeight="1">
      <c r="F462" s="13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</row>
    <row r="463" spans="6:34" ht="18.75" customHeight="1">
      <c r="F463" s="13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</row>
    <row r="464" spans="6:34" ht="18.75" customHeight="1">
      <c r="F464" s="13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</row>
    <row r="465" spans="6:34" ht="18.75" customHeight="1">
      <c r="F465" s="13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</row>
    <row r="466" spans="6:34" ht="18.75" customHeight="1">
      <c r="F466" s="13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</row>
    <row r="467" spans="6:34" ht="18.75" customHeight="1">
      <c r="F467" s="13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</row>
    <row r="468" spans="6:34" ht="18.75" customHeight="1">
      <c r="F468" s="13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</row>
    <row r="469" spans="6:34" ht="18.75" customHeight="1">
      <c r="F469" s="13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</row>
    <row r="470" spans="6:34" ht="18.75" customHeight="1">
      <c r="F470" s="13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</row>
    <row r="471" spans="6:34" ht="18.75" customHeight="1">
      <c r="F471" s="13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</row>
    <row r="472" spans="6:34" ht="18.75" customHeight="1">
      <c r="F472" s="13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</row>
    <row r="473" spans="6:34" ht="18.75" customHeight="1">
      <c r="F473" s="13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</row>
    <row r="474" spans="6:34" ht="18.75" customHeight="1">
      <c r="F474" s="13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</row>
    <row r="475" spans="6:34" ht="18.75" customHeight="1">
      <c r="F475" s="13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</row>
    <row r="476" spans="6:34" ht="18.75" customHeight="1">
      <c r="F476" s="13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</row>
    <row r="477" spans="6:34" ht="18.75" customHeight="1">
      <c r="F477" s="13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</row>
    <row r="478" spans="6:34" ht="18.75" customHeight="1">
      <c r="F478" s="13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</row>
    <row r="479" spans="6:34" ht="18.75" customHeight="1">
      <c r="F479" s="13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</row>
    <row r="480" spans="6:34" ht="18.75" customHeight="1">
      <c r="F480" s="13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</row>
    <row r="481" spans="6:34" ht="18.75" customHeight="1">
      <c r="F481" s="13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</row>
    <row r="482" spans="6:34" ht="18.75" customHeight="1">
      <c r="F482" s="13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</row>
    <row r="483" spans="6:34" ht="18.75" customHeight="1">
      <c r="F483" s="13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</row>
    <row r="484" spans="6:34" ht="18.75" customHeight="1">
      <c r="F484" s="13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</row>
    <row r="485" spans="6:34" ht="18.75" customHeight="1">
      <c r="F485" s="13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</row>
    <row r="486" spans="6:34" ht="18.75" customHeight="1">
      <c r="F486" s="13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</row>
    <row r="487" spans="6:34" ht="18.75" customHeight="1">
      <c r="F487" s="13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</row>
    <row r="488" spans="6:34" ht="18.75" customHeight="1">
      <c r="F488" s="13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</row>
    <row r="489" spans="6:34" ht="18.75" customHeight="1">
      <c r="F489" s="13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</row>
    <row r="490" spans="6:34" ht="18.75" customHeight="1">
      <c r="F490" s="13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</row>
    <row r="491" spans="6:34" ht="18.75" customHeight="1">
      <c r="F491" s="13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</row>
    <row r="492" spans="6:34" ht="18.75" customHeight="1">
      <c r="F492" s="13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</row>
    <row r="493" spans="6:34" ht="18.75" customHeight="1">
      <c r="F493" s="13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</row>
    <row r="494" spans="6:34" ht="18.75" customHeight="1">
      <c r="F494" s="13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</row>
    <row r="495" spans="6:34" ht="18.75" customHeight="1">
      <c r="F495" s="13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</row>
    <row r="496" spans="6:34" ht="18.75" customHeight="1">
      <c r="F496" s="13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</row>
    <row r="497" spans="6:34" ht="18.75" customHeight="1">
      <c r="F497" s="13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</row>
    <row r="498" spans="6:34" ht="18.75" customHeight="1">
      <c r="F498" s="13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</row>
    <row r="499" spans="6:34" ht="18.75" customHeight="1">
      <c r="F499" s="13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</row>
    <row r="500" spans="6:34" ht="18.75" customHeight="1">
      <c r="F500" s="13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</row>
    <row r="501" spans="6:34" ht="18.75" customHeight="1">
      <c r="F501" s="13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</row>
    <row r="502" spans="6:34" ht="18.75" customHeight="1">
      <c r="F502" s="13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</row>
    <row r="503" spans="6:34" ht="18.75" customHeight="1">
      <c r="F503" s="13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</row>
    <row r="504" spans="6:34" ht="18.75" customHeight="1">
      <c r="F504" s="13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</row>
    <row r="505" spans="6:34" ht="18.75" customHeight="1">
      <c r="F505" s="13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</row>
    <row r="506" spans="6:34" ht="18.75" customHeight="1">
      <c r="F506" s="13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</row>
    <row r="507" spans="6:34" ht="18.75" customHeight="1">
      <c r="F507" s="13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</row>
    <row r="508" spans="6:34" ht="18.75" customHeight="1">
      <c r="F508" s="13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</row>
    <row r="509" spans="6:34" ht="18.75" customHeight="1">
      <c r="F509" s="13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</row>
    <row r="510" spans="6:34" ht="18.75" customHeight="1">
      <c r="F510" s="13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</row>
    <row r="511" spans="6:34" ht="18.75" customHeight="1">
      <c r="F511" s="13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</row>
    <row r="512" spans="6:34" ht="18.75" customHeight="1">
      <c r="F512" s="13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</row>
    <row r="513" spans="6:34" ht="18.75" customHeight="1">
      <c r="F513" s="13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</row>
    <row r="514" spans="6:34" ht="18.75" customHeight="1">
      <c r="F514" s="13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</row>
    <row r="515" spans="6:34" ht="18.75" customHeight="1">
      <c r="F515" s="13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</row>
    <row r="516" spans="6:34" ht="18.75" customHeight="1">
      <c r="F516" s="13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</row>
    <row r="517" spans="6:34" ht="18.75" customHeight="1">
      <c r="F517" s="13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</row>
    <row r="518" spans="6:34" ht="18.75" customHeight="1">
      <c r="F518" s="13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</row>
    <row r="519" spans="6:34" ht="18.75" customHeight="1">
      <c r="F519" s="13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</row>
    <row r="520" spans="6:34" ht="18.75" customHeight="1">
      <c r="F520" s="13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</row>
    <row r="521" spans="6:34" ht="18.75" customHeight="1">
      <c r="F521" s="13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</row>
    <row r="522" spans="6:34" ht="18.75" customHeight="1">
      <c r="F522" s="13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</row>
    <row r="523" spans="6:34" ht="18.75" customHeight="1">
      <c r="F523" s="13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</row>
    <row r="524" spans="6:34" ht="18.75" customHeight="1">
      <c r="F524" s="13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</row>
    <row r="525" spans="6:34" ht="18.75" customHeight="1">
      <c r="F525" s="13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</row>
    <row r="526" spans="6:34" ht="18.75" customHeight="1">
      <c r="F526" s="13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</row>
    <row r="527" spans="6:34" ht="18.75" customHeight="1">
      <c r="F527" s="13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</row>
    <row r="528" spans="6:34" ht="18.75" customHeight="1">
      <c r="F528" s="13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</row>
    <row r="529" spans="6:34" ht="18.75" customHeight="1">
      <c r="F529" s="13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</row>
    <row r="530" spans="6:34" ht="18.75" customHeight="1">
      <c r="F530" s="13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</row>
    <row r="531" spans="6:34" ht="18.75" customHeight="1">
      <c r="F531" s="13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</row>
    <row r="532" spans="6:34" ht="18.75" customHeight="1">
      <c r="F532" s="13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</row>
    <row r="533" spans="6:34" ht="18.75" customHeight="1">
      <c r="F533" s="13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</row>
    <row r="534" spans="6:34" ht="18.75" customHeight="1">
      <c r="F534" s="13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</row>
    <row r="535" spans="6:34" ht="18.75" customHeight="1">
      <c r="F535" s="13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</row>
    <row r="536" spans="6:34" ht="18.75" customHeight="1">
      <c r="F536" s="13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</row>
    <row r="537" spans="6:34" ht="18.75" customHeight="1">
      <c r="F537" s="13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</row>
    <row r="538" spans="6:34" ht="18.75" customHeight="1">
      <c r="F538" s="13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</row>
    <row r="539" spans="6:34" ht="18.75" customHeight="1">
      <c r="F539" s="13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</row>
    <row r="540" spans="6:34" ht="18.75" customHeight="1">
      <c r="F540" s="13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</row>
    <row r="541" spans="6:34" ht="18.75" customHeight="1">
      <c r="F541" s="13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</row>
    <row r="542" spans="6:34" ht="18.75" customHeight="1">
      <c r="F542" s="13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</row>
    <row r="543" spans="6:34" ht="18.75" customHeight="1">
      <c r="F543" s="13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</row>
    <row r="544" spans="6:34" ht="18.75" customHeight="1">
      <c r="F544" s="13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</row>
    <row r="545" spans="6:34" ht="18.75" customHeight="1">
      <c r="F545" s="13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</row>
    <row r="546" spans="6:34" ht="18.75" customHeight="1">
      <c r="F546" s="13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</row>
    <row r="547" spans="6:34" ht="18.75" customHeight="1">
      <c r="F547" s="13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</row>
    <row r="548" spans="6:34" ht="18.75" customHeight="1">
      <c r="F548" s="13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</row>
    <row r="549" spans="6:34" ht="18.75" customHeight="1">
      <c r="F549" s="13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</row>
    <row r="550" spans="6:34" ht="18.75" customHeight="1">
      <c r="F550" s="13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</row>
    <row r="551" spans="6:34" ht="18.75" customHeight="1">
      <c r="F551" s="13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</row>
    <row r="552" spans="6:34" ht="18.75" customHeight="1">
      <c r="F552" s="13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</row>
    <row r="553" spans="6:34" ht="18.75" customHeight="1">
      <c r="F553" s="13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</row>
    <row r="554" spans="6:34" ht="18.75" customHeight="1">
      <c r="F554" s="13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</row>
    <row r="555" spans="6:34" ht="18.75" customHeight="1">
      <c r="F555" s="13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</row>
    <row r="556" spans="6:34" ht="18.75" customHeight="1">
      <c r="F556" s="13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</row>
    <row r="557" spans="6:34" ht="18.75" customHeight="1">
      <c r="F557" s="13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</row>
    <row r="558" spans="6:34" ht="18.75" customHeight="1">
      <c r="F558" s="13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</row>
    <row r="559" spans="6:34" ht="18.75" customHeight="1">
      <c r="F559" s="13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</row>
    <row r="560" spans="6:34" ht="18.75" customHeight="1">
      <c r="F560" s="13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</row>
    <row r="561" spans="6:34" ht="18.75" customHeight="1">
      <c r="F561" s="13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</row>
    <row r="562" spans="6:34" ht="18.75" customHeight="1">
      <c r="F562" s="13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</row>
    <row r="563" spans="6:34" ht="18.75" customHeight="1">
      <c r="F563" s="13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</row>
    <row r="564" spans="6:34" ht="18.75" customHeight="1">
      <c r="F564" s="13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</row>
    <row r="565" spans="6:34" ht="18.75" customHeight="1">
      <c r="F565" s="13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</row>
    <row r="566" spans="6:34" ht="18.75" customHeight="1">
      <c r="F566" s="13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</row>
    <row r="567" spans="6:34" ht="18.75" customHeight="1">
      <c r="F567" s="13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</row>
    <row r="568" spans="6:34" ht="18.75" customHeight="1">
      <c r="F568" s="13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</row>
    <row r="569" spans="6:34" ht="18.75" customHeight="1">
      <c r="F569" s="13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</row>
    <row r="570" spans="6:34" ht="18.75" customHeight="1">
      <c r="F570" s="13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</row>
    <row r="571" spans="6:34" ht="18.75" customHeight="1">
      <c r="F571" s="13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</row>
    <row r="572" spans="6:34" ht="18.75" customHeight="1">
      <c r="F572" s="13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</row>
    <row r="573" spans="6:34" ht="18.75" customHeight="1">
      <c r="F573" s="13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</row>
    <row r="574" spans="6:34" ht="18.75" customHeight="1">
      <c r="F574" s="13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</row>
    <row r="575" spans="6:34" ht="18.75" customHeight="1">
      <c r="F575" s="13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</row>
    <row r="576" spans="6:34" ht="18.75" customHeight="1">
      <c r="F576" s="13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</row>
    <row r="577" spans="6:34" ht="18.75" customHeight="1">
      <c r="F577" s="13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</row>
    <row r="578" spans="6:34" ht="18.75" customHeight="1">
      <c r="F578" s="13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</row>
    <row r="579" spans="6:34" ht="18.75" customHeight="1">
      <c r="F579" s="13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</row>
    <row r="580" spans="6:34" ht="18.75" customHeight="1">
      <c r="F580" s="13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</row>
    <row r="581" spans="6:34" ht="18.75" customHeight="1">
      <c r="F581" s="13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</row>
    <row r="582" spans="6:34" ht="18.75" customHeight="1">
      <c r="F582" s="13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</row>
    <row r="583" spans="6:34" ht="18.75" customHeight="1">
      <c r="F583" s="13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</row>
    <row r="584" spans="6:34" ht="18.75" customHeight="1">
      <c r="F584" s="13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</row>
    <row r="585" spans="6:34" ht="18.75" customHeight="1">
      <c r="F585" s="13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</row>
    <row r="586" spans="6:34" ht="18.75" customHeight="1">
      <c r="F586" s="13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</row>
    <row r="587" spans="6:34" ht="18.75" customHeight="1">
      <c r="F587" s="13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</row>
    <row r="588" spans="6:34" ht="18.75" customHeight="1">
      <c r="F588" s="13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</row>
    <row r="589" spans="6:34" ht="18.75" customHeight="1">
      <c r="F589" s="13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</row>
    <row r="590" spans="6:34" ht="18.75" customHeight="1">
      <c r="F590" s="13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</row>
    <row r="591" spans="6:34" ht="18.75" customHeight="1">
      <c r="F591" s="13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</row>
    <row r="592" spans="6:34" ht="18.75" customHeight="1">
      <c r="F592" s="13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</row>
    <row r="593" spans="6:34" ht="18.75" customHeight="1">
      <c r="F593" s="13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</row>
    <row r="594" spans="6:34" ht="18.75" customHeight="1">
      <c r="F594" s="13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</row>
    <row r="595" spans="6:34" ht="18.75" customHeight="1">
      <c r="F595" s="13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</row>
  </sheetData>
  <mergeCells count="10">
    <mergeCell ref="AB4:AH4"/>
    <mergeCell ref="B6:E6"/>
    <mergeCell ref="A10:A24"/>
    <mergeCell ref="A25:A28"/>
    <mergeCell ref="A29:E31"/>
    <mergeCell ref="B4:E5"/>
    <mergeCell ref="F4:F7"/>
    <mergeCell ref="G4:M4"/>
    <mergeCell ref="N4:T4"/>
    <mergeCell ref="U4:AA4"/>
  </mergeCells>
  <conditionalFormatting sqref="A4:AH4 B5:AH5 A6:AH22 A23:A28 F23:AH28 A29:AH31">
    <cfRule type="expression" dxfId="1202" priority="91">
      <formula>OR(ISNUMBER(SEARCH("PPP 1",A4)),ISNUMBER(SEARCH("PPP 2",A4)))</formula>
    </cfRule>
    <cfRule type="expression" dxfId="1201" priority="92">
      <formula>ISNUMBER(SEARCH("FORM",A4))</formula>
    </cfRule>
    <cfRule type="expression" dxfId="1200" priority="93">
      <formula>ISNUMBER(SEARCH("ASA",A4))</formula>
    </cfRule>
    <cfRule type="expression" dxfId="1199" priority="94">
      <formula>OR(ISNUMBER(SEARCH("ATM",A4)),ISNUMBER(SEARCH("ATA",A4)))</formula>
    </cfRule>
    <cfRule type="expression" dxfId="1198" priority="95">
      <formula>ISNUMBER(SEARCH("TP",A4))</formula>
    </cfRule>
    <cfRule type="expression" dxfId="1197" priority="96">
      <formula>ISNUMBER(SEARCH("CSE",A4))</formula>
    </cfRule>
    <cfRule type="expression" dxfId="1196" priority="97">
      <formula>ISNUMBER(SEARCH("JOK",A4))</formula>
    </cfRule>
  </conditionalFormatting>
  <conditionalFormatting sqref="B8:E22">
    <cfRule type="expression" dxfId="1195" priority="190">
      <formula>ISNUMBER(SEARCH("MRP",$B8))</formula>
    </cfRule>
  </conditionalFormatting>
  <conditionalFormatting sqref="B23:E28">
    <cfRule type="expression" dxfId="1194" priority="2">
      <formula>ISNUMBER(SEARCH("MRP",$B23))</formula>
    </cfRule>
  </conditionalFormatting>
  <conditionalFormatting sqref="F10:F31">
    <cfRule type="expression" dxfId="1193" priority="82">
      <formula>OR(ISNUMBER(SEARCH("CA",F10)),ISNUMBER(SEARCH("RC",F10)))</formula>
    </cfRule>
  </conditionalFormatting>
  <conditionalFormatting sqref="F23:AH28 A29:AH31 A6:AH22 A4:AH4 B5:AH5 A23:A28">
    <cfRule type="expression" dxfId="1192" priority="90">
      <formula>ISNUMBER(SEARCH("JOK",A4))</formula>
    </cfRule>
  </conditionalFormatting>
  <conditionalFormatting sqref="F25:AH31 K6:K7 AB6:AB24 Q7:Q22 O8:P22 R8:R22 F8:M24 S8:AA24 AC8:AH24 N23:R24 N6:N22">
    <cfRule type="expression" dxfId="1191" priority="248">
      <formula>OR(ISNUMBER(SEARCH("PPP 1",F6)),ISNUMBER(SEARCH("PPP 2",F6)))</formula>
    </cfRule>
  </conditionalFormatting>
  <conditionalFormatting sqref="F25:AH31 K6:K7 AB6:AB24 Q7:Q22 O8:P22 R8:R22 F8:M24 S8:AA24 AC8:AH24 N23:R24">
    <cfRule type="expression" dxfId="1190" priority="233">
      <formula>ISNUMBER(SEARCH("JOK",F6))</formula>
    </cfRule>
  </conditionalFormatting>
  <conditionalFormatting sqref="G27:K27">
    <cfRule type="expression" dxfId="1189" priority="241">
      <formula>OR(ISNUMBER(SEARCH("PPP 1",G27)),ISNUMBER(SEARCH("PPP 2",G27)))</formula>
    </cfRule>
    <cfRule type="expression" dxfId="1188" priority="242">
      <formula>ISNUMBER(SEARCH("FORM",G27))</formula>
    </cfRule>
    <cfRule type="expression" dxfId="1187" priority="243">
      <formula>ISNUMBER(SEARCH("ASA",G27))</formula>
    </cfRule>
    <cfRule type="expression" dxfId="1186" priority="244">
      <formula>OR(ISNUMBER(SEARCH("ATM",G27)),ISNUMBER(SEARCH("ATA",G27)))</formula>
    </cfRule>
    <cfRule type="expression" dxfId="1185" priority="245">
      <formula>ISNUMBER(SEARCH("TP",G27))</formula>
    </cfRule>
    <cfRule type="expression" dxfId="1184" priority="246">
      <formula>ISNUMBER(SEARCH("CSE",G27))</formula>
    </cfRule>
    <cfRule type="expression" dxfId="1183" priority="247">
      <formula>OR(ISNUMBER(SEARCH("CA",G27)),ISNUMBER(SEARCH("RC",G27)))</formula>
    </cfRule>
  </conditionalFormatting>
  <conditionalFormatting sqref="G4:AH28 F29:AH31">
    <cfRule type="expression" dxfId="1182" priority="98">
      <formula>OR(ISNUMBER(SEARCH("CA",F4)),ISNUMBER(SEARCH("RC",F4)))</formula>
    </cfRule>
  </conditionalFormatting>
  <conditionalFormatting sqref="G4:AH31">
    <cfRule type="expression" dxfId="1181" priority="3">
      <formula>ISNUMBER(SEARCH("CA/RC ?",G4))</formula>
    </cfRule>
  </conditionalFormatting>
  <conditionalFormatting sqref="G40:AH40">
    <cfRule type="iconSet" priority="4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K6:K7 N6:N22 AB6:AB24 Q7:Q22 O8:P22 R8:R22 F8:M24 S8:AA24 AC8:AH24 N23:R24 F25:AH31">
    <cfRule type="expression" dxfId="1180" priority="249">
      <formula>ISNUMBER(SEARCH("FORM",F6))</formula>
    </cfRule>
    <cfRule type="expression" dxfId="1179" priority="250">
      <formula>ISNUMBER(SEARCH("ASA",F6))</formula>
    </cfRule>
    <cfRule type="expression" dxfId="1178" priority="251">
      <formula>OR(ISNUMBER(SEARCH("ATM",F6)),ISNUMBER(SEARCH("ATA",F6)))</formula>
    </cfRule>
    <cfRule type="expression" dxfId="1177" priority="252">
      <formula>ISNUMBER(SEARCH("TP",F6))</formula>
    </cfRule>
    <cfRule type="expression" dxfId="1176" priority="253">
      <formula>ISNUMBER(SEARCH("CSE",F6))</formula>
    </cfRule>
    <cfRule type="expression" dxfId="1175" priority="254">
      <formula>OR(ISNUMBER(SEARCH("CA",F6)),ISNUMBER(SEARCH("RC",F6)))</formula>
    </cfRule>
  </conditionalFormatting>
  <conditionalFormatting sqref="K6:K7 N6:N24 AB6:AB28 Q7:Q22 O8:P22 R8:R22 F8:M24 S8:AA28 AC8:AH28 O23:R28 G25:N28 F25:F31 G29:AH31">
    <cfRule type="expression" dxfId="1174" priority="262">
      <formula>ISNUMBER(SEARCH("FORM",F6))</formula>
    </cfRule>
    <cfRule type="expression" dxfId="1173" priority="263">
      <formula>ISNUMBER(SEARCH("ASA",F6))</formula>
    </cfRule>
    <cfRule type="expression" dxfId="1172" priority="264">
      <formula>OR(ISNUMBER(SEARCH("ATM",F6)),ISNUMBER(SEARCH("ATA",F6)))</formula>
    </cfRule>
    <cfRule type="expression" dxfId="1171" priority="265">
      <formula>ISNUMBER(SEARCH("TP",F6))</formula>
    </cfRule>
    <cfRule type="expression" dxfId="1170" priority="266">
      <formula>ISNUMBER(SEARCH("CSE",F6))</formula>
    </cfRule>
    <cfRule type="expression" dxfId="1169" priority="267">
      <formula>OR(ISNUMBER(SEARCH("CA",F6)),ISNUMBER(SEARCH("RC",F6)))</formula>
    </cfRule>
  </conditionalFormatting>
  <conditionalFormatting sqref="K25 K29">
    <cfRule type="expression" dxfId="1168" priority="83">
      <formula>OR(ISNUMBER(SEARCH("PPP 1",K25)),ISNUMBER(SEARCH("PPP 2",K25)))</formula>
    </cfRule>
    <cfRule type="expression" dxfId="1167" priority="84">
      <formula>ISNUMBER(SEARCH("FORM",K25))</formula>
    </cfRule>
    <cfRule type="expression" dxfId="1166" priority="85">
      <formula>ISNUMBER(SEARCH("ASA",K25))</formula>
    </cfRule>
    <cfRule type="expression" dxfId="1165" priority="86">
      <formula>OR(ISNUMBER(SEARCH("ATM",K25)),ISNUMBER(SEARCH("ATA",K25)))</formula>
    </cfRule>
    <cfRule type="expression" dxfId="1164" priority="87">
      <formula>ISNUMBER(SEARCH("TP",K25))</formula>
    </cfRule>
    <cfRule type="expression" dxfId="1163" priority="88">
      <formula>ISNUMBER(SEARCH("CSE",K25))</formula>
    </cfRule>
    <cfRule type="expression" dxfId="1162" priority="89">
      <formula>OR(ISNUMBER(SEARCH("CA",K25)),ISNUMBER(SEARCH("RC",K25)))</formula>
    </cfRule>
  </conditionalFormatting>
  <conditionalFormatting sqref="L7">
    <cfRule type="expression" dxfId="1161" priority="99">
      <formula>OR(ISNUMBER(SEARCH("PPP 1",L7)),ISNUMBER(SEARCH("PPP 2",L7)))</formula>
    </cfRule>
    <cfRule type="expression" dxfId="1160" priority="100">
      <formula>ISNUMBER(SEARCH("FORM",L7))</formula>
    </cfRule>
    <cfRule type="expression" dxfId="1159" priority="101">
      <formula>ISNUMBER(SEARCH("ASA",L7))</formula>
    </cfRule>
    <cfRule type="expression" dxfId="1158" priority="102">
      <formula>OR(ISNUMBER(SEARCH("ATM",L7)),ISNUMBER(SEARCH("ATA",L7)))</formula>
    </cfRule>
    <cfRule type="expression" dxfId="1157" priority="103">
      <formula>ISNUMBER(SEARCH("TP",L7))</formula>
    </cfRule>
    <cfRule type="expression" dxfId="1156" priority="104">
      <formula>ISNUMBER(SEARCH("CSE",L7))</formula>
    </cfRule>
    <cfRule type="expression" dxfId="1155" priority="105">
      <formula>OR(ISNUMBER(SEARCH("CA",L7)),ISNUMBER(SEARCH("RC",L7)))</formula>
    </cfRule>
    <cfRule type="expression" dxfId="1154" priority="106">
      <formula>OR(ISNUMBER(SEARCH("PPP 1",L7)),ISNUMBER(SEARCH("PPP 2",L7)))</formula>
    </cfRule>
    <cfRule type="expression" dxfId="1153" priority="107">
      <formula>ISNUMBER(SEARCH("FORM",L7))</formula>
    </cfRule>
    <cfRule type="expression" dxfId="1152" priority="108">
      <formula>ISNUMBER(SEARCH("ASA",L7))</formula>
    </cfRule>
    <cfRule type="expression" dxfId="1151" priority="109">
      <formula>OR(ISNUMBER(SEARCH("ATM",L7)),ISNUMBER(SEARCH("ATA",L7)))</formula>
    </cfRule>
    <cfRule type="expression" dxfId="1150" priority="110">
      <formula>ISNUMBER(SEARCH("TP",L7))</formula>
    </cfRule>
    <cfRule type="expression" dxfId="1149" priority="111">
      <formula>ISNUMBER(SEARCH("CSE",L7))</formula>
    </cfRule>
    <cfRule type="expression" dxfId="1148" priority="112">
      <formula>OR(ISNUMBER(SEARCH("CA",L7)),ISNUMBER(SEARCH("RC",L7)))</formula>
    </cfRule>
  </conditionalFormatting>
  <conditionalFormatting sqref="L25:M25 L29:M29">
    <cfRule type="expression" dxfId="1147" priority="120">
      <formula>OR(ISNUMBER(SEARCH("PPP 1",L25)),ISNUMBER(SEARCH("PPP 2",L25)))</formula>
    </cfRule>
    <cfRule type="expression" dxfId="1146" priority="121">
      <formula>ISNUMBER(SEARCH("FORM",L25))</formula>
    </cfRule>
    <cfRule type="expression" dxfId="1145" priority="122">
      <formula>ISNUMBER(SEARCH("ASA",L25))</formula>
    </cfRule>
    <cfRule type="expression" dxfId="1144" priority="123">
      <formula>OR(ISNUMBER(SEARCH("ATM",L25)),ISNUMBER(SEARCH("ATA",L25)))</formula>
    </cfRule>
    <cfRule type="expression" dxfId="1143" priority="124">
      <formula>ISNUMBER(SEARCH("TP",L25))</formula>
    </cfRule>
    <cfRule type="expression" dxfId="1142" priority="125">
      <formula>ISNUMBER(SEARCH("CSE",L25))</formula>
    </cfRule>
    <cfRule type="expression" dxfId="1141" priority="126">
      <formula>OR(ISNUMBER(SEARCH("CA",L25)),ISNUMBER(SEARCH("RC",L25)))</formula>
    </cfRule>
  </conditionalFormatting>
  <conditionalFormatting sqref="L27:M27">
    <cfRule type="expression" dxfId="1140" priority="169">
      <formula>OR(ISNUMBER(SEARCH("PPP 1",L27)),ISNUMBER(SEARCH("PPP 2",L27)))</formula>
    </cfRule>
    <cfRule type="expression" dxfId="1139" priority="170">
      <formula>ISNUMBER(SEARCH("FORM",L27))</formula>
    </cfRule>
    <cfRule type="expression" dxfId="1138" priority="171">
      <formula>ISNUMBER(SEARCH("ASA",L27))</formula>
    </cfRule>
    <cfRule type="expression" dxfId="1137" priority="172">
      <formula>OR(ISNUMBER(SEARCH("ATM",L27)),ISNUMBER(SEARCH("ATA",L27)))</formula>
    </cfRule>
    <cfRule type="expression" dxfId="1136" priority="173">
      <formula>ISNUMBER(SEARCH("TP",L27))</formula>
    </cfRule>
    <cfRule type="expression" dxfId="1135" priority="174">
      <formula>ISNUMBER(SEARCH("CSE",L27))</formula>
    </cfRule>
    <cfRule type="expression" dxfId="1134" priority="175">
      <formula>OR(ISNUMBER(SEARCH("CA",L27)),ISNUMBER(SEARCH("RC",L27)))</formula>
    </cfRule>
  </conditionalFormatting>
  <conditionalFormatting sqref="L28:M28">
    <cfRule type="expression" dxfId="1133" priority="134">
      <formula>OR(ISNUMBER(SEARCH("PPP 1",L28)),ISNUMBER(SEARCH("PPP 2",L28)))</formula>
    </cfRule>
    <cfRule type="expression" dxfId="1132" priority="135">
      <formula>ISNUMBER(SEARCH("FORM",L28))</formula>
    </cfRule>
    <cfRule type="expression" dxfId="1131" priority="136">
      <formula>ISNUMBER(SEARCH("ASA",L28))</formula>
    </cfRule>
    <cfRule type="expression" dxfId="1130" priority="137">
      <formula>OR(ISNUMBER(SEARCH("ATM",L28)),ISNUMBER(SEARCH("ATA",L28)))</formula>
    </cfRule>
    <cfRule type="expression" dxfId="1129" priority="138">
      <formula>ISNUMBER(SEARCH("TP",L28))</formula>
    </cfRule>
    <cfRule type="expression" dxfId="1128" priority="139">
      <formula>ISNUMBER(SEARCH("CSE",L28))</formula>
    </cfRule>
    <cfRule type="expression" dxfId="1127" priority="140">
      <formula>OR(ISNUMBER(SEARCH("CA",L28)),ISNUMBER(SEARCH("RC",L28)))</formula>
    </cfRule>
  </conditionalFormatting>
  <conditionalFormatting sqref="L25:R25">
    <cfRule type="expression" dxfId="1126" priority="226">
      <formula>OR(ISNUMBER(SEARCH("PPP 1",L25)),ISNUMBER(SEARCH("PPP 2",L25)))</formula>
    </cfRule>
    <cfRule type="expression" dxfId="1125" priority="227">
      <formula>ISNUMBER(SEARCH("FORM",L25))</formula>
    </cfRule>
    <cfRule type="expression" dxfId="1124" priority="228">
      <formula>ISNUMBER(SEARCH("ASA",L25))</formula>
    </cfRule>
    <cfRule type="expression" dxfId="1123" priority="229">
      <formula>OR(ISNUMBER(SEARCH("ATM",L25)),ISNUMBER(SEARCH("ATA",L25)))</formula>
    </cfRule>
    <cfRule type="expression" dxfId="1122" priority="230">
      <formula>ISNUMBER(SEARCH("TP",L25))</formula>
    </cfRule>
    <cfRule type="expression" dxfId="1121" priority="231">
      <formula>ISNUMBER(SEARCH("CSE",L25))</formula>
    </cfRule>
    <cfRule type="expression" dxfId="1120" priority="232">
      <formula>OR(ISNUMBER(SEARCH("CA",L25)),ISNUMBER(SEARCH("RC",L25)))</formula>
    </cfRule>
  </conditionalFormatting>
  <conditionalFormatting sqref="M25:M26 M29">
    <cfRule type="expression" dxfId="1119" priority="113">
      <formula>OR(ISNUMBER(SEARCH("PPP 1",M25)),ISNUMBER(SEARCH("PPP 2",M25)))</formula>
    </cfRule>
    <cfRule type="expression" dxfId="1118" priority="114">
      <formula>ISNUMBER(SEARCH("FORM",M25))</formula>
    </cfRule>
    <cfRule type="expression" dxfId="1117" priority="115">
      <formula>ISNUMBER(SEARCH("ASA",M25))</formula>
    </cfRule>
    <cfRule type="expression" dxfId="1116" priority="116">
      <formula>OR(ISNUMBER(SEARCH("ATM",M25)),ISNUMBER(SEARCH("ATA",M25)))</formula>
    </cfRule>
    <cfRule type="expression" dxfId="1115" priority="117">
      <formula>ISNUMBER(SEARCH("TP",M25))</formula>
    </cfRule>
    <cfRule type="expression" dxfId="1114" priority="118">
      <formula>ISNUMBER(SEARCH("CSE",M25))</formula>
    </cfRule>
    <cfRule type="expression" dxfId="1113" priority="119">
      <formula>OR(ISNUMBER(SEARCH("CA",M25)),ISNUMBER(SEARCH("RC",M25)))</formula>
    </cfRule>
  </conditionalFormatting>
  <conditionalFormatting sqref="M25:M27">
    <cfRule type="expression" dxfId="1112" priority="205">
      <formula>OR(ISNUMBER(SEARCH("PPP 1",M25)),ISNUMBER(SEARCH("PPP 2",M25)))</formula>
    </cfRule>
    <cfRule type="expression" dxfId="1111" priority="206">
      <formula>ISNUMBER(SEARCH("FORM",M25))</formula>
    </cfRule>
    <cfRule type="expression" dxfId="1110" priority="207">
      <formula>ISNUMBER(SEARCH("ASA",M25))</formula>
    </cfRule>
    <cfRule type="expression" dxfId="1109" priority="208">
      <formula>OR(ISNUMBER(SEARCH("ATM",M25)),ISNUMBER(SEARCH("ATA",M25)))</formula>
    </cfRule>
    <cfRule type="expression" dxfId="1108" priority="209">
      <formula>ISNUMBER(SEARCH("TP",M25))</formula>
    </cfRule>
    <cfRule type="expression" dxfId="1107" priority="210">
      <formula>ISNUMBER(SEARCH("CSE",M25))</formula>
    </cfRule>
    <cfRule type="expression" dxfId="1106" priority="211">
      <formula>OR(ISNUMBER(SEARCH("CA",M25)),ISNUMBER(SEARCH("RC",M25)))</formula>
    </cfRule>
  </conditionalFormatting>
  <conditionalFormatting sqref="M27:M28">
    <cfRule type="expression" dxfId="1105" priority="162">
      <formula>OR(ISNUMBER(SEARCH("PPP 1",M27)),ISNUMBER(SEARCH("PPP 2",M27)))</formula>
    </cfRule>
    <cfRule type="expression" dxfId="1104" priority="163">
      <formula>ISNUMBER(SEARCH("FORM",M27))</formula>
    </cfRule>
    <cfRule type="expression" dxfId="1103" priority="164">
      <formula>ISNUMBER(SEARCH("ASA",M27))</formula>
    </cfRule>
    <cfRule type="expression" dxfId="1102" priority="165">
      <formula>OR(ISNUMBER(SEARCH("ATM",M27)),ISNUMBER(SEARCH("ATA",M27)))</formula>
    </cfRule>
    <cfRule type="expression" dxfId="1101" priority="166">
      <formula>ISNUMBER(SEARCH("TP",M27))</formula>
    </cfRule>
    <cfRule type="expression" dxfId="1100" priority="167">
      <formula>ISNUMBER(SEARCH("CSE",M27))</formula>
    </cfRule>
    <cfRule type="expression" dxfId="1099" priority="168">
      <formula>OR(ISNUMBER(SEARCH("CA",M27)),ISNUMBER(SEARCH("RC",M27)))</formula>
    </cfRule>
  </conditionalFormatting>
  <conditionalFormatting sqref="M28:M29">
    <cfRule type="expression" dxfId="1098" priority="127">
      <formula>OR(ISNUMBER(SEARCH("PPP 1",M28)),ISNUMBER(SEARCH("PPP 2",M28)))</formula>
    </cfRule>
    <cfRule type="expression" dxfId="1097" priority="128">
      <formula>ISNUMBER(SEARCH("FORM",M28))</formula>
    </cfRule>
    <cfRule type="expression" dxfId="1096" priority="129">
      <formula>ISNUMBER(SEARCH("ASA",M28))</formula>
    </cfRule>
    <cfRule type="expression" dxfId="1095" priority="130">
      <formula>OR(ISNUMBER(SEARCH("ATM",M28)),ISNUMBER(SEARCH("ATA",M28)))</formula>
    </cfRule>
    <cfRule type="expression" dxfId="1094" priority="131">
      <formula>ISNUMBER(SEARCH("TP",M28))</formula>
    </cfRule>
    <cfRule type="expression" dxfId="1093" priority="132">
      <formula>ISNUMBER(SEARCH("CSE",M28))</formula>
    </cfRule>
    <cfRule type="expression" dxfId="1092" priority="133">
      <formula>OR(ISNUMBER(SEARCH("CA",M28)),ISNUMBER(SEARCH("RC",M28)))</formula>
    </cfRule>
  </conditionalFormatting>
  <conditionalFormatting sqref="O26">
    <cfRule type="expression" dxfId="1091" priority="198">
      <formula>OR(ISNUMBER(SEARCH("PPP 1",O26)),ISNUMBER(SEARCH("PPP 2",O26)))</formula>
    </cfRule>
    <cfRule type="expression" dxfId="1090" priority="199">
      <formula>ISNUMBER(SEARCH("FORM",O26))</formula>
    </cfRule>
    <cfRule type="expression" dxfId="1089" priority="200">
      <formula>ISNUMBER(SEARCH("ASA",O26))</formula>
    </cfRule>
    <cfRule type="expression" dxfId="1088" priority="201">
      <formula>OR(ISNUMBER(SEARCH("ATM",O26)),ISNUMBER(SEARCH("ATA",O26)))</formula>
    </cfRule>
    <cfRule type="expression" dxfId="1087" priority="202">
      <formula>ISNUMBER(SEARCH("TP",O26))</formula>
    </cfRule>
    <cfRule type="expression" dxfId="1086" priority="203">
      <formula>ISNUMBER(SEARCH("CSE",O26))</formula>
    </cfRule>
    <cfRule type="expression" dxfId="1085" priority="204">
      <formula>OR(ISNUMBER(SEARCH("CA",O26)),ISNUMBER(SEARCH("RC",O26)))</formula>
    </cfRule>
  </conditionalFormatting>
  <conditionalFormatting sqref="S27:T27">
    <cfRule type="expression" dxfId="1084" priority="183">
      <formula>OR(ISNUMBER(SEARCH("PPP 1",S27)),ISNUMBER(SEARCH("PPP 2",S27)))</formula>
    </cfRule>
    <cfRule type="expression" dxfId="1083" priority="184">
      <formula>ISNUMBER(SEARCH("FORM",S27))</formula>
    </cfRule>
    <cfRule type="expression" dxfId="1082" priority="185">
      <formula>ISNUMBER(SEARCH("ASA",S27))</formula>
    </cfRule>
    <cfRule type="expression" dxfId="1081" priority="186">
      <formula>OR(ISNUMBER(SEARCH("ATM",S27)),ISNUMBER(SEARCH("ATA",S27)))</formula>
    </cfRule>
    <cfRule type="expression" dxfId="1080" priority="187">
      <formula>ISNUMBER(SEARCH("TP",S27))</formula>
    </cfRule>
    <cfRule type="expression" dxfId="1079" priority="188">
      <formula>ISNUMBER(SEARCH("CSE",S27))</formula>
    </cfRule>
    <cfRule type="expression" dxfId="1078" priority="189">
      <formula>OR(ISNUMBER(SEARCH("CA",S27)),ISNUMBER(SEARCH("RC",S27)))</formula>
    </cfRule>
  </conditionalFormatting>
  <conditionalFormatting sqref="S28:T28">
    <cfRule type="expression" dxfId="1077" priority="155">
      <formula>OR(ISNUMBER(SEARCH("PPP 1",S28)),ISNUMBER(SEARCH("PPP 2",S28)))</formula>
    </cfRule>
    <cfRule type="expression" dxfId="1076" priority="156">
      <formula>ISNUMBER(SEARCH("FORM",S28))</formula>
    </cfRule>
    <cfRule type="expression" dxfId="1075" priority="157">
      <formula>ISNUMBER(SEARCH("ASA",S28))</formula>
    </cfRule>
    <cfRule type="expression" dxfId="1074" priority="158">
      <formula>OR(ISNUMBER(SEARCH("ATM",S28)),ISNUMBER(SEARCH("ATA",S28)))</formula>
    </cfRule>
    <cfRule type="expression" dxfId="1073" priority="159">
      <formula>ISNUMBER(SEARCH("TP",S28))</formula>
    </cfRule>
    <cfRule type="expression" dxfId="1072" priority="160">
      <formula>ISNUMBER(SEARCH("CSE",S28))</formula>
    </cfRule>
    <cfRule type="expression" dxfId="1071" priority="161">
      <formula>OR(ISNUMBER(SEARCH("CA",S28)),ISNUMBER(SEARCH("RC",S28)))</formula>
    </cfRule>
  </conditionalFormatting>
  <conditionalFormatting sqref="S29:T29">
    <cfRule type="expression" dxfId="1070" priority="75">
      <formula>OR(ISNUMBER(SEARCH("PPP 1",S29)),ISNUMBER(SEARCH("PPP 2",S29)))</formula>
    </cfRule>
    <cfRule type="expression" dxfId="1069" priority="76">
      <formula>ISNUMBER(SEARCH("FORM",S29))</formula>
    </cfRule>
    <cfRule type="expression" dxfId="1068" priority="77">
      <formula>ISNUMBER(SEARCH("ASA",S29))</formula>
    </cfRule>
    <cfRule type="expression" dxfId="1067" priority="78">
      <formula>OR(ISNUMBER(SEARCH("ATM",S29)),ISNUMBER(SEARCH("ATA",S29)))</formula>
    </cfRule>
    <cfRule type="expression" dxfId="1066" priority="79">
      <formula>ISNUMBER(SEARCH("TP",S29))</formula>
    </cfRule>
    <cfRule type="expression" dxfId="1065" priority="80">
      <formula>ISNUMBER(SEARCH("CSE",S29))</formula>
    </cfRule>
    <cfRule type="expression" dxfId="1064" priority="81">
      <formula>OR(ISNUMBER(SEARCH("CA",S29)),ISNUMBER(SEARCH("RC",S29)))</formula>
    </cfRule>
  </conditionalFormatting>
  <conditionalFormatting sqref="T25">
    <cfRule type="expression" dxfId="1063" priority="148">
      <formula>OR(ISNUMBER(SEARCH("PPP 1",T25)),ISNUMBER(SEARCH("PPP 2",T25)))</formula>
    </cfRule>
    <cfRule type="expression" dxfId="1062" priority="149">
      <formula>ISNUMBER(SEARCH("FORM",T25))</formula>
    </cfRule>
    <cfRule type="expression" dxfId="1061" priority="150">
      <formula>ISNUMBER(SEARCH("ASA",T25))</formula>
    </cfRule>
    <cfRule type="expression" dxfId="1060" priority="151">
      <formula>OR(ISNUMBER(SEARCH("ATM",T25)),ISNUMBER(SEARCH("ATA",T25)))</formula>
    </cfRule>
    <cfRule type="expression" dxfId="1059" priority="152">
      <formula>ISNUMBER(SEARCH("TP",T25))</formula>
    </cfRule>
    <cfRule type="expression" dxfId="1058" priority="153">
      <formula>ISNUMBER(SEARCH("CSE",T25))</formula>
    </cfRule>
    <cfRule type="expression" dxfId="1057" priority="154">
      <formula>OR(ISNUMBER(SEARCH("CA",T25)),ISNUMBER(SEARCH("RC",T25)))</formula>
    </cfRule>
  </conditionalFormatting>
  <conditionalFormatting sqref="T27:T28">
    <cfRule type="expression" dxfId="1056" priority="176">
      <formula>OR(ISNUMBER(SEARCH("PPP 1",T27)),ISNUMBER(SEARCH("PPP 2",T27)))</formula>
    </cfRule>
    <cfRule type="expression" dxfId="1055" priority="177">
      <formula>ISNUMBER(SEARCH("FORM",T27))</formula>
    </cfRule>
    <cfRule type="expression" dxfId="1054" priority="178">
      <formula>ISNUMBER(SEARCH("ASA",T27))</formula>
    </cfRule>
    <cfRule type="expression" dxfId="1053" priority="179">
      <formula>OR(ISNUMBER(SEARCH("ATM",T27)),ISNUMBER(SEARCH("ATA",T27)))</formula>
    </cfRule>
    <cfRule type="expression" dxfId="1052" priority="180">
      <formula>ISNUMBER(SEARCH("TP",T27))</formula>
    </cfRule>
    <cfRule type="expression" dxfId="1051" priority="181">
      <formula>ISNUMBER(SEARCH("CSE",T27))</formula>
    </cfRule>
    <cfRule type="expression" dxfId="1050" priority="182">
      <formula>OR(ISNUMBER(SEARCH("CA",T27)),ISNUMBER(SEARCH("RC",T27)))</formula>
    </cfRule>
  </conditionalFormatting>
  <conditionalFormatting sqref="T28:T29">
    <cfRule type="expression" dxfId="1049" priority="141">
      <formula>OR(ISNUMBER(SEARCH("PPP 1",T28)),ISNUMBER(SEARCH("PPP 2",T28)))</formula>
    </cfRule>
    <cfRule type="expression" dxfId="1048" priority="142">
      <formula>ISNUMBER(SEARCH("FORM",T28))</formula>
    </cfRule>
    <cfRule type="expression" dxfId="1047" priority="143">
      <formula>ISNUMBER(SEARCH("ASA",T28))</formula>
    </cfRule>
    <cfRule type="expression" dxfId="1046" priority="144">
      <formula>OR(ISNUMBER(SEARCH("ATM",T28)),ISNUMBER(SEARCH("ATA",T28)))</formula>
    </cfRule>
    <cfRule type="expression" dxfId="1045" priority="145">
      <formula>ISNUMBER(SEARCH("TP",T28))</formula>
    </cfRule>
    <cfRule type="expression" dxfId="1044" priority="146">
      <formula>ISNUMBER(SEARCH("CSE",T28))</formula>
    </cfRule>
    <cfRule type="expression" dxfId="1043" priority="147">
      <formula>OR(ISNUMBER(SEARCH("CA",T28)),ISNUMBER(SEARCH("RC",T28)))</formula>
    </cfRule>
  </conditionalFormatting>
  <conditionalFormatting sqref="T29">
    <cfRule type="expression" dxfId="1042" priority="61">
      <formula>OR(ISNUMBER(SEARCH("PPP 1",T29)),ISNUMBER(SEARCH("PPP 2",T29)))</formula>
    </cfRule>
    <cfRule type="expression" dxfId="1041" priority="62">
      <formula>ISNUMBER(SEARCH("FORM",T29))</formula>
    </cfRule>
    <cfRule type="expression" dxfId="1040" priority="63">
      <formula>ISNUMBER(SEARCH("ASA",T29))</formula>
    </cfRule>
    <cfRule type="expression" dxfId="1039" priority="64">
      <formula>OR(ISNUMBER(SEARCH("ATM",T29)),ISNUMBER(SEARCH("ATA",T29)))</formula>
    </cfRule>
    <cfRule type="expression" dxfId="1038" priority="65">
      <formula>ISNUMBER(SEARCH("TP",T29))</formula>
    </cfRule>
    <cfRule type="expression" dxfId="1037" priority="66">
      <formula>ISNUMBER(SEARCH("CSE",T29))</formula>
    </cfRule>
    <cfRule type="expression" dxfId="1036" priority="67">
      <formula>OR(ISNUMBER(SEARCH("CA",T29)),ISNUMBER(SEARCH("RC",T29)))</formula>
    </cfRule>
    <cfRule type="expression" dxfId="1035" priority="68">
      <formula>OR(ISNUMBER(SEARCH("PPP 1",T29)),ISNUMBER(SEARCH("PPP 2",T29)))</formula>
    </cfRule>
    <cfRule type="expression" dxfId="1034" priority="69">
      <formula>ISNUMBER(SEARCH("FORM",T29))</formula>
    </cfRule>
    <cfRule type="expression" dxfId="1033" priority="70">
      <formula>ISNUMBER(SEARCH("ASA",T29))</formula>
    </cfRule>
    <cfRule type="expression" dxfId="1032" priority="71">
      <formula>OR(ISNUMBER(SEARCH("ATM",T29)),ISNUMBER(SEARCH("ATA",T29)))</formula>
    </cfRule>
    <cfRule type="expression" dxfId="1031" priority="72">
      <formula>ISNUMBER(SEARCH("TP",T29))</formula>
    </cfRule>
    <cfRule type="expression" dxfId="1030" priority="73">
      <formula>ISNUMBER(SEARCH("CSE",T29))</formula>
    </cfRule>
    <cfRule type="expression" dxfId="1029" priority="74">
      <formula>OR(ISNUMBER(SEARCH("CA",T29)),ISNUMBER(SEARCH("RC",T29)))</formula>
    </cfRule>
  </conditionalFormatting>
  <conditionalFormatting sqref="Z25:AA25">
    <cfRule type="expression" dxfId="1028" priority="219">
      <formula>OR(ISNUMBER(SEARCH("PPP 1",Z25)),ISNUMBER(SEARCH("PPP 2",Z25)))</formula>
    </cfRule>
    <cfRule type="expression" dxfId="1027" priority="220">
      <formula>ISNUMBER(SEARCH("FORM",Z25))</formula>
    </cfRule>
    <cfRule type="expression" dxfId="1026" priority="221">
      <formula>ISNUMBER(SEARCH("ASA",Z25))</formula>
    </cfRule>
    <cfRule type="expression" dxfId="1025" priority="222">
      <formula>OR(ISNUMBER(SEARCH("ATM",Z25)),ISNUMBER(SEARCH("ATA",Z25)))</formula>
    </cfRule>
    <cfRule type="expression" dxfId="1024" priority="223">
      <formula>ISNUMBER(SEARCH("TP",Z25))</formula>
    </cfRule>
    <cfRule type="expression" dxfId="1023" priority="224">
      <formula>ISNUMBER(SEARCH("CSE",Z25))</formula>
    </cfRule>
    <cfRule type="expression" dxfId="1022" priority="225">
      <formula>OR(ISNUMBER(SEARCH("CA",Z25)),ISNUMBER(SEARCH("RC",Z25)))</formula>
    </cfRule>
  </conditionalFormatting>
  <conditionalFormatting sqref="Z29:AA29">
    <cfRule type="expression" dxfId="1021" priority="54">
      <formula>OR(ISNUMBER(SEARCH("PPP 1",Z29)),ISNUMBER(SEARCH("PPP 2",Z29)))</formula>
    </cfRule>
    <cfRule type="expression" dxfId="1020" priority="55">
      <formula>ISNUMBER(SEARCH("FORM",Z29))</formula>
    </cfRule>
    <cfRule type="expression" dxfId="1019" priority="56">
      <formula>ISNUMBER(SEARCH("ASA",Z29))</formula>
    </cfRule>
    <cfRule type="expression" dxfId="1018" priority="57">
      <formula>OR(ISNUMBER(SEARCH("ATM",Z29)),ISNUMBER(SEARCH("ATA",Z29)))</formula>
    </cfRule>
    <cfRule type="expression" dxfId="1017" priority="58">
      <formula>ISNUMBER(SEARCH("TP",Z29))</formula>
    </cfRule>
    <cfRule type="expression" dxfId="1016" priority="59">
      <formula>ISNUMBER(SEARCH("CSE",Z29))</formula>
    </cfRule>
    <cfRule type="expression" dxfId="1015" priority="60">
      <formula>OR(ISNUMBER(SEARCH("CA",Z29)),ISNUMBER(SEARCH("RC",Z29)))</formula>
    </cfRule>
  </conditionalFormatting>
  <conditionalFormatting sqref="AA25:AA26">
    <cfRule type="expression" dxfId="1014" priority="212">
      <formula>OR(ISNUMBER(SEARCH("PPP 1",AA25)),ISNUMBER(SEARCH("PPP 2",AA25)))</formula>
    </cfRule>
    <cfRule type="expression" dxfId="1013" priority="213">
      <formula>ISNUMBER(SEARCH("FORM",AA25))</formula>
    </cfRule>
    <cfRule type="expression" dxfId="1012" priority="214">
      <formula>ISNUMBER(SEARCH("ASA",AA25))</formula>
    </cfRule>
    <cfRule type="expression" dxfId="1011" priority="215">
      <formula>OR(ISNUMBER(SEARCH("ATM",AA25)),ISNUMBER(SEARCH("ATA",AA25)))</formula>
    </cfRule>
    <cfRule type="expression" dxfId="1010" priority="216">
      <formula>ISNUMBER(SEARCH("TP",AA25))</formula>
    </cfRule>
    <cfRule type="expression" dxfId="1009" priority="217">
      <formula>ISNUMBER(SEARCH("CSE",AA25))</formula>
    </cfRule>
    <cfRule type="expression" dxfId="1008" priority="218">
      <formula>OR(ISNUMBER(SEARCH("CA",AA25)),ISNUMBER(SEARCH("RC",AA25)))</formula>
    </cfRule>
  </conditionalFormatting>
  <conditionalFormatting sqref="AA29">
    <cfRule type="expression" dxfId="1007" priority="33">
      <formula>OR(ISNUMBER(SEARCH("PPP 1",AA29)),ISNUMBER(SEARCH("PPP 2",AA29)))</formula>
    </cfRule>
    <cfRule type="expression" dxfId="1006" priority="34">
      <formula>ISNUMBER(SEARCH("FORM",AA29))</formula>
    </cfRule>
    <cfRule type="expression" dxfId="1005" priority="35">
      <formula>ISNUMBER(SEARCH("ASA",AA29))</formula>
    </cfRule>
    <cfRule type="expression" dxfId="1004" priority="36">
      <formula>OR(ISNUMBER(SEARCH("ATM",AA29)),ISNUMBER(SEARCH("ATA",AA29)))</formula>
    </cfRule>
    <cfRule type="expression" dxfId="1003" priority="37">
      <formula>ISNUMBER(SEARCH("TP",AA29))</formula>
    </cfRule>
    <cfRule type="expression" dxfId="1002" priority="38">
      <formula>ISNUMBER(SEARCH("CSE",AA29))</formula>
    </cfRule>
    <cfRule type="expression" dxfId="1001" priority="39">
      <formula>OR(ISNUMBER(SEARCH("CA",AA29)),ISNUMBER(SEARCH("RC",AA29)))</formula>
    </cfRule>
    <cfRule type="expression" dxfId="1000" priority="40">
      <formula>OR(ISNUMBER(SEARCH("PPP 1",AA29)),ISNUMBER(SEARCH("PPP 2",AA29)))</formula>
    </cfRule>
    <cfRule type="expression" dxfId="999" priority="41">
      <formula>ISNUMBER(SEARCH("FORM",AA29))</formula>
    </cfRule>
    <cfRule type="expression" dxfId="998" priority="42">
      <formula>ISNUMBER(SEARCH("ASA",AA29))</formula>
    </cfRule>
    <cfRule type="expression" dxfId="997" priority="43">
      <formula>OR(ISNUMBER(SEARCH("ATM",AA29)),ISNUMBER(SEARCH("ATA",AA29)))</formula>
    </cfRule>
    <cfRule type="expression" dxfId="996" priority="44">
      <formula>ISNUMBER(SEARCH("TP",AA29))</formula>
    </cfRule>
    <cfRule type="expression" dxfId="995" priority="45">
      <formula>ISNUMBER(SEARCH("CSE",AA29))</formula>
    </cfRule>
    <cfRule type="expression" dxfId="994" priority="46">
      <formula>OR(ISNUMBER(SEARCH("CA",AA29)),ISNUMBER(SEARCH("RC",AA29)))</formula>
    </cfRule>
    <cfRule type="expression" dxfId="993" priority="47">
      <formula>OR(ISNUMBER(SEARCH("PPP 1",AA29)),ISNUMBER(SEARCH("PPP 2",AA29)))</formula>
    </cfRule>
    <cfRule type="expression" dxfId="992" priority="48">
      <formula>ISNUMBER(SEARCH("FORM",AA29))</formula>
    </cfRule>
    <cfRule type="expression" dxfId="991" priority="49">
      <formula>ISNUMBER(SEARCH("ASA",AA29))</formula>
    </cfRule>
    <cfRule type="expression" dxfId="990" priority="50">
      <formula>OR(ISNUMBER(SEARCH("ATM",AA29)),ISNUMBER(SEARCH("ATA",AA29)))</formula>
    </cfRule>
    <cfRule type="expression" dxfId="989" priority="51">
      <formula>ISNUMBER(SEARCH("TP",AA29))</formula>
    </cfRule>
    <cfRule type="expression" dxfId="988" priority="52">
      <formula>ISNUMBER(SEARCH("CSE",AA29))</formula>
    </cfRule>
    <cfRule type="expression" dxfId="987" priority="53">
      <formula>OR(ISNUMBER(SEARCH("CA",AA29)),ISNUMBER(SEARCH("RC",AA29)))</formula>
    </cfRule>
  </conditionalFormatting>
  <conditionalFormatting sqref="AB6:AB28 AC8:AH28 K6:K7 N6:N24 Q7:Q22 O8:P22 R8:R22 F8:M24 S8:AA28 O23:R28 G25:N28 F25:F31 G29:AH31">
    <cfRule type="expression" dxfId="986" priority="261">
      <formula>OR(ISNUMBER(SEARCH("PPP 1",F6)),ISNUMBER(SEARCH("PPP 2",F6)))</formula>
    </cfRule>
  </conditionalFormatting>
  <conditionalFormatting sqref="AB25:AC25">
    <cfRule type="expression" dxfId="985" priority="255">
      <formula>OR(ISNUMBER(SEARCH("PPP 1",AB25)),ISNUMBER(SEARCH("PPP 2",AB25)))</formula>
    </cfRule>
    <cfRule type="expression" dxfId="984" priority="256">
      <formula>ISNUMBER(SEARCH("ASA",AB25))</formula>
    </cfRule>
    <cfRule type="expression" dxfId="983" priority="257">
      <formula>OR(ISNUMBER(SEARCH("ATM",AB25)),ISNUMBER(SEARCH("ATA",AB25)))</formula>
    </cfRule>
    <cfRule type="expression" dxfId="982" priority="258">
      <formula>ISNUMBER(SEARCH("TP",AB25))</formula>
    </cfRule>
    <cfRule type="expression" dxfId="981" priority="259">
      <formula>ISNUMBER(SEARCH("CSE",AB25))</formula>
    </cfRule>
    <cfRule type="expression" dxfId="980" priority="260">
      <formula>OR(ISNUMBER(SEARCH("CA",AB25)),ISNUMBER(SEARCH("RC",AB25)))</formula>
    </cfRule>
  </conditionalFormatting>
  <conditionalFormatting sqref="AB27:AC27">
    <cfRule type="expression" dxfId="979" priority="191">
      <formula>OR(ISNUMBER(SEARCH("PPP 1",AB27)),ISNUMBER(SEARCH("PPP 2",AB27)))</formula>
    </cfRule>
    <cfRule type="expression" dxfId="978" priority="192">
      <formula>ISNUMBER(SEARCH("FORM",AB27))</formula>
    </cfRule>
    <cfRule type="expression" dxfId="977" priority="193">
      <formula>ISNUMBER(SEARCH("ASA",AB27))</formula>
    </cfRule>
    <cfRule type="expression" dxfId="976" priority="194">
      <formula>OR(ISNUMBER(SEARCH("ATM",AB27)),ISNUMBER(SEARCH("ATA",AB27)))</formula>
    </cfRule>
    <cfRule type="expression" dxfId="975" priority="195">
      <formula>ISNUMBER(SEARCH("TP",AB27))</formula>
    </cfRule>
    <cfRule type="expression" dxfId="974" priority="196">
      <formula>ISNUMBER(SEARCH("CSE",AB27))</formula>
    </cfRule>
    <cfRule type="expression" dxfId="973" priority="197">
      <formula>OR(ISNUMBER(SEARCH("CA",AB27)),ISNUMBER(SEARCH("RC",AB27)))</formula>
    </cfRule>
  </conditionalFormatting>
  <conditionalFormatting sqref="AD27:AF27">
    <cfRule type="expression" dxfId="972" priority="234">
      <formula>OR(ISNUMBER(SEARCH("PPP 1",AD27)),ISNUMBER(SEARCH("PPP 2",AD27)))</formula>
    </cfRule>
    <cfRule type="expression" dxfId="971" priority="235">
      <formula>ISNUMBER(SEARCH("FORM",AD27))</formula>
    </cfRule>
    <cfRule type="expression" dxfId="970" priority="236">
      <formula>ISNUMBER(SEARCH("ASA",AD27))</formula>
    </cfRule>
    <cfRule type="expression" dxfId="969" priority="237">
      <formula>OR(ISNUMBER(SEARCH("ATM",AD27)),ISNUMBER(SEARCH("ATA",AD27)))</formula>
    </cfRule>
    <cfRule type="expression" dxfId="968" priority="238">
      <formula>ISNUMBER(SEARCH("TP",AD27))</formula>
    </cfRule>
    <cfRule type="expression" dxfId="967" priority="239">
      <formula>ISNUMBER(SEARCH("CSE",AD27))</formula>
    </cfRule>
    <cfRule type="expression" dxfId="966" priority="240">
      <formula>OR(ISNUMBER(SEARCH("CA",AD27)),ISNUMBER(SEARCH("RC",AD27)))</formula>
    </cfRule>
  </conditionalFormatting>
  <conditionalFormatting sqref="AG29:AH29">
    <cfRule type="expression" dxfId="965" priority="26">
      <formula>OR(ISNUMBER(SEARCH("PPP 1",AG29)),ISNUMBER(SEARCH("PPP 2",AG29)))</formula>
    </cfRule>
    <cfRule type="expression" dxfId="964" priority="27">
      <formula>ISNUMBER(SEARCH("FORM",AG29))</formula>
    </cfRule>
    <cfRule type="expression" dxfId="963" priority="28">
      <formula>ISNUMBER(SEARCH("ASA",AG29))</formula>
    </cfRule>
    <cfRule type="expression" dxfId="962" priority="29">
      <formula>OR(ISNUMBER(SEARCH("ATM",AG29)),ISNUMBER(SEARCH("ATA",AG29)))</formula>
    </cfRule>
    <cfRule type="expression" dxfId="961" priority="30">
      <formula>ISNUMBER(SEARCH("TP",AG29))</formula>
    </cfRule>
    <cfRule type="expression" dxfId="960" priority="31">
      <formula>ISNUMBER(SEARCH("CSE",AG29))</formula>
    </cfRule>
    <cfRule type="expression" dxfId="959" priority="32">
      <formula>OR(ISNUMBER(SEARCH("CA",AG29)),ISNUMBER(SEARCH("RC",AG29)))</formula>
    </cfRule>
  </conditionalFormatting>
  <conditionalFormatting sqref="AH29">
    <cfRule type="expression" dxfId="958" priority="5">
      <formula>OR(ISNUMBER(SEARCH("PPP 1",AH29)),ISNUMBER(SEARCH("PPP 2",AH29)))</formula>
    </cfRule>
    <cfRule type="expression" dxfId="957" priority="6">
      <formula>ISNUMBER(SEARCH("FORM",AH29))</formula>
    </cfRule>
    <cfRule type="expression" dxfId="956" priority="7">
      <formula>ISNUMBER(SEARCH("ASA",AH29))</formula>
    </cfRule>
    <cfRule type="expression" dxfId="955" priority="8">
      <formula>OR(ISNUMBER(SEARCH("ATM",AH29)),ISNUMBER(SEARCH("ATA",AH29)))</formula>
    </cfRule>
    <cfRule type="expression" dxfId="954" priority="9">
      <formula>ISNUMBER(SEARCH("TP",AH29))</formula>
    </cfRule>
    <cfRule type="expression" dxfId="953" priority="10">
      <formula>ISNUMBER(SEARCH("CSE",AH29))</formula>
    </cfRule>
    <cfRule type="expression" dxfId="952" priority="11">
      <formula>OR(ISNUMBER(SEARCH("CA",AH29)),ISNUMBER(SEARCH("RC",AH29)))</formula>
    </cfRule>
    <cfRule type="expression" dxfId="951" priority="12">
      <formula>OR(ISNUMBER(SEARCH("PPP 1",AH29)),ISNUMBER(SEARCH("PPP 2",AH29)))</formula>
    </cfRule>
    <cfRule type="expression" dxfId="950" priority="13">
      <formula>ISNUMBER(SEARCH("FORM",AH29))</formula>
    </cfRule>
    <cfRule type="expression" dxfId="949" priority="14">
      <formula>ISNUMBER(SEARCH("ASA",AH29))</formula>
    </cfRule>
    <cfRule type="expression" dxfId="948" priority="15">
      <formula>OR(ISNUMBER(SEARCH("ATM",AH29)),ISNUMBER(SEARCH("ATA",AH29)))</formula>
    </cfRule>
    <cfRule type="expression" dxfId="947" priority="16">
      <formula>ISNUMBER(SEARCH("TP",AH29))</formula>
    </cfRule>
    <cfRule type="expression" dxfId="946" priority="17">
      <formula>ISNUMBER(SEARCH("CSE",AH29))</formula>
    </cfRule>
    <cfRule type="expression" dxfId="945" priority="18">
      <formula>OR(ISNUMBER(SEARCH("CA",AH29)),ISNUMBER(SEARCH("RC",AH29)))</formula>
    </cfRule>
    <cfRule type="expression" dxfId="944" priority="19">
      <formula>OR(ISNUMBER(SEARCH("PPP 1",AH29)),ISNUMBER(SEARCH("PPP 2",AH29)))</formula>
    </cfRule>
    <cfRule type="expression" dxfId="943" priority="20">
      <formula>ISNUMBER(SEARCH("FORM",AH29))</formula>
    </cfRule>
    <cfRule type="expression" dxfId="942" priority="21">
      <formula>ISNUMBER(SEARCH("ASA",AH29))</formula>
    </cfRule>
    <cfRule type="expression" dxfId="941" priority="22">
      <formula>OR(ISNUMBER(SEARCH("ATM",AH29)),ISNUMBER(SEARCH("ATA",AH29)))</formula>
    </cfRule>
    <cfRule type="expression" dxfId="940" priority="23">
      <formula>ISNUMBER(SEARCH("TP",AH29))</formula>
    </cfRule>
    <cfRule type="expression" dxfId="939" priority="24">
      <formula>ISNUMBER(SEARCH("CSE",AH29))</formula>
    </cfRule>
    <cfRule type="expression" dxfId="938" priority="25">
      <formula>OR(ISNUMBER(SEARCH("CA",AH29)),ISNUMBER(SEARCH("RC",AH29)))</formula>
    </cfRule>
  </conditionalFormatting>
  <dataValidations count="1">
    <dataValidation allowBlank="1" showInputMessage="1" showErrorMessage="1" sqref="G9" xr:uid="{00000000-0002-0000-0800-000000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CCFF"/>
  </sheetPr>
  <dimension ref="A1:AO595"/>
  <sheetViews>
    <sheetView topLeftCell="B22" zoomScaleNormal="100" workbookViewId="0">
      <pane xSplit="5" topLeftCell="G1" activePane="topRight" state="frozen"/>
      <selection pane="topRight" activeCell="O8" sqref="O8"/>
      <selection activeCell="B22" sqref="B22"/>
    </sheetView>
  </sheetViews>
  <sheetFormatPr defaultColWidth="8.85546875" defaultRowHeight="15"/>
  <cols>
    <col min="1" max="1" width="12.42578125" customWidth="1"/>
    <col min="2" max="2" width="23.42578125" customWidth="1"/>
    <col min="3" max="3" width="20" customWidth="1"/>
    <col min="4" max="4" width="21.42578125" customWidth="1"/>
    <col min="5" max="5" width="19.28515625" customWidth="1"/>
    <col min="6" max="6" width="13.7109375" customWidth="1"/>
    <col min="7" max="11" width="9.42578125" customWidth="1"/>
    <col min="12" max="12" width="6.7109375" customWidth="1"/>
    <col min="13" max="13" width="6.28515625" customWidth="1"/>
    <col min="14" max="18" width="8.42578125" customWidth="1"/>
    <col min="19" max="19" width="6.7109375" customWidth="1"/>
    <col min="20" max="20" width="6.28515625" customWidth="1"/>
    <col min="21" max="25" width="8.42578125" customWidth="1"/>
    <col min="26" max="26" width="8.28515625" customWidth="1"/>
    <col min="27" max="27" width="6.28515625" customWidth="1"/>
    <col min="28" max="32" width="8.42578125" customWidth="1"/>
    <col min="33" max="33" width="6.7109375" customWidth="1"/>
    <col min="34" max="34" width="6.28515625" customWidth="1"/>
    <col min="35" max="39" width="8.42578125" customWidth="1"/>
    <col min="40" max="40" width="8.28515625" customWidth="1"/>
    <col min="41" max="41" width="6.28515625" customWidth="1"/>
  </cols>
  <sheetData>
    <row r="1" spans="1:41" ht="18.75" customHeight="1">
      <c r="F1" s="13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1:41" ht="18.75" customHeight="1">
      <c r="F2" s="13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</row>
    <row r="3" spans="1:41" ht="34.5" customHeight="1">
      <c r="A3" s="15"/>
      <c r="B3" s="16"/>
      <c r="C3" s="16"/>
      <c r="D3" s="16"/>
      <c r="E3" s="16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 spans="1:41" ht="18.75" customHeight="1">
      <c r="A4" s="18" t="s">
        <v>23</v>
      </c>
      <c r="B4" s="428" t="s">
        <v>326</v>
      </c>
      <c r="C4" s="428"/>
      <c r="D4" s="428"/>
      <c r="E4" s="428"/>
      <c r="F4" s="441"/>
      <c r="G4" s="410" t="s">
        <v>327</v>
      </c>
      <c r="H4" s="410"/>
      <c r="I4" s="410"/>
      <c r="J4" s="410"/>
      <c r="K4" s="410"/>
      <c r="L4" s="410"/>
      <c r="M4" s="410"/>
      <c r="N4" s="411" t="s">
        <v>328</v>
      </c>
      <c r="O4" s="411"/>
      <c r="P4" s="411"/>
      <c r="Q4" s="411"/>
      <c r="R4" s="411"/>
      <c r="S4" s="411"/>
      <c r="T4" s="411"/>
      <c r="U4" s="411" t="s">
        <v>329</v>
      </c>
      <c r="V4" s="411"/>
      <c r="W4" s="411"/>
      <c r="X4" s="411"/>
      <c r="Y4" s="411"/>
      <c r="Z4" s="411"/>
      <c r="AA4" s="411"/>
      <c r="AB4" s="411" t="s">
        <v>330</v>
      </c>
      <c r="AC4" s="411"/>
      <c r="AD4" s="411"/>
      <c r="AE4" s="411"/>
      <c r="AF4" s="411"/>
      <c r="AG4" s="411"/>
      <c r="AH4" s="411"/>
      <c r="AI4" s="411" t="s">
        <v>331</v>
      </c>
      <c r="AJ4" s="411"/>
      <c r="AK4" s="411"/>
      <c r="AL4" s="411"/>
      <c r="AM4" s="411"/>
      <c r="AN4" s="411"/>
      <c r="AO4" s="411"/>
    </row>
    <row r="5" spans="1:41" ht="18.75" customHeight="1">
      <c r="A5" s="20" t="s">
        <v>106</v>
      </c>
      <c r="B5" s="428"/>
      <c r="C5" s="428"/>
      <c r="D5" s="428"/>
      <c r="E5" s="428"/>
      <c r="F5" s="441"/>
      <c r="G5" s="22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168"/>
    </row>
    <row r="6" spans="1:41" ht="19.5" customHeight="1">
      <c r="A6" s="27" t="s">
        <v>25</v>
      </c>
      <c r="B6" s="427" t="s">
        <v>60</v>
      </c>
      <c r="C6" s="427"/>
      <c r="D6" s="427"/>
      <c r="E6" s="427"/>
      <c r="F6" s="441"/>
      <c r="G6" s="169" t="s">
        <v>61</v>
      </c>
      <c r="H6" s="170" t="s">
        <v>62</v>
      </c>
      <c r="I6" s="170" t="s">
        <v>63</v>
      </c>
      <c r="J6" s="170" t="s">
        <v>64</v>
      </c>
      <c r="K6" s="170" t="s">
        <v>65</v>
      </c>
      <c r="L6" s="171" t="s">
        <v>66</v>
      </c>
      <c r="M6" s="171" t="s">
        <v>67</v>
      </c>
      <c r="N6" s="170" t="s">
        <v>68</v>
      </c>
      <c r="O6" s="170" t="s">
        <v>62</v>
      </c>
      <c r="P6" s="170" t="s">
        <v>63</v>
      </c>
      <c r="Q6" s="170" t="s">
        <v>64</v>
      </c>
      <c r="R6" s="170" t="s">
        <v>65</v>
      </c>
      <c r="S6" s="171" t="s">
        <v>66</v>
      </c>
      <c r="T6" s="171" t="s">
        <v>67</v>
      </c>
      <c r="U6" s="170" t="s">
        <v>68</v>
      </c>
      <c r="V6" s="170" t="s">
        <v>62</v>
      </c>
      <c r="W6" s="170" t="s">
        <v>63</v>
      </c>
      <c r="X6" s="170" t="s">
        <v>64</v>
      </c>
      <c r="Y6" s="170" t="s">
        <v>65</v>
      </c>
      <c r="Z6" s="171" t="s">
        <v>66</v>
      </c>
      <c r="AA6" s="171" t="s">
        <v>67</v>
      </c>
      <c r="AB6" s="170" t="s">
        <v>68</v>
      </c>
      <c r="AC6" s="170" t="s">
        <v>62</v>
      </c>
      <c r="AD6" s="170" t="s">
        <v>63</v>
      </c>
      <c r="AE6" s="170" t="s">
        <v>64</v>
      </c>
      <c r="AF6" s="170" t="s">
        <v>65</v>
      </c>
      <c r="AG6" s="171" t="s">
        <v>66</v>
      </c>
      <c r="AH6" s="171" t="s">
        <v>67</v>
      </c>
      <c r="AI6" s="170" t="s">
        <v>68</v>
      </c>
      <c r="AJ6" s="170" t="s">
        <v>62</v>
      </c>
      <c r="AK6" s="170" t="s">
        <v>63</v>
      </c>
      <c r="AL6" s="170" t="s">
        <v>64</v>
      </c>
      <c r="AM6" s="170" t="s">
        <v>65</v>
      </c>
      <c r="AN6" s="171" t="s">
        <v>66</v>
      </c>
      <c r="AO6" s="172" t="s">
        <v>67</v>
      </c>
    </row>
    <row r="7" spans="1:41" ht="36" customHeight="1">
      <c r="A7" s="274" t="s">
        <v>26</v>
      </c>
      <c r="B7" s="275" t="s">
        <v>69</v>
      </c>
      <c r="C7" s="35" t="s">
        <v>70</v>
      </c>
      <c r="D7" s="276" t="s">
        <v>71</v>
      </c>
      <c r="E7" s="277" t="s">
        <v>72</v>
      </c>
      <c r="F7" s="441"/>
      <c r="G7" s="278">
        <v>31</v>
      </c>
      <c r="H7" s="363">
        <v>1</v>
      </c>
      <c r="I7" s="279">
        <v>2</v>
      </c>
      <c r="J7" s="279">
        <v>3</v>
      </c>
      <c r="K7" s="279">
        <v>4</v>
      </c>
      <c r="L7" s="281">
        <v>5</v>
      </c>
      <c r="M7" s="281">
        <v>6</v>
      </c>
      <c r="N7" s="279">
        <v>7</v>
      </c>
      <c r="O7" s="279">
        <v>8</v>
      </c>
      <c r="P7" s="279">
        <v>9</v>
      </c>
      <c r="Q7" s="279">
        <v>10</v>
      </c>
      <c r="R7" s="279">
        <v>11</v>
      </c>
      <c r="S7" s="281">
        <v>12</v>
      </c>
      <c r="T7" s="281">
        <v>13</v>
      </c>
      <c r="U7" s="279">
        <v>14</v>
      </c>
      <c r="V7" s="279">
        <v>15</v>
      </c>
      <c r="W7" s="279">
        <v>16</v>
      </c>
      <c r="X7" s="279">
        <v>17</v>
      </c>
      <c r="Y7" s="279">
        <v>18</v>
      </c>
      <c r="Z7" s="281">
        <v>19</v>
      </c>
      <c r="AA7" s="281">
        <v>20</v>
      </c>
      <c r="AB7" s="279">
        <v>21</v>
      </c>
      <c r="AC7" s="279">
        <v>22</v>
      </c>
      <c r="AD7" s="279">
        <v>23</v>
      </c>
      <c r="AE7" s="279">
        <v>24</v>
      </c>
      <c r="AF7" s="279">
        <v>25</v>
      </c>
      <c r="AG7" s="281">
        <v>26</v>
      </c>
      <c r="AH7" s="281">
        <v>27</v>
      </c>
      <c r="AI7" s="279">
        <v>28</v>
      </c>
      <c r="AJ7" s="279">
        <v>29</v>
      </c>
      <c r="AK7" s="279">
        <v>30</v>
      </c>
      <c r="AL7" s="279">
        <v>1</v>
      </c>
      <c r="AM7" s="279">
        <v>2</v>
      </c>
      <c r="AN7" s="281">
        <v>3</v>
      </c>
      <c r="AO7" s="282">
        <v>4</v>
      </c>
    </row>
    <row r="8" spans="1:41" ht="54" customHeight="1">
      <c r="A8" s="283" t="s">
        <v>27</v>
      </c>
      <c r="B8" s="54" t="s">
        <v>73</v>
      </c>
      <c r="C8" s="44" t="s">
        <v>73</v>
      </c>
      <c r="D8" s="45" t="s">
        <v>74</v>
      </c>
      <c r="E8" s="177" t="s">
        <v>75</v>
      </c>
      <c r="F8" s="364">
        <v>1</v>
      </c>
      <c r="G8" s="365" t="s">
        <v>271</v>
      </c>
      <c r="H8" s="285" t="s">
        <v>271</v>
      </c>
      <c r="I8" s="285" t="s">
        <v>271</v>
      </c>
      <c r="J8" s="285" t="s">
        <v>271</v>
      </c>
      <c r="K8" s="285" t="s">
        <v>271</v>
      </c>
      <c r="L8" s="286"/>
      <c r="M8" s="286"/>
      <c r="N8" s="285"/>
      <c r="O8" s="290" t="s">
        <v>332</v>
      </c>
      <c r="P8" s="285"/>
      <c r="Q8" s="285"/>
      <c r="R8" s="285"/>
      <c r="S8" s="286"/>
      <c r="T8" s="286"/>
      <c r="U8" s="285"/>
      <c r="V8" s="285"/>
      <c r="W8" s="285"/>
      <c r="X8" s="285"/>
      <c r="Y8" s="285"/>
      <c r="Z8" s="286"/>
      <c r="AA8" s="286"/>
      <c r="AB8" s="285"/>
      <c r="AC8" s="285"/>
      <c r="AD8" s="285"/>
      <c r="AE8" s="285"/>
      <c r="AF8" s="285"/>
      <c r="AG8" s="286"/>
      <c r="AH8" s="286"/>
      <c r="AI8" s="285"/>
      <c r="AJ8" s="285" t="s">
        <v>76</v>
      </c>
      <c r="AK8" s="285"/>
      <c r="AL8" s="285"/>
      <c r="AM8" s="285"/>
      <c r="AN8" s="286"/>
      <c r="AO8" s="291"/>
    </row>
    <row r="9" spans="1:41" ht="38.25" customHeight="1">
      <c r="A9" s="292" t="s">
        <v>28</v>
      </c>
      <c r="B9" s="293" t="s">
        <v>77</v>
      </c>
      <c r="C9" s="294" t="s">
        <v>78</v>
      </c>
      <c r="D9" s="295" t="s">
        <v>79</v>
      </c>
      <c r="E9" s="296" t="s">
        <v>80</v>
      </c>
      <c r="F9" s="366">
        <v>1</v>
      </c>
      <c r="G9" s="57" t="s">
        <v>333</v>
      </c>
      <c r="H9" s="58" t="s">
        <v>299</v>
      </c>
      <c r="I9" s="58" t="s">
        <v>333</v>
      </c>
      <c r="J9" s="58" t="s">
        <v>333</v>
      </c>
      <c r="K9" s="58" t="s">
        <v>333</v>
      </c>
      <c r="L9" s="59"/>
      <c r="M9" s="59"/>
      <c r="N9" s="58" t="s">
        <v>271</v>
      </c>
      <c r="O9" s="58" t="s">
        <v>271</v>
      </c>
      <c r="P9" s="58" t="s">
        <v>271</v>
      </c>
      <c r="Q9" s="58" t="s">
        <v>271</v>
      </c>
      <c r="R9" s="58" t="s">
        <v>271</v>
      </c>
      <c r="S9" s="59"/>
      <c r="T9" s="59"/>
      <c r="U9" s="299" t="s">
        <v>25</v>
      </c>
      <c r="V9" s="299" t="s">
        <v>25</v>
      </c>
      <c r="W9" s="299" t="s">
        <v>25</v>
      </c>
      <c r="X9" s="299" t="s">
        <v>25</v>
      </c>
      <c r="Y9" s="299" t="s">
        <v>25</v>
      </c>
      <c r="Z9" s="59"/>
      <c r="AA9" s="59"/>
      <c r="AB9" s="299" t="s">
        <v>25</v>
      </c>
      <c r="AC9" s="299" t="s">
        <v>25</v>
      </c>
      <c r="AD9" s="299" t="s">
        <v>25</v>
      </c>
      <c r="AE9" s="299" t="s">
        <v>25</v>
      </c>
      <c r="AF9" s="299" t="s">
        <v>25</v>
      </c>
      <c r="AG9" s="59"/>
      <c r="AH9" s="59"/>
      <c r="AI9" s="299" t="s">
        <v>25</v>
      </c>
      <c r="AJ9" s="299" t="s">
        <v>25</v>
      </c>
      <c r="AK9" s="299" t="s">
        <v>25</v>
      </c>
      <c r="AL9" s="299" t="s">
        <v>25</v>
      </c>
      <c r="AM9" s="299" t="s">
        <v>25</v>
      </c>
      <c r="AN9" s="59"/>
      <c r="AO9" s="63"/>
    </row>
    <row r="10" spans="1:41" ht="18.75" customHeight="1">
      <c r="A10" s="417" t="s">
        <v>88</v>
      </c>
      <c r="B10" s="64" t="s">
        <v>89</v>
      </c>
      <c r="C10" s="65" t="s">
        <v>90</v>
      </c>
      <c r="D10" s="186" t="s">
        <v>91</v>
      </c>
      <c r="E10" s="187" t="s">
        <v>92</v>
      </c>
      <c r="F10" s="367">
        <v>0.5</v>
      </c>
      <c r="G10" s="69"/>
      <c r="H10" s="61"/>
      <c r="I10" s="61"/>
      <c r="J10" s="61"/>
      <c r="K10" s="61"/>
      <c r="L10" s="70"/>
      <c r="M10" s="70"/>
      <c r="N10" s="188" t="s">
        <v>23</v>
      </c>
      <c r="O10" s="188" t="s">
        <v>23</v>
      </c>
      <c r="P10" s="188" t="s">
        <v>23</v>
      </c>
      <c r="Q10" s="188" t="s">
        <v>23</v>
      </c>
      <c r="R10" s="188" t="s">
        <v>23</v>
      </c>
      <c r="S10" s="70"/>
      <c r="T10" s="70"/>
      <c r="U10" s="188" t="s">
        <v>23</v>
      </c>
      <c r="V10" s="188" t="s">
        <v>23</v>
      </c>
      <c r="W10" s="188" t="s">
        <v>23</v>
      </c>
      <c r="X10" s="188" t="s">
        <v>23</v>
      </c>
      <c r="Y10" s="188" t="s">
        <v>23</v>
      </c>
      <c r="Z10" s="70"/>
      <c r="AA10" s="70"/>
      <c r="AB10" s="188" t="s">
        <v>23</v>
      </c>
      <c r="AC10" s="188" t="s">
        <v>23</v>
      </c>
      <c r="AD10" s="188" t="s">
        <v>23</v>
      </c>
      <c r="AE10" s="188" t="s">
        <v>23</v>
      </c>
      <c r="AF10" s="188" t="s">
        <v>23</v>
      </c>
      <c r="AG10" s="70"/>
      <c r="AH10" s="70"/>
      <c r="AI10" s="188" t="s">
        <v>23</v>
      </c>
      <c r="AJ10" s="188" t="s">
        <v>23</v>
      </c>
      <c r="AK10" s="188" t="s">
        <v>23</v>
      </c>
      <c r="AL10" s="188" t="s">
        <v>23</v>
      </c>
      <c r="AM10" s="188" t="s">
        <v>23</v>
      </c>
      <c r="AN10" s="70"/>
      <c r="AO10" s="72"/>
    </row>
    <row r="11" spans="1:41" ht="18.75" customHeight="1">
      <c r="A11" s="417"/>
      <c r="B11" s="64" t="s">
        <v>94</v>
      </c>
      <c r="C11" s="65" t="s">
        <v>95</v>
      </c>
      <c r="D11" s="191" t="s">
        <v>96</v>
      </c>
      <c r="E11" s="192" t="s">
        <v>97</v>
      </c>
      <c r="F11" s="235">
        <v>1</v>
      </c>
      <c r="G11" s="76"/>
      <c r="H11" s="58"/>
      <c r="I11" s="58"/>
      <c r="J11" s="58"/>
      <c r="K11" s="58"/>
      <c r="L11" s="59"/>
      <c r="M11" s="59"/>
      <c r="N11" s="58"/>
      <c r="O11" s="58"/>
      <c r="P11" s="58"/>
      <c r="Q11" s="58"/>
      <c r="R11" s="58"/>
      <c r="S11" s="59"/>
      <c r="T11" s="59"/>
      <c r="U11" s="58"/>
      <c r="V11" s="58"/>
      <c r="W11" s="58"/>
      <c r="X11" s="58"/>
      <c r="Y11" s="58"/>
      <c r="Z11" s="59"/>
      <c r="AA11" s="59"/>
      <c r="AB11" s="61"/>
      <c r="AC11" s="61"/>
      <c r="AD11" s="61"/>
      <c r="AE11" s="61"/>
      <c r="AF11" s="61"/>
      <c r="AG11" s="59"/>
      <c r="AH11" s="59"/>
      <c r="AI11" s="61"/>
      <c r="AJ11" s="61"/>
      <c r="AK11" s="61"/>
      <c r="AL11" s="61"/>
      <c r="AM11" s="61"/>
      <c r="AN11" s="59"/>
      <c r="AO11" s="63"/>
    </row>
    <row r="12" spans="1:41" ht="18.75" customHeight="1">
      <c r="A12" s="417"/>
      <c r="B12" s="64" t="s">
        <v>98</v>
      </c>
      <c r="C12" s="65" t="s">
        <v>99</v>
      </c>
      <c r="D12" s="193" t="s">
        <v>100</v>
      </c>
      <c r="E12" s="194" t="s">
        <v>101</v>
      </c>
      <c r="F12" s="235">
        <v>1</v>
      </c>
      <c r="G12" s="69"/>
      <c r="H12" s="61"/>
      <c r="I12" s="61"/>
      <c r="J12" s="61"/>
      <c r="K12" s="61"/>
      <c r="L12" s="70"/>
      <c r="M12" s="70"/>
      <c r="N12" s="61"/>
      <c r="O12" s="61"/>
      <c r="P12" s="61"/>
      <c r="Q12" s="58"/>
      <c r="R12" s="58"/>
      <c r="S12" s="59"/>
      <c r="T12" s="59"/>
      <c r="U12" s="61"/>
      <c r="V12" s="61"/>
      <c r="W12" s="58"/>
      <c r="X12" s="58"/>
      <c r="Y12" s="61"/>
      <c r="Z12" s="59"/>
      <c r="AA12" s="70"/>
      <c r="AB12" s="61"/>
      <c r="AC12" s="58"/>
      <c r="AD12" s="61"/>
      <c r="AE12" s="61"/>
      <c r="AF12" s="61"/>
      <c r="AG12" s="59"/>
      <c r="AH12" s="70"/>
      <c r="AI12" s="61"/>
      <c r="AJ12" s="58"/>
      <c r="AK12" s="61"/>
      <c r="AL12" s="61"/>
      <c r="AM12" s="61"/>
      <c r="AN12" s="59"/>
      <c r="AO12" s="72"/>
    </row>
    <row r="13" spans="1:41" ht="18.75" customHeight="1">
      <c r="A13" s="417"/>
      <c r="B13" s="64" t="s">
        <v>102</v>
      </c>
      <c r="C13" s="65" t="s">
        <v>103</v>
      </c>
      <c r="D13" s="193" t="s">
        <v>104</v>
      </c>
      <c r="E13" s="194" t="s">
        <v>105</v>
      </c>
      <c r="F13" s="235">
        <v>0.8</v>
      </c>
      <c r="G13" s="195" t="s">
        <v>23</v>
      </c>
      <c r="H13" s="188" t="s">
        <v>23</v>
      </c>
      <c r="I13" s="188" t="s">
        <v>23</v>
      </c>
      <c r="J13" s="188" t="s">
        <v>23</v>
      </c>
      <c r="K13" s="188" t="s">
        <v>23</v>
      </c>
      <c r="L13" s="59"/>
      <c r="M13" s="70"/>
      <c r="N13" s="61"/>
      <c r="O13" s="61"/>
      <c r="P13" s="58"/>
      <c r="Q13" s="61"/>
      <c r="R13" s="58"/>
      <c r="S13" s="59"/>
      <c r="T13" s="59"/>
      <c r="U13" s="61"/>
      <c r="V13" s="61"/>
      <c r="W13" s="61"/>
      <c r="X13" s="62" t="s">
        <v>106</v>
      </c>
      <c r="Y13" s="62" t="s">
        <v>106</v>
      </c>
      <c r="Z13" s="59"/>
      <c r="AA13" s="70"/>
      <c r="AB13" s="61"/>
      <c r="AC13" s="61"/>
      <c r="AD13" s="61"/>
      <c r="AE13" s="61"/>
      <c r="AF13" s="61"/>
      <c r="AG13" s="59"/>
      <c r="AH13" s="70"/>
      <c r="AI13" s="61"/>
      <c r="AJ13" s="61"/>
      <c r="AK13" s="62" t="s">
        <v>106</v>
      </c>
      <c r="AL13" s="61"/>
      <c r="AM13" s="61"/>
      <c r="AN13" s="59"/>
      <c r="AO13" s="72"/>
    </row>
    <row r="14" spans="1:41" ht="18.75" customHeight="1">
      <c r="A14" s="417"/>
      <c r="B14" s="64" t="s">
        <v>107</v>
      </c>
      <c r="C14" s="65" t="s">
        <v>108</v>
      </c>
      <c r="D14" s="193" t="s">
        <v>109</v>
      </c>
      <c r="E14" s="194" t="s">
        <v>110</v>
      </c>
      <c r="F14" s="235">
        <v>1</v>
      </c>
      <c r="G14" s="355" t="s">
        <v>25</v>
      </c>
      <c r="H14" s="303" t="s">
        <v>25</v>
      </c>
      <c r="I14" s="303" t="s">
        <v>25</v>
      </c>
      <c r="J14" s="303" t="s">
        <v>25</v>
      </c>
      <c r="K14" s="303" t="s">
        <v>25</v>
      </c>
      <c r="L14" s="70"/>
      <c r="M14" s="70"/>
      <c r="N14" s="303" t="s">
        <v>25</v>
      </c>
      <c r="O14" s="303" t="s">
        <v>25</v>
      </c>
      <c r="P14" s="303" t="s">
        <v>25</v>
      </c>
      <c r="Q14" s="303" t="s">
        <v>25</v>
      </c>
      <c r="R14" s="303" t="s">
        <v>25</v>
      </c>
      <c r="S14" s="59"/>
      <c r="T14" s="59"/>
      <c r="U14" s="61"/>
      <c r="V14" s="61"/>
      <c r="W14" s="61"/>
      <c r="X14" s="58"/>
      <c r="Y14" s="61"/>
      <c r="Z14" s="59"/>
      <c r="AA14" s="70"/>
      <c r="AB14" s="61"/>
      <c r="AC14" s="61"/>
      <c r="AD14" s="58"/>
      <c r="AE14" s="61"/>
      <c r="AF14" s="61"/>
      <c r="AG14" s="59"/>
      <c r="AH14" s="70"/>
      <c r="AI14" s="61"/>
      <c r="AJ14" s="61"/>
      <c r="AK14" s="58"/>
      <c r="AL14" s="61"/>
      <c r="AM14" s="61"/>
      <c r="AN14" s="59"/>
      <c r="AO14" s="72"/>
    </row>
    <row r="15" spans="1:41" ht="18.75" customHeight="1">
      <c r="A15" s="417"/>
      <c r="B15" s="64" t="s">
        <v>111</v>
      </c>
      <c r="C15" s="65" t="s">
        <v>112</v>
      </c>
      <c r="D15" s="193" t="s">
        <v>113</v>
      </c>
      <c r="E15" s="194" t="s">
        <v>114</v>
      </c>
      <c r="F15" s="235">
        <v>1</v>
      </c>
      <c r="G15" s="69"/>
      <c r="H15" s="61"/>
      <c r="I15" s="61"/>
      <c r="J15" s="61"/>
      <c r="K15" s="61"/>
      <c r="L15" s="59"/>
      <c r="M15" s="70"/>
      <c r="N15" s="61"/>
      <c r="O15" s="61"/>
      <c r="P15" s="61"/>
      <c r="Q15" s="58"/>
      <c r="R15" s="58"/>
      <c r="S15" s="59"/>
      <c r="T15" s="59"/>
      <c r="U15" s="61"/>
      <c r="V15" s="61"/>
      <c r="W15" s="61"/>
      <c r="X15" s="61"/>
      <c r="Y15" s="61"/>
      <c r="Z15" s="59"/>
      <c r="AA15" s="70"/>
      <c r="AB15" s="61"/>
      <c r="AC15" s="61"/>
      <c r="AD15" s="61"/>
      <c r="AE15" s="61"/>
      <c r="AF15" s="58"/>
      <c r="AG15" s="59"/>
      <c r="AH15" s="70"/>
      <c r="AI15" s="61"/>
      <c r="AJ15" s="61"/>
      <c r="AK15" s="61"/>
      <c r="AL15" s="61"/>
      <c r="AM15" s="58"/>
      <c r="AN15" s="59"/>
      <c r="AO15" s="72"/>
    </row>
    <row r="16" spans="1:41" ht="18.75" customHeight="1">
      <c r="A16" s="417"/>
      <c r="B16" s="64" t="s">
        <v>116</v>
      </c>
      <c r="C16" s="65" t="s">
        <v>117</v>
      </c>
      <c r="D16" s="193" t="s">
        <v>118</v>
      </c>
      <c r="E16" s="194" t="s">
        <v>119</v>
      </c>
      <c r="F16" s="235">
        <v>1</v>
      </c>
      <c r="G16" s="69"/>
      <c r="H16" s="61"/>
      <c r="I16" s="61"/>
      <c r="J16" s="58"/>
      <c r="K16" s="61"/>
      <c r="L16" s="70"/>
      <c r="M16" s="70"/>
      <c r="N16" s="61"/>
      <c r="O16" s="61"/>
      <c r="P16" s="61"/>
      <c r="Q16" s="58"/>
      <c r="R16" s="58"/>
      <c r="S16" s="59"/>
      <c r="T16" s="59"/>
      <c r="U16" s="61"/>
      <c r="V16" s="61"/>
      <c r="W16" s="61"/>
      <c r="X16" s="61"/>
      <c r="Y16" s="58"/>
      <c r="Z16" s="59"/>
      <c r="AA16" s="70"/>
      <c r="AB16" s="61"/>
      <c r="AC16" s="61"/>
      <c r="AD16" s="61"/>
      <c r="AE16" s="58"/>
      <c r="AF16" s="61"/>
      <c r="AG16" s="59"/>
      <c r="AH16" s="70"/>
      <c r="AI16" s="61"/>
      <c r="AJ16" s="61"/>
      <c r="AK16" s="61"/>
      <c r="AL16" s="58"/>
      <c r="AM16" s="61"/>
      <c r="AN16" s="59"/>
      <c r="AO16" s="72"/>
    </row>
    <row r="17" spans="1:41" ht="18.75" customHeight="1">
      <c r="A17" s="417"/>
      <c r="B17" s="64" t="s">
        <v>120</v>
      </c>
      <c r="C17" s="65" t="s">
        <v>121</v>
      </c>
      <c r="D17" s="193" t="s">
        <v>122</v>
      </c>
      <c r="E17" s="194" t="s">
        <v>123</v>
      </c>
      <c r="F17" s="235">
        <v>1</v>
      </c>
      <c r="G17" s="69"/>
      <c r="H17" s="61"/>
      <c r="I17" s="61"/>
      <c r="J17" s="61"/>
      <c r="K17" s="61"/>
      <c r="L17" s="59"/>
      <c r="M17" s="70"/>
      <c r="N17" s="61"/>
      <c r="O17" s="61"/>
      <c r="P17" s="61"/>
      <c r="Q17" s="58"/>
      <c r="R17" s="58"/>
      <c r="S17" s="59"/>
      <c r="T17" s="59"/>
      <c r="U17" s="61"/>
      <c r="V17" s="61"/>
      <c r="W17" s="61"/>
      <c r="X17" s="58"/>
      <c r="Y17" s="61"/>
      <c r="Z17" s="59"/>
      <c r="AA17" s="70"/>
      <c r="AB17" s="58"/>
      <c r="AC17" s="61"/>
      <c r="AD17" s="61"/>
      <c r="AE17" s="61"/>
      <c r="AF17" s="61"/>
      <c r="AG17" s="59"/>
      <c r="AH17" s="70"/>
      <c r="AI17" s="58"/>
      <c r="AJ17" s="61"/>
      <c r="AK17" s="61"/>
      <c r="AL17" s="61"/>
      <c r="AM17" s="61"/>
      <c r="AN17" s="59"/>
      <c r="AO17" s="72"/>
    </row>
    <row r="18" spans="1:41" ht="18.75" customHeight="1">
      <c r="A18" s="417"/>
      <c r="B18" s="64" t="s">
        <v>124</v>
      </c>
      <c r="C18" s="65" t="s">
        <v>125</v>
      </c>
      <c r="D18" s="193" t="s">
        <v>126</v>
      </c>
      <c r="E18" s="194" t="s">
        <v>127</v>
      </c>
      <c r="F18" s="235">
        <v>1</v>
      </c>
      <c r="G18" s="69"/>
      <c r="H18" s="61"/>
      <c r="I18" s="61"/>
      <c r="J18" s="61"/>
      <c r="K18" s="58"/>
      <c r="L18" s="70"/>
      <c r="M18" s="70"/>
      <c r="N18" s="61"/>
      <c r="O18" s="61"/>
      <c r="P18" s="61"/>
      <c r="Q18" s="58"/>
      <c r="R18" s="58"/>
      <c r="S18" s="59"/>
      <c r="T18" s="59"/>
      <c r="U18" s="58"/>
      <c r="V18" s="58"/>
      <c r="W18" s="61"/>
      <c r="X18" s="61"/>
      <c r="Y18" s="61"/>
      <c r="Z18" s="59"/>
      <c r="AA18" s="70"/>
      <c r="AB18" s="61"/>
      <c r="AC18" s="61"/>
      <c r="AD18" s="61"/>
      <c r="AE18" s="61"/>
      <c r="AF18" s="58"/>
      <c r="AG18" s="59"/>
      <c r="AH18" s="70"/>
      <c r="AI18" s="61"/>
      <c r="AJ18" s="61"/>
      <c r="AK18" s="61"/>
      <c r="AL18" s="61"/>
      <c r="AM18" s="58"/>
      <c r="AN18" s="59"/>
      <c r="AO18" s="72"/>
    </row>
    <row r="19" spans="1:41" ht="18.75" customHeight="1">
      <c r="A19" s="417"/>
      <c r="B19" s="64" t="s">
        <v>129</v>
      </c>
      <c r="C19" s="65" t="s">
        <v>130</v>
      </c>
      <c r="D19" s="196" t="s">
        <v>131</v>
      </c>
      <c r="E19" s="197" t="s">
        <v>132</v>
      </c>
      <c r="F19" s="235">
        <v>1</v>
      </c>
      <c r="G19" s="91"/>
      <c r="H19" s="88"/>
      <c r="I19" s="88"/>
      <c r="J19" s="88"/>
      <c r="K19" s="58"/>
      <c r="L19" s="87"/>
      <c r="M19" s="87"/>
      <c r="N19" s="88"/>
      <c r="O19" s="88"/>
      <c r="P19" s="88"/>
      <c r="Q19" s="58"/>
      <c r="R19" s="58"/>
      <c r="S19" s="59"/>
      <c r="T19" s="59"/>
      <c r="U19" s="188" t="s">
        <v>23</v>
      </c>
      <c r="V19" s="188" t="s">
        <v>23</v>
      </c>
      <c r="W19" s="188" t="s">
        <v>23</v>
      </c>
      <c r="X19" s="188" t="s">
        <v>23</v>
      </c>
      <c r="Y19" s="188" t="s">
        <v>23</v>
      </c>
      <c r="Z19" s="59"/>
      <c r="AA19" s="70"/>
      <c r="AB19" s="61"/>
      <c r="AC19" s="61"/>
      <c r="AD19" s="61"/>
      <c r="AE19" s="61"/>
      <c r="AF19" s="58"/>
      <c r="AG19" s="59"/>
      <c r="AH19" s="87"/>
      <c r="AI19" s="61"/>
      <c r="AJ19" s="61"/>
      <c r="AK19" s="61"/>
      <c r="AL19" s="61"/>
      <c r="AM19" s="58"/>
      <c r="AN19" s="59"/>
      <c r="AO19" s="90"/>
    </row>
    <row r="20" spans="1:41" ht="18.75" customHeight="1">
      <c r="A20" s="417"/>
      <c r="B20" s="64" t="s">
        <v>133</v>
      </c>
      <c r="C20" s="65" t="s">
        <v>134</v>
      </c>
      <c r="D20" s="196" t="s">
        <v>135</v>
      </c>
      <c r="E20" s="197" t="s">
        <v>136</v>
      </c>
      <c r="F20" s="235">
        <v>1</v>
      </c>
      <c r="G20" s="91"/>
      <c r="H20" s="88"/>
      <c r="I20" s="88"/>
      <c r="J20" s="88"/>
      <c r="K20" s="58"/>
      <c r="L20" s="87"/>
      <c r="M20" s="87"/>
      <c r="N20" s="88"/>
      <c r="O20" s="88"/>
      <c r="P20" s="88"/>
      <c r="Q20" s="58"/>
      <c r="R20" s="58"/>
      <c r="S20" s="59"/>
      <c r="T20" s="59"/>
      <c r="U20" s="58"/>
      <c r="V20" s="58"/>
      <c r="W20" s="61"/>
      <c r="X20" s="61"/>
      <c r="Y20" s="61"/>
      <c r="Z20" s="59"/>
      <c r="AA20" s="70"/>
      <c r="AB20" s="303" t="s">
        <v>25</v>
      </c>
      <c r="AC20" s="303" t="s">
        <v>25</v>
      </c>
      <c r="AD20" s="303" t="s">
        <v>25</v>
      </c>
      <c r="AE20" s="303" t="s">
        <v>25</v>
      </c>
      <c r="AF20" s="303" t="s">
        <v>25</v>
      </c>
      <c r="AG20" s="59"/>
      <c r="AH20" s="87"/>
      <c r="AI20" s="303" t="s">
        <v>25</v>
      </c>
      <c r="AJ20" s="303" t="s">
        <v>25</v>
      </c>
      <c r="AK20" s="303" t="s">
        <v>25</v>
      </c>
      <c r="AL20" s="303" t="s">
        <v>25</v>
      </c>
      <c r="AM20" s="303" t="s">
        <v>25</v>
      </c>
      <c r="AN20" s="59"/>
      <c r="AO20" s="90"/>
    </row>
    <row r="21" spans="1:41" ht="18.75" customHeight="1">
      <c r="A21" s="417"/>
      <c r="B21" s="64" t="s">
        <v>137</v>
      </c>
      <c r="C21" s="65" t="s">
        <v>138</v>
      </c>
      <c r="D21" s="196" t="s">
        <v>139</v>
      </c>
      <c r="E21" s="197" t="s">
        <v>140</v>
      </c>
      <c r="F21" s="235">
        <v>1</v>
      </c>
      <c r="G21" s="91"/>
      <c r="H21" s="88"/>
      <c r="I21" s="88"/>
      <c r="J21" s="88"/>
      <c r="K21" s="58"/>
      <c r="L21" s="87"/>
      <c r="M21" s="87"/>
      <c r="N21" s="88"/>
      <c r="O21" s="88"/>
      <c r="P21" s="88"/>
      <c r="Q21" s="58"/>
      <c r="R21" s="58"/>
      <c r="S21" s="59"/>
      <c r="T21" s="59"/>
      <c r="U21" s="58"/>
      <c r="V21" s="58"/>
      <c r="W21" s="61"/>
      <c r="X21" s="61"/>
      <c r="Y21" s="61"/>
      <c r="Z21" s="59"/>
      <c r="AA21" s="70"/>
      <c r="AB21" s="61"/>
      <c r="AC21" s="61"/>
      <c r="AD21" s="61"/>
      <c r="AE21" s="61"/>
      <c r="AF21" s="58"/>
      <c r="AG21" s="59"/>
      <c r="AH21" s="87"/>
      <c r="AI21" s="61"/>
      <c r="AJ21" s="61"/>
      <c r="AK21" s="61"/>
      <c r="AL21" s="61"/>
      <c r="AM21" s="58"/>
      <c r="AN21" s="59"/>
      <c r="AO21" s="90"/>
    </row>
    <row r="22" spans="1:41" ht="18.75" customHeight="1">
      <c r="A22" s="417"/>
      <c r="B22" s="64" t="s">
        <v>141</v>
      </c>
      <c r="C22" s="65" t="s">
        <v>142</v>
      </c>
      <c r="D22" s="196" t="s">
        <v>143</v>
      </c>
      <c r="E22" s="197" t="s">
        <v>144</v>
      </c>
      <c r="F22" s="235">
        <v>1</v>
      </c>
      <c r="G22" s="91"/>
      <c r="H22" s="88"/>
      <c r="I22" s="88"/>
      <c r="J22" s="88"/>
      <c r="K22" s="92"/>
      <c r="L22" s="87"/>
      <c r="M22" s="87"/>
      <c r="N22" s="88"/>
      <c r="O22" s="88"/>
      <c r="P22" s="88"/>
      <c r="Q22" s="92"/>
      <c r="R22" s="92"/>
      <c r="S22" s="94"/>
      <c r="T22" s="94"/>
      <c r="U22" s="334" t="s">
        <v>25</v>
      </c>
      <c r="V22" s="334" t="s">
        <v>25</v>
      </c>
      <c r="W22" s="334" t="s">
        <v>25</v>
      </c>
      <c r="X22" s="334" t="s">
        <v>25</v>
      </c>
      <c r="Y22" s="334" t="s">
        <v>25</v>
      </c>
      <c r="Z22" s="94"/>
      <c r="AA22" s="87"/>
      <c r="AB22" s="88"/>
      <c r="AC22" s="88"/>
      <c r="AD22" s="88"/>
      <c r="AE22" s="88"/>
      <c r="AF22" s="92"/>
      <c r="AG22" s="94"/>
      <c r="AH22" s="87"/>
      <c r="AI22" s="88"/>
      <c r="AJ22" s="88"/>
      <c r="AK22" s="88"/>
      <c r="AL22" s="88"/>
      <c r="AM22" s="92"/>
      <c r="AN22" s="94"/>
      <c r="AO22" s="90"/>
    </row>
    <row r="23" spans="1:41" ht="18.75" customHeight="1">
      <c r="A23" s="417"/>
      <c r="B23" s="64" t="s">
        <v>146</v>
      </c>
      <c r="C23" s="65"/>
      <c r="D23" s="95" t="s">
        <v>147</v>
      </c>
      <c r="E23" s="85" t="s">
        <v>148</v>
      </c>
      <c r="F23" s="235">
        <v>1</v>
      </c>
      <c r="G23" s="242">
        <v>8008</v>
      </c>
      <c r="H23" s="244" t="s">
        <v>334</v>
      </c>
      <c r="I23" s="99">
        <v>8008</v>
      </c>
      <c r="J23" s="99">
        <v>8008</v>
      </c>
      <c r="K23" s="99">
        <v>8008</v>
      </c>
      <c r="L23" s="98"/>
      <c r="M23" s="98"/>
      <c r="N23" s="99"/>
      <c r="O23" s="99"/>
      <c r="P23" s="99"/>
      <c r="Q23" s="99"/>
      <c r="R23" s="99"/>
      <c r="S23" s="98"/>
      <c r="T23" s="98"/>
      <c r="U23" s="99"/>
      <c r="V23" s="99"/>
      <c r="W23" s="99"/>
      <c r="X23" s="99"/>
      <c r="Y23" s="99"/>
      <c r="Z23" s="98"/>
      <c r="AA23" s="98"/>
      <c r="AB23" s="99"/>
      <c r="AC23" s="99"/>
      <c r="AD23" s="99"/>
      <c r="AE23" s="99"/>
      <c r="AF23" s="99"/>
      <c r="AG23" s="98"/>
      <c r="AH23" s="98"/>
      <c r="AI23" s="99"/>
      <c r="AJ23" s="99"/>
      <c r="AK23" s="99"/>
      <c r="AL23" s="99"/>
      <c r="AM23" s="99"/>
      <c r="AN23" s="98"/>
      <c r="AO23" s="100"/>
    </row>
    <row r="24" spans="1:41" ht="18.75" customHeight="1">
      <c r="A24" s="417"/>
      <c r="B24" s="101" t="s">
        <v>150</v>
      </c>
      <c r="C24" s="65"/>
      <c r="D24" s="84" t="s">
        <v>151</v>
      </c>
      <c r="E24" s="85" t="s">
        <v>152</v>
      </c>
      <c r="F24" s="247">
        <v>1</v>
      </c>
      <c r="G24" s="91" t="s">
        <v>335</v>
      </c>
      <c r="H24" s="88" t="s">
        <v>335</v>
      </c>
      <c r="I24" s="88" t="s">
        <v>335</v>
      </c>
      <c r="J24" s="88" t="s">
        <v>335</v>
      </c>
      <c r="K24" s="88" t="s">
        <v>335</v>
      </c>
      <c r="L24" s="87"/>
      <c r="M24" s="87"/>
      <c r="N24" s="88" t="s">
        <v>335</v>
      </c>
      <c r="O24" s="88" t="s">
        <v>335</v>
      </c>
      <c r="P24" s="88" t="s">
        <v>335</v>
      </c>
      <c r="Q24" s="88" t="s">
        <v>335</v>
      </c>
      <c r="R24" s="88" t="s">
        <v>335</v>
      </c>
      <c r="S24" s="87"/>
      <c r="T24" s="87"/>
      <c r="U24" s="126"/>
      <c r="V24" s="126"/>
      <c r="W24" s="126"/>
      <c r="X24" s="126"/>
      <c r="Y24" s="126" t="s">
        <v>285</v>
      </c>
      <c r="Z24" s="87"/>
      <c r="AA24" s="87"/>
      <c r="AB24" s="88" t="s">
        <v>284</v>
      </c>
      <c r="AC24" s="88" t="s">
        <v>284</v>
      </c>
      <c r="AD24" s="88" t="s">
        <v>284</v>
      </c>
      <c r="AE24" s="88" t="s">
        <v>284</v>
      </c>
      <c r="AF24" s="88" t="s">
        <v>284</v>
      </c>
      <c r="AG24" s="87"/>
      <c r="AH24" s="87"/>
      <c r="AI24" s="88" t="s">
        <v>284</v>
      </c>
      <c r="AJ24" s="88" t="s">
        <v>284</v>
      </c>
      <c r="AK24" s="88" t="s">
        <v>284</v>
      </c>
      <c r="AL24" s="88" t="s">
        <v>284</v>
      </c>
      <c r="AM24" s="88" t="s">
        <v>284</v>
      </c>
      <c r="AN24" s="87"/>
      <c r="AO24" s="90"/>
    </row>
    <row r="25" spans="1:41" ht="18.75" customHeight="1">
      <c r="A25" s="430" t="s">
        <v>156</v>
      </c>
      <c r="B25" s="108" t="s">
        <v>157</v>
      </c>
      <c r="C25" s="109" t="s">
        <v>158</v>
      </c>
      <c r="D25" s="110" t="s">
        <v>159</v>
      </c>
      <c r="E25" s="111" t="s">
        <v>160</v>
      </c>
      <c r="F25" s="367">
        <v>1</v>
      </c>
      <c r="G25" s="368" t="s">
        <v>25</v>
      </c>
      <c r="H25" s="287" t="s">
        <v>25</v>
      </c>
      <c r="I25" s="287" t="s">
        <v>25</v>
      </c>
      <c r="J25" s="287" t="s">
        <v>25</v>
      </c>
      <c r="K25" s="287" t="s">
        <v>25</v>
      </c>
      <c r="L25" s="115"/>
      <c r="M25" s="116"/>
      <c r="N25" s="114" t="s">
        <v>157</v>
      </c>
      <c r="O25" s="114" t="s">
        <v>157</v>
      </c>
      <c r="P25" s="114" t="s">
        <v>157</v>
      </c>
      <c r="Q25" s="114" t="s">
        <v>157</v>
      </c>
      <c r="R25" s="114" t="s">
        <v>157</v>
      </c>
      <c r="S25" s="116"/>
      <c r="T25" s="116"/>
      <c r="U25" s="114" t="s">
        <v>157</v>
      </c>
      <c r="V25" s="114" t="s">
        <v>157</v>
      </c>
      <c r="W25" s="114" t="s">
        <v>157</v>
      </c>
      <c r="X25" s="114" t="s">
        <v>157</v>
      </c>
      <c r="Y25" s="114" t="s">
        <v>157</v>
      </c>
      <c r="Z25" s="115"/>
      <c r="AA25" s="116"/>
      <c r="AB25" s="114" t="s">
        <v>157</v>
      </c>
      <c r="AC25" s="114" t="s">
        <v>157</v>
      </c>
      <c r="AD25" s="114" t="s">
        <v>157</v>
      </c>
      <c r="AE25" s="114" t="s">
        <v>157</v>
      </c>
      <c r="AF25" s="114" t="s">
        <v>157</v>
      </c>
      <c r="AG25" s="116"/>
      <c r="AH25" s="116"/>
      <c r="AI25" s="114" t="s">
        <v>157</v>
      </c>
      <c r="AJ25" s="114" t="s">
        <v>157</v>
      </c>
      <c r="AK25" s="114" t="s">
        <v>157</v>
      </c>
      <c r="AL25" s="114" t="s">
        <v>157</v>
      </c>
      <c r="AM25" s="114" t="s">
        <v>157</v>
      </c>
      <c r="AN25" s="116"/>
      <c r="AO25" s="117"/>
    </row>
    <row r="26" spans="1:41" ht="18.75" customHeight="1">
      <c r="A26" s="430"/>
      <c r="B26" s="118" t="s">
        <v>161</v>
      </c>
      <c r="C26" s="119" t="s">
        <v>158</v>
      </c>
      <c r="D26" s="120" t="s">
        <v>162</v>
      </c>
      <c r="E26" s="121" t="s">
        <v>163</v>
      </c>
      <c r="F26" s="235">
        <v>1</v>
      </c>
      <c r="G26" s="91" t="s">
        <v>161</v>
      </c>
      <c r="H26" s="88" t="s">
        <v>161</v>
      </c>
      <c r="I26" s="88" t="s">
        <v>161</v>
      </c>
      <c r="J26" s="88" t="s">
        <v>161</v>
      </c>
      <c r="K26" s="88" t="s">
        <v>161</v>
      </c>
      <c r="L26" s="70"/>
      <c r="M26" s="94"/>
      <c r="N26" s="88" t="s">
        <v>161</v>
      </c>
      <c r="O26" s="88" t="s">
        <v>161</v>
      </c>
      <c r="P26" s="88" t="s">
        <v>161</v>
      </c>
      <c r="Q26" s="88" t="s">
        <v>161</v>
      </c>
      <c r="R26" s="88" t="s">
        <v>161</v>
      </c>
      <c r="S26" s="70"/>
      <c r="T26" s="94"/>
      <c r="U26" s="88" t="s">
        <v>161</v>
      </c>
      <c r="V26" s="88" t="s">
        <v>161</v>
      </c>
      <c r="W26" s="88" t="s">
        <v>161</v>
      </c>
      <c r="X26" s="88" t="s">
        <v>161</v>
      </c>
      <c r="Y26" s="88" t="s">
        <v>161</v>
      </c>
      <c r="Z26" s="70"/>
      <c r="AA26" s="94"/>
      <c r="AB26" s="88" t="s">
        <v>161</v>
      </c>
      <c r="AC26" s="88" t="s">
        <v>161</v>
      </c>
      <c r="AD26" s="88" t="s">
        <v>161</v>
      </c>
      <c r="AE26" s="88" t="s">
        <v>161</v>
      </c>
      <c r="AF26" s="88" t="s">
        <v>161</v>
      </c>
      <c r="AG26" s="70"/>
      <c r="AH26" s="94"/>
      <c r="AI26" s="88" t="s">
        <v>161</v>
      </c>
      <c r="AJ26" s="88" t="s">
        <v>161</v>
      </c>
      <c r="AK26" s="88" t="s">
        <v>161</v>
      </c>
      <c r="AL26" s="88" t="s">
        <v>161</v>
      </c>
      <c r="AM26" s="88" t="s">
        <v>161</v>
      </c>
      <c r="AN26" s="70"/>
      <c r="AO26" s="124"/>
    </row>
    <row r="27" spans="1:41" ht="18.75" customHeight="1">
      <c r="A27" s="430"/>
      <c r="B27" s="118" t="s">
        <v>164</v>
      </c>
      <c r="C27" s="119" t="s">
        <v>158</v>
      </c>
      <c r="D27" s="119" t="s">
        <v>165</v>
      </c>
      <c r="E27" s="125" t="s">
        <v>105</v>
      </c>
      <c r="F27" s="235">
        <v>1</v>
      </c>
      <c r="G27" s="91" t="s">
        <v>157</v>
      </c>
      <c r="H27" s="88" t="s">
        <v>157</v>
      </c>
      <c r="I27" s="88" t="s">
        <v>161</v>
      </c>
      <c r="J27" s="88" t="s">
        <v>336</v>
      </c>
      <c r="K27" s="88" t="s">
        <v>337</v>
      </c>
      <c r="L27" s="70"/>
      <c r="M27" s="87"/>
      <c r="N27" s="334" t="s">
        <v>25</v>
      </c>
      <c r="O27" s="334" t="s">
        <v>25</v>
      </c>
      <c r="P27" s="334" t="s">
        <v>25</v>
      </c>
      <c r="Q27" s="334" t="s">
        <v>25</v>
      </c>
      <c r="R27" s="334" t="s">
        <v>25</v>
      </c>
      <c r="S27" s="70"/>
      <c r="T27" s="87"/>
      <c r="U27" s="334" t="s">
        <v>25</v>
      </c>
      <c r="V27" s="334" t="s">
        <v>25</v>
      </c>
      <c r="W27" s="334" t="s">
        <v>25</v>
      </c>
      <c r="X27" s="334" t="s">
        <v>25</v>
      </c>
      <c r="Y27" s="334" t="s">
        <v>25</v>
      </c>
      <c r="Z27" s="70"/>
      <c r="AA27" s="87"/>
      <c r="AB27" s="334" t="s">
        <v>25</v>
      </c>
      <c r="AC27" s="334" t="s">
        <v>25</v>
      </c>
      <c r="AD27" s="334" t="s">
        <v>25</v>
      </c>
      <c r="AE27" s="334" t="s">
        <v>25</v>
      </c>
      <c r="AF27" s="334" t="s">
        <v>25</v>
      </c>
      <c r="AG27" s="70"/>
      <c r="AH27" s="87"/>
      <c r="AI27" s="88"/>
      <c r="AJ27" s="88"/>
      <c r="AK27" s="88"/>
      <c r="AL27" s="88"/>
      <c r="AM27" s="88"/>
      <c r="AN27" s="70"/>
      <c r="AO27" s="90"/>
    </row>
    <row r="28" spans="1:41" ht="18.75" customHeight="1">
      <c r="A28" s="430"/>
      <c r="B28" s="127" t="s">
        <v>170</v>
      </c>
      <c r="C28" s="128" t="s">
        <v>158</v>
      </c>
      <c r="D28" s="128" t="s">
        <v>171</v>
      </c>
      <c r="E28" s="129" t="s">
        <v>172</v>
      </c>
      <c r="F28" s="369">
        <v>1</v>
      </c>
      <c r="G28" s="358" t="s">
        <v>25</v>
      </c>
      <c r="H28" s="334" t="s">
        <v>25</v>
      </c>
      <c r="I28" s="334" t="s">
        <v>25</v>
      </c>
      <c r="J28" s="334" t="s">
        <v>25</v>
      </c>
      <c r="K28" s="334" t="s">
        <v>25</v>
      </c>
      <c r="L28" s="87"/>
      <c r="M28" s="87"/>
      <c r="N28" s="334" t="s">
        <v>25</v>
      </c>
      <c r="O28" s="334" t="s">
        <v>25</v>
      </c>
      <c r="P28" s="334" t="s">
        <v>25</v>
      </c>
      <c r="Q28" s="334" t="s">
        <v>25</v>
      </c>
      <c r="R28" s="334" t="s">
        <v>25</v>
      </c>
      <c r="S28" s="87"/>
      <c r="T28" s="87"/>
      <c r="U28" s="88" t="s">
        <v>271</v>
      </c>
      <c r="V28" s="88" t="s">
        <v>271</v>
      </c>
      <c r="W28" s="88" t="s">
        <v>271</v>
      </c>
      <c r="X28" s="88" t="s">
        <v>271</v>
      </c>
      <c r="Y28" s="88" t="s">
        <v>271</v>
      </c>
      <c r="Z28" s="87"/>
      <c r="AA28" s="87"/>
      <c r="AB28" s="88" t="s">
        <v>271</v>
      </c>
      <c r="AC28" s="88" t="s">
        <v>271</v>
      </c>
      <c r="AD28" s="88" t="s">
        <v>271</v>
      </c>
      <c r="AE28" s="88" t="s">
        <v>271</v>
      </c>
      <c r="AF28" s="88" t="s">
        <v>271</v>
      </c>
      <c r="AG28" s="87"/>
      <c r="AH28" s="87"/>
      <c r="AI28" s="88"/>
      <c r="AJ28" s="88" t="s">
        <v>255</v>
      </c>
      <c r="AK28" s="88"/>
      <c r="AL28" s="88"/>
      <c r="AM28" s="88"/>
      <c r="AN28" s="87"/>
      <c r="AO28" s="90"/>
    </row>
    <row r="29" spans="1:41" ht="18.75" customHeight="1">
      <c r="A29" s="431" t="s">
        <v>174</v>
      </c>
      <c r="B29" s="431"/>
      <c r="C29" s="431"/>
      <c r="D29" s="431"/>
      <c r="E29" s="431"/>
      <c r="F29" s="367">
        <v>1</v>
      </c>
      <c r="G29" s="133"/>
      <c r="H29" s="134"/>
      <c r="I29" s="134"/>
      <c r="J29" s="135"/>
      <c r="K29" s="134"/>
      <c r="L29" s="116"/>
      <c r="M29" s="116"/>
      <c r="N29" s="134"/>
      <c r="O29" s="134"/>
      <c r="P29" s="134"/>
      <c r="Q29" s="134"/>
      <c r="R29" s="134"/>
      <c r="S29" s="116"/>
      <c r="T29" s="116"/>
      <c r="U29" s="134"/>
      <c r="V29" s="134"/>
      <c r="W29" s="134"/>
      <c r="X29" s="134"/>
      <c r="Y29" s="134"/>
      <c r="Z29" s="116"/>
      <c r="AA29" s="116"/>
      <c r="AB29" s="114"/>
      <c r="AC29" s="114"/>
      <c r="AD29" s="114"/>
      <c r="AE29" s="114"/>
      <c r="AF29" s="114"/>
      <c r="AG29" s="116"/>
      <c r="AH29" s="116"/>
      <c r="AI29" s="114"/>
      <c r="AJ29" s="114"/>
      <c r="AK29" s="114"/>
      <c r="AL29" s="114"/>
      <c r="AM29" s="114"/>
      <c r="AN29" s="116"/>
      <c r="AO29" s="117"/>
    </row>
    <row r="30" spans="1:41" ht="18.75" customHeight="1">
      <c r="A30" s="431"/>
      <c r="B30" s="431"/>
      <c r="C30" s="431"/>
      <c r="D30" s="431"/>
      <c r="E30" s="431"/>
      <c r="F30" s="235">
        <v>1</v>
      </c>
      <c r="G30" s="69"/>
      <c r="H30" s="136"/>
      <c r="I30" s="136"/>
      <c r="J30" s="136"/>
      <c r="K30" s="136"/>
      <c r="L30" s="137"/>
      <c r="M30" s="137"/>
      <c r="N30" s="136"/>
      <c r="O30" s="136"/>
      <c r="P30" s="136"/>
      <c r="Q30" s="136"/>
      <c r="R30" s="136"/>
      <c r="S30" s="137"/>
      <c r="T30" s="137"/>
      <c r="U30" s="136"/>
      <c r="V30" s="136"/>
      <c r="W30" s="136"/>
      <c r="X30" s="136"/>
      <c r="Y30" s="136"/>
      <c r="Z30" s="137"/>
      <c r="AA30" s="137"/>
      <c r="AB30" s="136"/>
      <c r="AC30" s="136"/>
      <c r="AD30" s="136"/>
      <c r="AE30" s="136"/>
      <c r="AF30" s="136"/>
      <c r="AG30" s="137"/>
      <c r="AH30" s="137"/>
      <c r="AI30" s="136"/>
      <c r="AJ30" s="136"/>
      <c r="AK30" s="136"/>
      <c r="AL30" s="136"/>
      <c r="AM30" s="136"/>
      <c r="AN30" s="137"/>
      <c r="AO30" s="138"/>
    </row>
    <row r="31" spans="1:41" ht="18.75" customHeight="1">
      <c r="A31" s="431"/>
      <c r="B31" s="431"/>
      <c r="C31" s="431"/>
      <c r="D31" s="431"/>
      <c r="E31" s="431"/>
      <c r="F31" s="247">
        <v>1</v>
      </c>
      <c r="G31" s="91"/>
      <c r="H31" s="88"/>
      <c r="I31" s="88"/>
      <c r="J31" s="88"/>
      <c r="K31" s="88"/>
      <c r="L31" s="87"/>
      <c r="M31" s="87"/>
      <c r="N31" s="88"/>
      <c r="O31" s="88"/>
      <c r="P31" s="88"/>
      <c r="Q31" s="88"/>
      <c r="R31" s="88"/>
      <c r="S31" s="87"/>
      <c r="T31" s="87"/>
      <c r="U31" s="88"/>
      <c r="V31" s="88"/>
      <c r="W31" s="88"/>
      <c r="X31" s="88"/>
      <c r="Y31" s="88"/>
      <c r="Z31" s="87"/>
      <c r="AA31" s="87"/>
      <c r="AB31" s="88"/>
      <c r="AC31" s="88"/>
      <c r="AD31" s="88"/>
      <c r="AE31" s="88"/>
      <c r="AF31" s="88"/>
      <c r="AG31" s="87"/>
      <c r="AH31" s="87"/>
      <c r="AI31" s="88"/>
      <c r="AJ31" s="88"/>
      <c r="AK31" s="88"/>
      <c r="AL31" s="88"/>
      <c r="AM31" s="88"/>
      <c r="AN31" s="87"/>
      <c r="AO31" s="90"/>
    </row>
    <row r="32" spans="1:41" ht="24" customHeight="1">
      <c r="F32" s="143"/>
      <c r="G32" s="316">
        <f>COUNTA(G29:G31)</f>
        <v>0</v>
      </c>
      <c r="H32" s="316">
        <f>COUNTA(H29:H31)</f>
        <v>0</v>
      </c>
      <c r="I32" s="316">
        <f>COUNTA(I29:I31)</f>
        <v>0</v>
      </c>
      <c r="J32" s="316">
        <f>COUNTA(J29:J31)</f>
        <v>0</v>
      </c>
      <c r="K32" s="316">
        <f>COUNTA(K29:K31)</f>
        <v>0</v>
      </c>
      <c r="L32" s="317"/>
      <c r="M32" s="317"/>
      <c r="N32" s="316">
        <f>COUNTA(N29:N31)</f>
        <v>0</v>
      </c>
      <c r="O32" s="316">
        <f>COUNTA(O29:O31)</f>
        <v>0</v>
      </c>
      <c r="P32" s="316">
        <f>COUNTA(P29:P31)</f>
        <v>0</v>
      </c>
      <c r="Q32" s="316">
        <f>COUNTA(Q29:Q31)</f>
        <v>0</v>
      </c>
      <c r="R32" s="316">
        <f>COUNTA(R29:R31)</f>
        <v>0</v>
      </c>
      <c r="S32" s="318"/>
      <c r="T32" s="318"/>
      <c r="U32" s="316">
        <f>COUNTA(U29:U31)</f>
        <v>0</v>
      </c>
      <c r="V32" s="370">
        <f>COUNTA(V29:V31)</f>
        <v>0</v>
      </c>
      <c r="W32" s="316">
        <f>COUNTA(W29:W31)</f>
        <v>0</v>
      </c>
      <c r="X32" s="316">
        <f>COUNTA(X29:X31)</f>
        <v>0</v>
      </c>
      <c r="Y32" s="316">
        <f>COUNTA(Y29:Y31)</f>
        <v>0</v>
      </c>
      <c r="Z32" s="318"/>
      <c r="AA32" s="318"/>
      <c r="AB32" s="316">
        <f>COUNTA(AB29:AB31)</f>
        <v>0</v>
      </c>
      <c r="AC32" s="316">
        <f>COUNTA(AC29:AC31)</f>
        <v>0</v>
      </c>
      <c r="AD32" s="316">
        <f>COUNTA(AD29:AD31)</f>
        <v>0</v>
      </c>
      <c r="AE32" s="316">
        <f>COUNTA(AE29:AE31)</f>
        <v>0</v>
      </c>
      <c r="AF32" s="316">
        <f>COUNTA(AF29:AF31)</f>
        <v>0</v>
      </c>
      <c r="AG32" s="318"/>
      <c r="AH32" s="318"/>
      <c r="AI32" s="316">
        <f>COUNTA(AI29:AI31)</f>
        <v>0</v>
      </c>
      <c r="AJ32" s="316">
        <f>COUNTA(AJ29:AJ31)</f>
        <v>0</v>
      </c>
      <c r="AK32" s="316">
        <f>COUNTA(AK29:AK31)</f>
        <v>0</v>
      </c>
      <c r="AL32" s="316">
        <f>COUNTA(AL29:AL31)</f>
        <v>0</v>
      </c>
      <c r="AM32" s="316">
        <f>COUNTA(AM29:AM31)</f>
        <v>0</v>
      </c>
      <c r="AN32" s="318"/>
      <c r="AO32" s="319"/>
    </row>
    <row r="33" spans="4:41" ht="24" customHeight="1">
      <c r="D33" s="86" t="s">
        <v>176</v>
      </c>
      <c r="E33" s="86">
        <f t="shared" ref="E33:E38" si="0">SUM(L33,S33,Z33,AG33,AN33)</f>
        <v>30</v>
      </c>
      <c r="F33" s="86" t="s">
        <v>23</v>
      </c>
      <c r="G33" s="148">
        <f>COUNTIF(G8:G31,"TP")</f>
        <v>1</v>
      </c>
      <c r="H33" s="148">
        <f>COUNTIF(H8:H31,"TP")</f>
        <v>1</v>
      </c>
      <c r="I33" s="148">
        <f>COUNTIF(I8:I31,"TP")</f>
        <v>1</v>
      </c>
      <c r="J33" s="148">
        <f>COUNTIF(J8:J31,"TP")</f>
        <v>1</v>
      </c>
      <c r="K33" s="148">
        <f>COUNTIF(K8:K31,"TP")</f>
        <v>1</v>
      </c>
      <c r="L33" s="149">
        <f t="shared" ref="L33:L38" si="1">SUM(G33:K33)</f>
        <v>5</v>
      </c>
      <c r="M33" s="149"/>
      <c r="N33" s="148">
        <f>COUNTIF(N8:N31,"TP")</f>
        <v>1</v>
      </c>
      <c r="O33" s="148">
        <f>COUNTIF(O8:O31,"TP")</f>
        <v>1</v>
      </c>
      <c r="P33" s="148">
        <f>COUNTIF(P8:P31,"TP")</f>
        <v>1</v>
      </c>
      <c r="Q33" s="148">
        <f>COUNTIF(Q8:Q31,"TP")</f>
        <v>1</v>
      </c>
      <c r="R33" s="148">
        <f>COUNTIF(R8:R31,"TP")</f>
        <v>1</v>
      </c>
      <c r="S33" s="150">
        <f t="shared" ref="S33:S38" si="2">SUM(N33:R33)</f>
        <v>5</v>
      </c>
      <c r="T33" s="150"/>
      <c r="U33" s="148">
        <f>COUNTIF(U8:U31,"TP")</f>
        <v>2</v>
      </c>
      <c r="V33" s="148">
        <f>COUNTIF(V8:V31,"TP")</f>
        <v>2</v>
      </c>
      <c r="W33" s="148">
        <f>COUNTIF(W8:W31,"TP")</f>
        <v>2</v>
      </c>
      <c r="X33" s="148">
        <f>COUNTIF(X8:X31,"TP")</f>
        <v>2</v>
      </c>
      <c r="Y33" s="148">
        <f>COUNTIF(Y8:Y31,"TP")</f>
        <v>2</v>
      </c>
      <c r="Z33" s="150">
        <f t="shared" ref="Z33:Z38" si="3">SUM(U33:Y33)</f>
        <v>10</v>
      </c>
      <c r="AA33" s="150"/>
      <c r="AB33" s="148">
        <f>COUNTIF(AB8:AB31,"TP")</f>
        <v>1</v>
      </c>
      <c r="AC33" s="148">
        <f>COUNTIF(AC8:AC31,"TP")</f>
        <v>1</v>
      </c>
      <c r="AD33" s="148">
        <f>COUNTIF(AD8:AD31,"TP")</f>
        <v>1</v>
      </c>
      <c r="AE33" s="148">
        <f>COUNTIF(AE8:AE31,"TP")</f>
        <v>1</v>
      </c>
      <c r="AF33" s="148">
        <f>COUNTIF(AF8:AF31,"TP")</f>
        <v>1</v>
      </c>
      <c r="AG33" s="150">
        <f t="shared" ref="AG33:AG38" si="4">SUM(AB33:AF33)</f>
        <v>5</v>
      </c>
      <c r="AH33" s="150"/>
      <c r="AI33" s="148">
        <f>COUNTIF(AI8:AI31,"TP")</f>
        <v>1</v>
      </c>
      <c r="AJ33" s="148">
        <f>COUNTIF(AJ8:AJ31,"TP")</f>
        <v>1</v>
      </c>
      <c r="AK33" s="148">
        <f>COUNTIF(AK8:AK31,"TP")</f>
        <v>1</v>
      </c>
      <c r="AL33" s="148">
        <f>COUNTIF(AL8:AL31,"TP")</f>
        <v>1</v>
      </c>
      <c r="AM33" s="148">
        <f>COUNTIF(AM8:AM31,"TP")</f>
        <v>1</v>
      </c>
      <c r="AN33" s="150">
        <f t="shared" ref="AN33:AN38" si="5">SUM(AI33:AM33)</f>
        <v>5</v>
      </c>
      <c r="AO33" s="151"/>
    </row>
    <row r="34" spans="4:41" ht="24" customHeight="1">
      <c r="D34" s="152" t="s">
        <v>176</v>
      </c>
      <c r="E34" s="152">
        <f t="shared" si="0"/>
        <v>3</v>
      </c>
      <c r="F34" s="152" t="s">
        <v>24</v>
      </c>
      <c r="G34" s="148">
        <f>COUNTIF(G8:G31,"CSE") + COUNTIF(G8:G31,"RPX")</f>
        <v>0</v>
      </c>
      <c r="H34" s="148">
        <f>COUNTIF(H8:H31,"CSE") + COUNTIF(H8:H31,"RPX")</f>
        <v>0</v>
      </c>
      <c r="I34" s="148">
        <f>COUNTIF(I8:I31,"CSE") + COUNTIF(I8:I31,"RPX")</f>
        <v>0</v>
      </c>
      <c r="J34" s="148">
        <f>COUNTIF(J8:J31,"CSE") + COUNTIF(J8:J31,"RPX")</f>
        <v>0</v>
      </c>
      <c r="K34" s="148">
        <f>COUNTIF(K8:K31,"CSE") + COUNTIF(K8:K31,"RPX")</f>
        <v>0</v>
      </c>
      <c r="L34" s="149">
        <f t="shared" si="1"/>
        <v>0</v>
      </c>
      <c r="M34" s="149"/>
      <c r="N34" s="148">
        <f>COUNTIF(N8:N31,"CSE") + COUNTIF(N8:N31,"RPX")</f>
        <v>0</v>
      </c>
      <c r="O34" s="148">
        <f>COUNTIF(O8:O31,"CSE") + COUNTIF(O8:O31,"RPX")</f>
        <v>0</v>
      </c>
      <c r="P34" s="148">
        <f>COUNTIF(P8:P31,"CSE") + COUNTIF(P8:P31,"RPX")</f>
        <v>0</v>
      </c>
      <c r="Q34" s="148">
        <f>COUNTIF(Q8:Q31,"CSE") + COUNTIF(Q8:Q31,"RPX")</f>
        <v>0</v>
      </c>
      <c r="R34" s="148">
        <f>COUNTIF(R8:R31,"CSE") + COUNTIF(R8:R31,"RPX")</f>
        <v>0</v>
      </c>
      <c r="S34" s="150">
        <f t="shared" si="2"/>
        <v>0</v>
      </c>
      <c r="T34" s="150"/>
      <c r="U34" s="148">
        <f>COUNTIF(U9:U31,"CSE") + COUNTIF(U9:U31,"RPX")</f>
        <v>0</v>
      </c>
      <c r="V34" s="148">
        <f>COUNTIF(V9:V31,"CSE") + COUNTIF(V9:V31,"RPX")</f>
        <v>0</v>
      </c>
      <c r="W34" s="148">
        <f>COUNTIF(W9:W31,"CSE") + COUNTIF(W9:W31,"RPX")</f>
        <v>0</v>
      </c>
      <c r="X34" s="148">
        <f>COUNTIF(X9:X31,"CSE") + COUNTIF(X9:X31,"RPX")</f>
        <v>1</v>
      </c>
      <c r="Y34" s="148">
        <f>COUNTIF(Y9:Y31,"CSE") + COUNTIF(Y9:Y31,"RPX")</f>
        <v>1</v>
      </c>
      <c r="Z34" s="150">
        <f t="shared" si="3"/>
        <v>2</v>
      </c>
      <c r="AA34" s="150"/>
      <c r="AB34" s="148">
        <f>COUNTIF(AB8:AB31,"CSE") + COUNTIF(AB8:AB31,"RPX")</f>
        <v>0</v>
      </c>
      <c r="AC34" s="148">
        <f>COUNTIF(AC8:AC31,"CSE") + COUNTIF(AC8:AC31,"RPX")</f>
        <v>0</v>
      </c>
      <c r="AD34" s="148">
        <f>COUNTIF(AD8:AD31,"CSE") + COUNTIF(AD8:AD31,"RPX")</f>
        <v>0</v>
      </c>
      <c r="AE34" s="148">
        <f>COUNTIF(AE8:AE31,"CSE") + COUNTIF(AE8:AE31,"RPX")</f>
        <v>0</v>
      </c>
      <c r="AF34" s="148">
        <f>COUNTIF(AF8:AF31,"CSE") + COUNTIF(AF8:AF31,"RPX")</f>
        <v>0</v>
      </c>
      <c r="AG34" s="150">
        <f t="shared" si="4"/>
        <v>0</v>
      </c>
      <c r="AH34" s="150"/>
      <c r="AI34" s="148">
        <f>COUNTIF(AI8:AI31,"CSE") + COUNTIF(AI8:AI31,"RPX")</f>
        <v>0</v>
      </c>
      <c r="AJ34" s="148">
        <f>COUNTIF(AJ8:AJ31,"CSE") + COUNTIF(AJ8:AJ31,"RPX")</f>
        <v>0</v>
      </c>
      <c r="AK34" s="148">
        <f>COUNTIF(AK8:AK31,"CSE") + COUNTIF(AK8:AK31,"RPX")</f>
        <v>1</v>
      </c>
      <c r="AL34" s="148">
        <f>COUNTIF(AL8:AL31,"CSE") + COUNTIF(AL8:AL31,"RPX")</f>
        <v>0</v>
      </c>
      <c r="AM34" s="148">
        <f>COUNTIF(AM8:AM31,"CSE") + COUNTIF(AM8:AM31,"RPX")</f>
        <v>0</v>
      </c>
      <c r="AN34" s="150">
        <f t="shared" si="5"/>
        <v>1</v>
      </c>
      <c r="AO34" s="151"/>
    </row>
    <row r="35" spans="4:41" ht="24" customHeight="1">
      <c r="D35" s="153" t="s">
        <v>176</v>
      </c>
      <c r="E35" s="153">
        <f t="shared" si="0"/>
        <v>70</v>
      </c>
      <c r="F35" s="153" t="s">
        <v>25</v>
      </c>
      <c r="G35" s="148">
        <f>COUNTIF(G8:G31,"CA/RC")</f>
        <v>3</v>
      </c>
      <c r="H35" s="148">
        <f>COUNTIF(H8:H31,"CA/RC")</f>
        <v>3</v>
      </c>
      <c r="I35" s="148">
        <f>COUNTIF(I8:I31,"CA/RC")</f>
        <v>3</v>
      </c>
      <c r="J35" s="148">
        <f>COUNTIF(J8:J31,"CA/RC")</f>
        <v>3</v>
      </c>
      <c r="K35" s="148">
        <f>COUNTIF(K8:K31,"CA/RC")</f>
        <v>3</v>
      </c>
      <c r="L35" s="149">
        <f t="shared" si="1"/>
        <v>15</v>
      </c>
      <c r="M35" s="149"/>
      <c r="N35" s="148">
        <f>COUNTIF(N8:N31,"CA/RC")</f>
        <v>3</v>
      </c>
      <c r="O35" s="148">
        <f>COUNTIF(O8:O31,"CA/RC")</f>
        <v>3</v>
      </c>
      <c r="P35" s="148">
        <f>COUNTIF(P8:P31,"CA/RC")</f>
        <v>3</v>
      </c>
      <c r="Q35" s="148">
        <f>COUNTIF(Q8:Q31,"CA/RC")</f>
        <v>3</v>
      </c>
      <c r="R35" s="148">
        <f>COUNTIF(R8:R31,"CA/RC")</f>
        <v>3</v>
      </c>
      <c r="S35" s="150">
        <f t="shared" si="2"/>
        <v>15</v>
      </c>
      <c r="T35" s="150"/>
      <c r="U35" s="148">
        <f>COUNTIF(U8:U31,"CA/RC")</f>
        <v>3</v>
      </c>
      <c r="V35" s="148">
        <f>COUNTIF(V8:V31,"CA/RC")</f>
        <v>3</v>
      </c>
      <c r="W35" s="148">
        <f>COUNTIF(W8:W31,"CA/RC")</f>
        <v>3</v>
      </c>
      <c r="X35" s="148">
        <f>COUNTIF(X8:X31,"CA/RC")</f>
        <v>3</v>
      </c>
      <c r="Y35" s="148">
        <f>COUNTIF(Y8:Y31,"CA/RC")</f>
        <v>3</v>
      </c>
      <c r="Z35" s="150">
        <f t="shared" si="3"/>
        <v>15</v>
      </c>
      <c r="AA35" s="150"/>
      <c r="AB35" s="148">
        <f>COUNTIF(AB8:AB31,"CA/RC")</f>
        <v>3</v>
      </c>
      <c r="AC35" s="148">
        <f>COUNTIF(AC8:AC31,"CA/RC")</f>
        <v>3</v>
      </c>
      <c r="AD35" s="148">
        <f>COUNTIF(AD8:AD31,"CA/RC")</f>
        <v>3</v>
      </c>
      <c r="AE35" s="148">
        <f>COUNTIF(AE8:AE31,"CA/RC")</f>
        <v>3</v>
      </c>
      <c r="AF35" s="148">
        <f>COUNTIF(AF8:AF31,"CA/RC")</f>
        <v>3</v>
      </c>
      <c r="AG35" s="150">
        <f t="shared" si="4"/>
        <v>15</v>
      </c>
      <c r="AH35" s="150"/>
      <c r="AI35" s="148">
        <f>COUNTIF(AI8:AI31,"CA/RC")</f>
        <v>2</v>
      </c>
      <c r="AJ35" s="148">
        <f>COUNTIF(AJ8:AJ31,"CA/RC")</f>
        <v>2</v>
      </c>
      <c r="AK35" s="148">
        <f>COUNTIF(AK8:AK31,"CA/RC")</f>
        <v>2</v>
      </c>
      <c r="AL35" s="148">
        <f>COUNTIF(AL8:AL31,"CA/RC")</f>
        <v>2</v>
      </c>
      <c r="AM35" s="148">
        <f>COUNTIF(AM8:AM31,"CA/RC")</f>
        <v>2</v>
      </c>
      <c r="AN35" s="150">
        <f t="shared" si="5"/>
        <v>10</v>
      </c>
      <c r="AO35" s="151"/>
    </row>
    <row r="36" spans="4:41" ht="24" customHeight="1">
      <c r="D36" s="154" t="s">
        <v>176</v>
      </c>
      <c r="E36" s="154">
        <f t="shared" si="0"/>
        <v>0</v>
      </c>
      <c r="F36" s="154" t="s">
        <v>26</v>
      </c>
      <c r="G36" s="148">
        <f>COUNTIF(G8:G31,"ATM/ATA")</f>
        <v>0</v>
      </c>
      <c r="H36" s="148">
        <f>COUNTIF(H8:H31,"ATM/ATA")</f>
        <v>0</v>
      </c>
      <c r="I36" s="148">
        <f>COUNTIF(I8:I31,"ATM/ATA")</f>
        <v>0</v>
      </c>
      <c r="J36" s="148">
        <f>COUNTIF(J8:J31,"ATM/ATA")</f>
        <v>0</v>
      </c>
      <c r="K36" s="148">
        <f>COUNTIF(K8:K31,"ATM/ATA")</f>
        <v>0</v>
      </c>
      <c r="L36" s="149">
        <f t="shared" si="1"/>
        <v>0</v>
      </c>
      <c r="M36" s="149"/>
      <c r="N36" s="148">
        <f>COUNTIF(N8:N31,"ATM/ATA")</f>
        <v>0</v>
      </c>
      <c r="O36" s="148">
        <f>COUNTIF(O8:O31,"ATM/ATA")</f>
        <v>0</v>
      </c>
      <c r="P36" s="148">
        <f>COUNTIF(P8:P31,"ATM/ATA")</f>
        <v>0</v>
      </c>
      <c r="Q36" s="148">
        <f>COUNTIF(Q8:Q31,"ATM/ATA")</f>
        <v>0</v>
      </c>
      <c r="R36" s="148">
        <f>COUNTIF(R8:R31,"ATM/ATA")</f>
        <v>0</v>
      </c>
      <c r="S36" s="150">
        <f t="shared" si="2"/>
        <v>0</v>
      </c>
      <c r="T36" s="150"/>
      <c r="U36" s="148">
        <f>COUNTIF(U8:U31,"ATM/ATA")</f>
        <v>0</v>
      </c>
      <c r="V36" s="148">
        <f>COUNTIF(V8:V31,"ATM/ATA")</f>
        <v>0</v>
      </c>
      <c r="W36" s="148">
        <f>COUNTIF(W8:W31,"ATM/ATA")</f>
        <v>0</v>
      </c>
      <c r="X36" s="148">
        <f>COUNTIF(X8:X31,"ATM/ATA")</f>
        <v>0</v>
      </c>
      <c r="Y36" s="148">
        <f>COUNTIF(Y8:Y31,"ATM/ATA")</f>
        <v>0</v>
      </c>
      <c r="Z36" s="150">
        <f t="shared" si="3"/>
        <v>0</v>
      </c>
      <c r="AA36" s="150"/>
      <c r="AB36" s="148">
        <f>COUNTIF(AB8:AB31,"ATM/ATA")</f>
        <v>0</v>
      </c>
      <c r="AC36" s="148">
        <f>COUNTIF(AC8:AC31,"ATM/ATA")</f>
        <v>0</v>
      </c>
      <c r="AD36" s="148">
        <f>COUNTIF(AD8:AD31,"ATM/ATA")</f>
        <v>0</v>
      </c>
      <c r="AE36" s="148">
        <f>COUNTIF(AE8:AE31,"ATM/ATA")</f>
        <v>0</v>
      </c>
      <c r="AF36" s="148">
        <f>COUNTIF(AF8:AF31,"ATM/ATA")</f>
        <v>0</v>
      </c>
      <c r="AG36" s="150">
        <f t="shared" si="4"/>
        <v>0</v>
      </c>
      <c r="AH36" s="150"/>
      <c r="AI36" s="148">
        <f>COUNTIF(AI8:AI31,"ATM/ATA")</f>
        <v>0</v>
      </c>
      <c r="AJ36" s="148">
        <f>COUNTIF(AJ8:AJ31,"ATM/ATA")</f>
        <v>0</v>
      </c>
      <c r="AK36" s="148">
        <f>COUNTIF(AK8:AK31,"ATM/ATA")</f>
        <v>0</v>
      </c>
      <c r="AL36" s="148">
        <f>COUNTIF(AL8:AL31,"ATM/ATA")</f>
        <v>0</v>
      </c>
      <c r="AM36" s="148">
        <f>COUNTIF(AM8:AM31,"ATM/ATA")</f>
        <v>0</v>
      </c>
      <c r="AN36" s="150">
        <f t="shared" si="5"/>
        <v>0</v>
      </c>
      <c r="AO36" s="151"/>
    </row>
    <row r="37" spans="4:41" ht="24" customHeight="1">
      <c r="D37" s="122" t="s">
        <v>176</v>
      </c>
      <c r="E37" s="122">
        <f t="shared" si="0"/>
        <v>0</v>
      </c>
      <c r="F37" s="122" t="s">
        <v>27</v>
      </c>
      <c r="G37" s="148">
        <f>COUNTIF(G8:G31,"ASA")</f>
        <v>0</v>
      </c>
      <c r="H37" s="148">
        <f>COUNTIF(H8:H31,"ASA")</f>
        <v>0</v>
      </c>
      <c r="I37" s="148">
        <f>COUNTIF(I8:I31,"ASA")</f>
        <v>0</v>
      </c>
      <c r="J37" s="148">
        <f>COUNTIF(J8:J31,"ASA")</f>
        <v>0</v>
      </c>
      <c r="K37" s="148">
        <f>COUNTIF(K8:K31,"ASA")</f>
        <v>0</v>
      </c>
      <c r="L37" s="149">
        <f t="shared" si="1"/>
        <v>0</v>
      </c>
      <c r="M37" s="149"/>
      <c r="N37" s="148">
        <f>COUNTIF(N8:N31,"ASA")</f>
        <v>0</v>
      </c>
      <c r="O37" s="148">
        <f>COUNTIF(O8:O31,"ASA")</f>
        <v>0</v>
      </c>
      <c r="P37" s="148">
        <f>COUNTIF(P8:P31,"ASA")</f>
        <v>0</v>
      </c>
      <c r="Q37" s="148">
        <f>COUNTIF(Q8:Q31,"ASA")</f>
        <v>0</v>
      </c>
      <c r="R37" s="148">
        <f>COUNTIF(R8:R31,"ASA")</f>
        <v>0</v>
      </c>
      <c r="S37" s="150">
        <f t="shared" si="2"/>
        <v>0</v>
      </c>
      <c r="T37" s="150"/>
      <c r="U37" s="148">
        <f>COUNTIF(U8:U31,"ASA")</f>
        <v>0</v>
      </c>
      <c r="V37" s="148">
        <f>COUNTIF(V8:V31,"ASA")</f>
        <v>0</v>
      </c>
      <c r="W37" s="148">
        <f>COUNTIF(W8:W31,"ASA")</f>
        <v>0</v>
      </c>
      <c r="X37" s="148">
        <f>COUNTIF(X8:X31,"ASA")</f>
        <v>0</v>
      </c>
      <c r="Y37" s="148">
        <f>COUNTIF(Y8:Y31,"ASA")</f>
        <v>0</v>
      </c>
      <c r="Z37" s="150">
        <f t="shared" si="3"/>
        <v>0</v>
      </c>
      <c r="AA37" s="150"/>
      <c r="AB37" s="148">
        <f>COUNTIF(AB8:AB31,"ASA")</f>
        <v>0</v>
      </c>
      <c r="AC37" s="148">
        <f>COUNTIF(AC8:AC31,"ASA")</f>
        <v>0</v>
      </c>
      <c r="AD37" s="148">
        <f>COUNTIF(AD8:AD31,"ASA")</f>
        <v>0</v>
      </c>
      <c r="AE37" s="148">
        <f>COUNTIF(AE8:AE31,"ASA")</f>
        <v>0</v>
      </c>
      <c r="AF37" s="148">
        <f>COUNTIF(AF8:AF31,"ASA")</f>
        <v>0</v>
      </c>
      <c r="AG37" s="150">
        <f t="shared" si="4"/>
        <v>0</v>
      </c>
      <c r="AH37" s="150"/>
      <c r="AI37" s="148">
        <f>COUNTIF(AI8:AI31,"ASA")</f>
        <v>0</v>
      </c>
      <c r="AJ37" s="148">
        <f>COUNTIF(AJ8:AJ31,"ASA")</f>
        <v>0</v>
      </c>
      <c r="AK37" s="148">
        <f>COUNTIF(AK8:AK31,"ASA")</f>
        <v>0</v>
      </c>
      <c r="AL37" s="148">
        <f>COUNTIF(AL8:AL31,"ASA")</f>
        <v>0</v>
      </c>
      <c r="AM37" s="148">
        <f>COUNTIF(AM8:AM31,"ASA")</f>
        <v>0</v>
      </c>
      <c r="AN37" s="150">
        <f t="shared" si="5"/>
        <v>0</v>
      </c>
      <c r="AO37" s="151"/>
    </row>
    <row r="38" spans="4:41" ht="24" customHeight="1">
      <c r="D38" s="155" t="s">
        <v>176</v>
      </c>
      <c r="E38" s="155">
        <f t="shared" si="0"/>
        <v>0</v>
      </c>
      <c r="F38" s="155" t="s">
        <v>28</v>
      </c>
      <c r="G38" s="148">
        <f>COUNTIF(G8:G31,"FORM")</f>
        <v>0</v>
      </c>
      <c r="H38" s="148">
        <f>COUNTIF(H8:H31,"FORM")</f>
        <v>0</v>
      </c>
      <c r="I38" s="148">
        <f>COUNTIF(I8:I31,"FORM")</f>
        <v>0</v>
      </c>
      <c r="J38" s="148">
        <f>COUNTIF(J8:J31,"FORM")</f>
        <v>0</v>
      </c>
      <c r="K38" s="148">
        <f>COUNTIF(K8:K31,"FORM")</f>
        <v>0</v>
      </c>
      <c r="L38" s="149">
        <f t="shared" si="1"/>
        <v>0</v>
      </c>
      <c r="M38" s="149"/>
      <c r="N38" s="148">
        <f>COUNTIF(N8:N31,"FORM")</f>
        <v>0</v>
      </c>
      <c r="O38" s="148">
        <f>COUNTIF(O8:O31,"FORM")</f>
        <v>0</v>
      </c>
      <c r="P38" s="148">
        <f>COUNTIF(P8:P31,"FORM")</f>
        <v>0</v>
      </c>
      <c r="Q38" s="148">
        <f>COUNTIF(Q8:Q31,"FORM")</f>
        <v>0</v>
      </c>
      <c r="R38" s="148">
        <f>COUNTIF(R8:R31,"FORM")</f>
        <v>0</v>
      </c>
      <c r="S38" s="150">
        <f t="shared" si="2"/>
        <v>0</v>
      </c>
      <c r="T38" s="150"/>
      <c r="U38" s="148">
        <f>COUNTIF(U8:U31,"FORM")</f>
        <v>0</v>
      </c>
      <c r="V38" s="148">
        <f>COUNTIF(V8:V31,"FORM")</f>
        <v>0</v>
      </c>
      <c r="W38" s="148">
        <f>COUNTIF(W8:W31,"FORM")</f>
        <v>0</v>
      </c>
      <c r="X38" s="148">
        <f>COUNTIF(X8:X31,"FORM")</f>
        <v>0</v>
      </c>
      <c r="Y38" s="148">
        <f>COUNTIF(Y8:Y31,"FORM")</f>
        <v>0</v>
      </c>
      <c r="Z38" s="150">
        <f t="shared" si="3"/>
        <v>0</v>
      </c>
      <c r="AA38" s="150"/>
      <c r="AB38" s="148">
        <f>COUNTIF(AB8:AB31,"FORM")</f>
        <v>0</v>
      </c>
      <c r="AC38" s="148">
        <f>COUNTIF(AC8:AC31,"FORM")</f>
        <v>0</v>
      </c>
      <c r="AD38" s="148">
        <f>COUNTIF(AD8:AD31,"FORM")</f>
        <v>0</v>
      </c>
      <c r="AE38" s="148">
        <f>COUNTIF(AE8:AE31,"FORM")</f>
        <v>0</v>
      </c>
      <c r="AF38" s="148">
        <f>COUNTIF(AF8:AF31,"FORM")</f>
        <v>0</v>
      </c>
      <c r="AG38" s="150">
        <f t="shared" si="4"/>
        <v>0</v>
      </c>
      <c r="AH38" s="150"/>
      <c r="AI38" s="148">
        <f>COUNTIF(AI8:AI31,"FORM")</f>
        <v>0</v>
      </c>
      <c r="AJ38" s="148">
        <f>COUNTIF(AJ8:AJ31,"FORM")</f>
        <v>0</v>
      </c>
      <c r="AK38" s="148">
        <f>COUNTIF(AK8:AK31,"FORM")</f>
        <v>0</v>
      </c>
      <c r="AL38" s="148">
        <f>COUNTIF(AL8:AL31,"FORM")</f>
        <v>0</v>
      </c>
      <c r="AM38" s="148">
        <f>COUNTIF(AM8:AM31,"FORM")</f>
        <v>0</v>
      </c>
      <c r="AN38" s="150">
        <f t="shared" si="5"/>
        <v>0</v>
      </c>
      <c r="AO38" s="151"/>
    </row>
    <row r="39" spans="4:41" ht="24" customHeight="1">
      <c r="D39" s="156" t="s">
        <v>177</v>
      </c>
      <c r="E39" s="156">
        <f>AVERAGE(G39:AM39)</f>
        <v>4.12</v>
      </c>
      <c r="F39" s="215" t="s">
        <v>178</v>
      </c>
      <c r="G39" s="158">
        <f>SUM(G33:G38)</f>
        <v>4</v>
      </c>
      <c r="H39" s="158">
        <f>SUM(H33:H38)</f>
        <v>4</v>
      </c>
      <c r="I39" s="158">
        <f>SUM(I33:I38)</f>
        <v>4</v>
      </c>
      <c r="J39" s="158">
        <f>SUM(J33:J38)</f>
        <v>4</v>
      </c>
      <c r="K39" s="158">
        <f>SUM(K33:K38)</f>
        <v>4</v>
      </c>
      <c r="L39" s="158"/>
      <c r="M39" s="158"/>
      <c r="N39" s="158">
        <f>SUM(N33:N38)</f>
        <v>4</v>
      </c>
      <c r="O39" s="158">
        <f>SUM(O33:O38)</f>
        <v>4</v>
      </c>
      <c r="P39" s="158">
        <f>SUM(P33:P38)</f>
        <v>4</v>
      </c>
      <c r="Q39" s="158">
        <f>SUM(Q33:Q38)</f>
        <v>4</v>
      </c>
      <c r="R39" s="158">
        <f>SUM(R33:R38)</f>
        <v>4</v>
      </c>
      <c r="S39" s="158"/>
      <c r="T39" s="158"/>
      <c r="U39" s="158">
        <f>SUM(U33:U38)</f>
        <v>5</v>
      </c>
      <c r="V39" s="158">
        <f>SUM(V33:V38)</f>
        <v>5</v>
      </c>
      <c r="W39" s="158">
        <f>SUM(W33:W38)</f>
        <v>5</v>
      </c>
      <c r="X39" s="158">
        <f>SUM(X33:X38)</f>
        <v>6</v>
      </c>
      <c r="Y39" s="158">
        <f>SUM(Y33:Y38)</f>
        <v>6</v>
      </c>
      <c r="Z39" s="158"/>
      <c r="AA39" s="158"/>
      <c r="AB39" s="158">
        <f>SUM(AB33:AB38)</f>
        <v>4</v>
      </c>
      <c r="AC39" s="158">
        <f>SUM(AC33:AC38)</f>
        <v>4</v>
      </c>
      <c r="AD39" s="158">
        <f>SUM(AD33:AD38)</f>
        <v>4</v>
      </c>
      <c r="AE39" s="158">
        <f>SUM(AE33:AE38)</f>
        <v>4</v>
      </c>
      <c r="AF39" s="158">
        <f>SUM(AF33:AF38)</f>
        <v>4</v>
      </c>
      <c r="AG39" s="158"/>
      <c r="AH39" s="158"/>
      <c r="AI39" s="158">
        <f>SUM(AI33:AI38)</f>
        <v>3</v>
      </c>
      <c r="AJ39" s="158">
        <f>SUM(AJ33:AJ38)</f>
        <v>3</v>
      </c>
      <c r="AK39" s="158">
        <f>SUM(AK33:AK38)</f>
        <v>4</v>
      </c>
      <c r="AL39" s="158">
        <f>SUM(AL33:AL38)</f>
        <v>3</v>
      </c>
      <c r="AM39" s="158">
        <f>SUM(AM33:AM38)</f>
        <v>3</v>
      </c>
      <c r="AN39" s="158"/>
      <c r="AO39" s="159"/>
    </row>
    <row r="40" spans="4:41" ht="24" customHeight="1">
      <c r="D40" s="156" t="s">
        <v>177</v>
      </c>
      <c r="E40" s="156">
        <f>AVERAGE(G40:AM40)</f>
        <v>15.88</v>
      </c>
      <c r="F40" s="215" t="s">
        <v>179</v>
      </c>
      <c r="G40" s="158">
        <f>(20+G32)-G39</f>
        <v>16</v>
      </c>
      <c r="H40" s="158">
        <f>(20+H32)-H39</f>
        <v>16</v>
      </c>
      <c r="I40" s="158">
        <f>(20+I32)-I39</f>
        <v>16</v>
      </c>
      <c r="J40" s="158">
        <f>(20+J32)-J39</f>
        <v>16</v>
      </c>
      <c r="K40" s="158">
        <f>(20+K32)-K39</f>
        <v>16</v>
      </c>
      <c r="L40" s="158"/>
      <c r="M40" s="158"/>
      <c r="N40" s="158">
        <f>(20+N32)-N39</f>
        <v>16</v>
      </c>
      <c r="O40" s="158">
        <f>(20+O32)-O39</f>
        <v>16</v>
      </c>
      <c r="P40" s="158">
        <f>(20+P32)-P39</f>
        <v>16</v>
      </c>
      <c r="Q40" s="158">
        <f>(20+Q32)-Q39</f>
        <v>16</v>
      </c>
      <c r="R40" s="158">
        <f>(20+R32)-R39</f>
        <v>16</v>
      </c>
      <c r="S40" s="158"/>
      <c r="T40" s="158"/>
      <c r="U40" s="158">
        <f>(20+U32)-U39</f>
        <v>15</v>
      </c>
      <c r="V40" s="158">
        <f>(20+V32)-V39</f>
        <v>15</v>
      </c>
      <c r="W40" s="158">
        <f>(20+W32)-W39</f>
        <v>15</v>
      </c>
      <c r="X40" s="158">
        <f>(20+X32)-X39</f>
        <v>14</v>
      </c>
      <c r="Y40" s="158">
        <f>(20+Y32)-Y39</f>
        <v>14</v>
      </c>
      <c r="Z40" s="158"/>
      <c r="AA40" s="158"/>
      <c r="AB40" s="158">
        <f>(20+AB32)-AB39</f>
        <v>16</v>
      </c>
      <c r="AC40" s="158">
        <f>(20+AC32)-AC39</f>
        <v>16</v>
      </c>
      <c r="AD40" s="158">
        <f>(20+AD32)-AD39</f>
        <v>16</v>
      </c>
      <c r="AE40" s="158">
        <f>(20+AE32)-AE39</f>
        <v>16</v>
      </c>
      <c r="AF40" s="158">
        <f>(20+AF32)-AF39</f>
        <v>16</v>
      </c>
      <c r="AG40" s="158"/>
      <c r="AH40" s="158"/>
      <c r="AI40" s="158">
        <f>(20+AI32)-AI39</f>
        <v>17</v>
      </c>
      <c r="AJ40" s="158">
        <f>(20+AJ32)-AJ39</f>
        <v>17</v>
      </c>
      <c r="AK40" s="158">
        <f>(20+AK32)-AK39</f>
        <v>16</v>
      </c>
      <c r="AL40" s="158">
        <f>(20+AL32)-AL39</f>
        <v>17</v>
      </c>
      <c r="AM40" s="158">
        <f>(20+AM32)-AM39</f>
        <v>17</v>
      </c>
      <c r="AN40" s="158"/>
      <c r="AO40" s="159"/>
    </row>
    <row r="41" spans="4:41" ht="24" customHeight="1">
      <c r="D41" s="156" t="s">
        <v>177</v>
      </c>
      <c r="E41" s="156">
        <f>AVERAGE(G41:AM41)</f>
        <v>16</v>
      </c>
      <c r="F41" s="216" t="s">
        <v>180</v>
      </c>
      <c r="G41" s="161">
        <v>16</v>
      </c>
      <c r="H41" s="161">
        <v>16</v>
      </c>
      <c r="I41" s="161">
        <v>16</v>
      </c>
      <c r="J41" s="161">
        <v>16</v>
      </c>
      <c r="K41" s="161">
        <v>16</v>
      </c>
      <c r="L41" s="161"/>
      <c r="M41" s="161"/>
      <c r="N41" s="161">
        <v>16</v>
      </c>
      <c r="O41" s="161">
        <v>16</v>
      </c>
      <c r="P41" s="161">
        <v>16</v>
      </c>
      <c r="Q41" s="161">
        <v>16</v>
      </c>
      <c r="R41" s="161">
        <v>16</v>
      </c>
      <c r="S41" s="162"/>
      <c r="T41" s="162"/>
      <c r="U41" s="161">
        <v>16</v>
      </c>
      <c r="V41" s="161">
        <v>16</v>
      </c>
      <c r="W41" s="161">
        <v>16</v>
      </c>
      <c r="X41" s="161">
        <v>16</v>
      </c>
      <c r="Y41" s="161">
        <v>16</v>
      </c>
      <c r="Z41" s="162"/>
      <c r="AA41" s="162"/>
      <c r="AB41" s="161">
        <v>16</v>
      </c>
      <c r="AC41" s="161">
        <v>16</v>
      </c>
      <c r="AD41" s="161">
        <v>16</v>
      </c>
      <c r="AE41" s="161">
        <v>16</v>
      </c>
      <c r="AF41" s="161">
        <v>16</v>
      </c>
      <c r="AG41" s="162"/>
      <c r="AH41" s="162"/>
      <c r="AI41" s="161">
        <v>16</v>
      </c>
      <c r="AJ41" s="161">
        <v>16</v>
      </c>
      <c r="AK41" s="161">
        <v>16</v>
      </c>
      <c r="AL41" s="161">
        <v>16</v>
      </c>
      <c r="AM41" s="161">
        <v>16</v>
      </c>
      <c r="AN41" s="162"/>
      <c r="AO41" s="163"/>
    </row>
    <row r="42" spans="4:41" ht="24" customHeight="1">
      <c r="D42" s="156" t="s">
        <v>177</v>
      </c>
      <c r="E42" s="156">
        <f>AVERAGE(G42:AM42)</f>
        <v>-0.12</v>
      </c>
      <c r="F42" s="217" t="s">
        <v>181</v>
      </c>
      <c r="G42" s="166">
        <f>G40-G41</f>
        <v>0</v>
      </c>
      <c r="H42" s="166">
        <f>H40-H41</f>
        <v>0</v>
      </c>
      <c r="I42" s="166">
        <f>I40-I41</f>
        <v>0</v>
      </c>
      <c r="J42" s="166">
        <f>J40-J41</f>
        <v>0</v>
      </c>
      <c r="K42" s="166">
        <f>K40-K41</f>
        <v>0</v>
      </c>
      <c r="L42" s="166"/>
      <c r="M42" s="166"/>
      <c r="N42" s="166">
        <f>N40-N41</f>
        <v>0</v>
      </c>
      <c r="O42" s="166">
        <f>O40-O41</f>
        <v>0</v>
      </c>
      <c r="P42" s="166">
        <f>P40-P41</f>
        <v>0</v>
      </c>
      <c r="Q42" s="166">
        <f>Q40-Q41</f>
        <v>0</v>
      </c>
      <c r="R42" s="166">
        <f>R40-R41</f>
        <v>0</v>
      </c>
      <c r="S42" s="166"/>
      <c r="T42" s="166"/>
      <c r="U42" s="166">
        <f>U40-U41</f>
        <v>-1</v>
      </c>
      <c r="V42" s="166">
        <f>V40-V41</f>
        <v>-1</v>
      </c>
      <c r="W42" s="166">
        <f>W40-W41</f>
        <v>-1</v>
      </c>
      <c r="X42" s="166">
        <f>X40-X41</f>
        <v>-2</v>
      </c>
      <c r="Y42" s="166">
        <f>Y40-Y41</f>
        <v>-2</v>
      </c>
      <c r="Z42" s="166"/>
      <c r="AA42" s="166"/>
      <c r="AB42" s="166">
        <f>AB40-AB41</f>
        <v>0</v>
      </c>
      <c r="AC42" s="166">
        <f>AC40-AC41</f>
        <v>0</v>
      </c>
      <c r="AD42" s="166">
        <f>AD40-AD41</f>
        <v>0</v>
      </c>
      <c r="AE42" s="166">
        <f>AE40-AE41</f>
        <v>0</v>
      </c>
      <c r="AF42" s="166">
        <f>AF40-AF41</f>
        <v>0</v>
      </c>
      <c r="AG42" s="166"/>
      <c r="AH42" s="166"/>
      <c r="AI42" s="166">
        <f>AI40-AI41</f>
        <v>1</v>
      </c>
      <c r="AJ42" s="166">
        <f>AJ40-AJ41</f>
        <v>1</v>
      </c>
      <c r="AK42" s="166">
        <f>AK40-AK41</f>
        <v>0</v>
      </c>
      <c r="AL42" s="166">
        <f>AL40-AL41</f>
        <v>1</v>
      </c>
      <c r="AM42" s="166">
        <f>AM40-AM41</f>
        <v>1</v>
      </c>
      <c r="AN42" s="166"/>
      <c r="AO42" s="167"/>
    </row>
    <row r="43" spans="4:41" ht="18.75" customHeight="1">
      <c r="F43" s="13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 spans="4:41" ht="18.75" customHeight="1">
      <c r="F44" s="13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 spans="4:41" ht="18.75" customHeight="1">
      <c r="F45" s="13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 spans="4:41" ht="18.75" customHeight="1">
      <c r="F46" s="13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</row>
    <row r="47" spans="4:41" ht="18.75" customHeight="1">
      <c r="F47" s="13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 spans="4:41" ht="18.75" customHeight="1">
      <c r="F48" s="13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 spans="6:37" ht="18.75" customHeight="1">
      <c r="F49" s="13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 spans="6:37" ht="18.75" customHeight="1">
      <c r="F50" s="13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 spans="6:37" ht="18.75" customHeight="1">
      <c r="F51" s="13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 spans="6:37" ht="18.75" customHeight="1">
      <c r="F52" s="13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 spans="6:37" ht="18.75" customHeight="1">
      <c r="F53" s="13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 spans="6:37" ht="18.75" customHeight="1">
      <c r="F54" s="13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 spans="6:37" ht="18.75" customHeight="1">
      <c r="F55" s="13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</row>
    <row r="56" spans="6:37" ht="18.75" customHeight="1">
      <c r="F56" s="13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 spans="6:37" ht="18.75" customHeight="1">
      <c r="F57" s="13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 spans="6:37" ht="18.75" customHeight="1">
      <c r="F58" s="13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</row>
    <row r="59" spans="6:37" ht="18.75" customHeight="1">
      <c r="F59" s="13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</row>
    <row r="60" spans="6:37" ht="18.75" customHeight="1">
      <c r="F60" s="13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 spans="6:37" ht="18.75" customHeight="1">
      <c r="F61" s="13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</row>
    <row r="62" spans="6:37" ht="18.75" customHeight="1">
      <c r="F62" s="13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 spans="6:37" ht="18.75" customHeight="1">
      <c r="F63" s="13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</row>
    <row r="64" spans="6:37" ht="18.75" customHeight="1">
      <c r="F64" s="13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</row>
    <row r="65" spans="6:37" ht="18.75" customHeight="1">
      <c r="F65" s="13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 spans="6:37" ht="18.75" customHeight="1">
      <c r="F66" s="13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</row>
    <row r="67" spans="6:37" ht="18.75" customHeight="1">
      <c r="F67" s="13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</row>
    <row r="68" spans="6:37" ht="18.75" customHeight="1">
      <c r="F68" s="13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</row>
    <row r="69" spans="6:37" ht="18.75" customHeight="1">
      <c r="F69" s="13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</row>
    <row r="70" spans="6:37" ht="18.75" customHeight="1">
      <c r="F70" s="13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</row>
    <row r="71" spans="6:37" ht="18.75" customHeight="1">
      <c r="F71" s="13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</row>
    <row r="72" spans="6:37" ht="18.75" customHeight="1">
      <c r="F72" s="13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 spans="6:37" ht="18.75" customHeight="1">
      <c r="F73" s="13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</row>
    <row r="74" spans="6:37" ht="18.75" customHeight="1">
      <c r="F74" s="13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</row>
    <row r="75" spans="6:37" ht="18.75" customHeight="1">
      <c r="F75" s="13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 spans="6:37" ht="18.75" customHeight="1">
      <c r="F76" s="13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</row>
    <row r="77" spans="6:37" ht="18.75" customHeight="1">
      <c r="F77" s="13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</row>
    <row r="78" spans="6:37" ht="18.75" customHeight="1">
      <c r="F78" s="13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 spans="6:37" ht="18.75" customHeight="1">
      <c r="F79" s="13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 spans="6:37" ht="18.75" customHeight="1">
      <c r="F80" s="13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</row>
    <row r="81" spans="6:37" ht="18.75" customHeight="1">
      <c r="F81" s="13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</row>
    <row r="82" spans="6:37" ht="18.75" customHeight="1">
      <c r="F82" s="13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</row>
    <row r="83" spans="6:37" ht="18.75" customHeight="1">
      <c r="F83" s="13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  <row r="84" spans="6:37" ht="18.75" customHeight="1">
      <c r="F84" s="13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</row>
    <row r="85" spans="6:37" ht="18.75" customHeight="1">
      <c r="F85" s="13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</row>
    <row r="86" spans="6:37" ht="18.75" customHeight="1">
      <c r="F86" s="13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</row>
    <row r="87" spans="6:37" ht="18.75" customHeight="1">
      <c r="F87" s="13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</row>
    <row r="88" spans="6:37" ht="18.75" customHeight="1">
      <c r="F88" s="13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</row>
    <row r="89" spans="6:37" ht="18.75" customHeight="1">
      <c r="F89" s="13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</row>
    <row r="90" spans="6:37" ht="18.75" customHeight="1">
      <c r="F90" s="13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</row>
    <row r="91" spans="6:37" ht="18.75" customHeight="1">
      <c r="F91" s="13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</row>
    <row r="92" spans="6:37" ht="18.75" customHeight="1">
      <c r="F92" s="13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</row>
    <row r="93" spans="6:37" ht="18.75" customHeight="1">
      <c r="F93" s="13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</row>
    <row r="94" spans="6:37" ht="18.75" customHeight="1">
      <c r="F94" s="13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</row>
    <row r="95" spans="6:37" ht="18.75" customHeight="1">
      <c r="F95" s="13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</row>
    <row r="96" spans="6:37" ht="18.75" customHeight="1">
      <c r="F96" s="13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</row>
    <row r="97" spans="6:37" ht="18.75" customHeight="1">
      <c r="F97" s="13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</row>
    <row r="98" spans="6:37" ht="18.75" customHeight="1">
      <c r="F98" s="13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</row>
    <row r="99" spans="6:37" ht="18.75" customHeight="1">
      <c r="F99" s="13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</row>
    <row r="100" spans="6:37" ht="18.75" customHeight="1">
      <c r="F100" s="13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</row>
    <row r="101" spans="6:37" ht="18.75" customHeight="1">
      <c r="F101" s="13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 spans="6:37" ht="18.75" customHeight="1">
      <c r="F102" s="13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</row>
    <row r="103" spans="6:37" ht="18.75" customHeight="1">
      <c r="F103" s="13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</row>
    <row r="104" spans="6:37" ht="18.75" customHeight="1">
      <c r="F104" s="13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</row>
    <row r="105" spans="6:37" ht="18.75" customHeight="1">
      <c r="F105" s="13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</row>
    <row r="106" spans="6:37" ht="18.75" customHeight="1">
      <c r="F106" s="13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</row>
    <row r="107" spans="6:37" ht="18.75" customHeight="1">
      <c r="F107" s="13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</row>
    <row r="108" spans="6:37" ht="18.75" customHeight="1">
      <c r="F108" s="13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</row>
    <row r="109" spans="6:37" ht="18.75" customHeight="1">
      <c r="F109" s="13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</row>
    <row r="110" spans="6:37" ht="18.75" customHeight="1">
      <c r="F110" s="13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</row>
    <row r="111" spans="6:37" ht="18.75" customHeight="1">
      <c r="F111" s="13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</row>
    <row r="112" spans="6:37" ht="18.75" customHeight="1">
      <c r="F112" s="13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</row>
    <row r="113" spans="6:37" ht="18.75" customHeight="1">
      <c r="F113" s="13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</row>
    <row r="114" spans="6:37" ht="18.75" customHeight="1">
      <c r="F114" s="13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</row>
    <row r="115" spans="6:37" ht="18.75" customHeight="1">
      <c r="F115" s="13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</row>
    <row r="116" spans="6:37" ht="18.75" customHeight="1">
      <c r="F116" s="13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</row>
    <row r="117" spans="6:37" ht="18.75" customHeight="1">
      <c r="F117" s="13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</row>
    <row r="118" spans="6:37" ht="18.75" customHeight="1">
      <c r="F118" s="13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</row>
    <row r="119" spans="6:37" ht="18.75" customHeight="1">
      <c r="F119" s="13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</row>
    <row r="120" spans="6:37" ht="18.75" customHeight="1">
      <c r="F120" s="13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 spans="6:37" ht="18.75" customHeight="1">
      <c r="F121" s="13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</row>
    <row r="122" spans="6:37" ht="18.75" customHeight="1">
      <c r="F122" s="13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</row>
    <row r="123" spans="6:37" ht="18.75" customHeight="1">
      <c r="F123" s="13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</row>
    <row r="124" spans="6:37" ht="18.75" customHeight="1">
      <c r="F124" s="13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</row>
    <row r="125" spans="6:37" ht="18.75" customHeight="1">
      <c r="F125" s="13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</row>
    <row r="126" spans="6:37" ht="18.75" customHeight="1">
      <c r="F126" s="13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</row>
    <row r="127" spans="6:37" ht="18.75" customHeight="1">
      <c r="F127" s="13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</row>
    <row r="128" spans="6:37" ht="18.75" customHeight="1">
      <c r="F128" s="13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</row>
    <row r="129" spans="6:37" ht="18.75" customHeight="1">
      <c r="F129" s="13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</row>
    <row r="130" spans="6:37" ht="18.75" customHeight="1">
      <c r="F130" s="13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</row>
    <row r="131" spans="6:37" ht="18.75" customHeight="1">
      <c r="F131" s="13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</row>
    <row r="132" spans="6:37" ht="18.75" customHeight="1">
      <c r="F132" s="13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</row>
    <row r="133" spans="6:37" ht="18.75" customHeight="1">
      <c r="F133" s="13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</row>
    <row r="134" spans="6:37" ht="18.75" customHeight="1">
      <c r="F134" s="13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</row>
    <row r="135" spans="6:37" ht="18.75" customHeight="1">
      <c r="F135" s="13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</row>
    <row r="136" spans="6:37" ht="18.75" customHeight="1">
      <c r="F136" s="13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</row>
    <row r="137" spans="6:37" ht="18.75" customHeight="1">
      <c r="F137" s="13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</row>
    <row r="138" spans="6:37" ht="18.75" customHeight="1">
      <c r="F138" s="13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</row>
    <row r="139" spans="6:37" ht="18.75" customHeight="1">
      <c r="F139" s="13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</row>
    <row r="140" spans="6:37" ht="18.75" customHeight="1">
      <c r="F140" s="13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</row>
    <row r="141" spans="6:37" ht="18.75" customHeight="1">
      <c r="F141" s="13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</row>
    <row r="142" spans="6:37" ht="18.75" customHeight="1">
      <c r="F142" s="13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</row>
    <row r="143" spans="6:37" ht="18.75" customHeight="1">
      <c r="F143" s="13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</row>
    <row r="144" spans="6:37" ht="18.75" customHeight="1">
      <c r="F144" s="13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</row>
    <row r="145" spans="6:37" ht="18.75" customHeight="1">
      <c r="F145" s="13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</row>
    <row r="146" spans="6:37" ht="18.75" customHeight="1">
      <c r="F146" s="13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</row>
    <row r="147" spans="6:37" ht="18.75" customHeight="1">
      <c r="F147" s="13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</row>
    <row r="148" spans="6:37" ht="18.75" customHeight="1">
      <c r="F148" s="13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</row>
    <row r="149" spans="6:37" ht="18.75" customHeight="1">
      <c r="F149" s="13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</row>
    <row r="150" spans="6:37" ht="18.75" customHeight="1">
      <c r="F150" s="13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</row>
    <row r="151" spans="6:37" ht="18.75" customHeight="1">
      <c r="F151" s="13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</row>
    <row r="152" spans="6:37" ht="18.75" customHeight="1">
      <c r="F152" s="13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</row>
    <row r="153" spans="6:37" ht="18.75" customHeight="1">
      <c r="F153" s="13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</row>
    <row r="154" spans="6:37" ht="18.75" customHeight="1">
      <c r="F154" s="13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</row>
    <row r="155" spans="6:37" ht="18.75" customHeight="1">
      <c r="F155" s="13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</row>
    <row r="156" spans="6:37" ht="18.75" customHeight="1">
      <c r="F156" s="13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</row>
    <row r="157" spans="6:37" ht="18.75" customHeight="1">
      <c r="F157" s="13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</row>
    <row r="158" spans="6:37" ht="18.75" customHeight="1">
      <c r="F158" s="13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</row>
    <row r="159" spans="6:37" ht="18.75" customHeight="1">
      <c r="F159" s="13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</row>
    <row r="160" spans="6:37" ht="18.75" customHeight="1">
      <c r="F160" s="13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</row>
    <row r="161" spans="6:37" ht="18.75" customHeight="1">
      <c r="F161" s="13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</row>
    <row r="162" spans="6:37" ht="18.75" customHeight="1">
      <c r="F162" s="13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</row>
    <row r="163" spans="6:37" ht="18.75" customHeight="1">
      <c r="F163" s="13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</row>
    <row r="164" spans="6:37" ht="18.75" customHeight="1">
      <c r="F164" s="13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</row>
    <row r="165" spans="6:37" ht="18.75" customHeight="1">
      <c r="F165" s="13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</row>
    <row r="166" spans="6:37" ht="18.75" customHeight="1">
      <c r="F166" s="13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</row>
    <row r="167" spans="6:37" ht="18.75" customHeight="1">
      <c r="F167" s="13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</row>
    <row r="168" spans="6:37" ht="18.75" customHeight="1">
      <c r="F168" s="13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</row>
    <row r="169" spans="6:37" ht="18.75" customHeight="1">
      <c r="F169" s="13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</row>
    <row r="170" spans="6:37" ht="18.75" customHeight="1">
      <c r="F170" s="13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</row>
    <row r="171" spans="6:37" ht="18.75" customHeight="1">
      <c r="F171" s="13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</row>
    <row r="172" spans="6:37" ht="18.75" customHeight="1">
      <c r="F172" s="13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</row>
    <row r="173" spans="6:37" ht="18.75" customHeight="1">
      <c r="F173" s="13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</row>
    <row r="174" spans="6:37" ht="18.75" customHeight="1">
      <c r="F174" s="13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</row>
    <row r="175" spans="6:37" ht="18.75" customHeight="1">
      <c r="F175" s="13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</row>
    <row r="176" spans="6:37" ht="18.75" customHeight="1">
      <c r="F176" s="13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</row>
    <row r="177" spans="6:37" ht="18.75" customHeight="1">
      <c r="F177" s="13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</row>
    <row r="178" spans="6:37" ht="18.75" customHeight="1">
      <c r="F178" s="13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</row>
    <row r="179" spans="6:37" ht="18.75" customHeight="1">
      <c r="F179" s="13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</row>
    <row r="180" spans="6:37" ht="18.75" customHeight="1">
      <c r="F180" s="13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</row>
    <row r="181" spans="6:37" ht="18.75" customHeight="1">
      <c r="F181" s="13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</row>
    <row r="182" spans="6:37" ht="18.75" customHeight="1">
      <c r="F182" s="13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</row>
    <row r="183" spans="6:37" ht="18.75" customHeight="1">
      <c r="F183" s="13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</row>
    <row r="184" spans="6:37" ht="18.75" customHeight="1">
      <c r="F184" s="13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</row>
    <row r="185" spans="6:37" ht="18.75" customHeight="1">
      <c r="F185" s="13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</row>
    <row r="186" spans="6:37" ht="18.75" customHeight="1">
      <c r="F186" s="13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</row>
    <row r="187" spans="6:37" ht="18.75" customHeight="1">
      <c r="F187" s="13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</row>
    <row r="188" spans="6:37" ht="18.75" customHeight="1">
      <c r="F188" s="13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</row>
    <row r="189" spans="6:37" ht="18.75" customHeight="1">
      <c r="F189" s="13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</row>
    <row r="190" spans="6:37" ht="18.75" customHeight="1">
      <c r="F190" s="13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</row>
    <row r="191" spans="6:37" ht="18.75" customHeight="1">
      <c r="F191" s="13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</row>
    <row r="192" spans="6:37" ht="18.75" customHeight="1">
      <c r="F192" s="13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</row>
    <row r="193" spans="6:37" ht="18.75" customHeight="1">
      <c r="F193" s="13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</row>
    <row r="194" spans="6:37" ht="18.75" customHeight="1">
      <c r="F194" s="13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</row>
    <row r="195" spans="6:37" ht="18.75" customHeight="1">
      <c r="F195" s="13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</row>
    <row r="196" spans="6:37" ht="18.75" customHeight="1">
      <c r="F196" s="13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</row>
    <row r="197" spans="6:37" ht="18.75" customHeight="1">
      <c r="F197" s="13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</row>
    <row r="198" spans="6:37" ht="18.75" customHeight="1">
      <c r="F198" s="13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</row>
    <row r="199" spans="6:37" ht="18.75" customHeight="1">
      <c r="F199" s="13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</row>
    <row r="200" spans="6:37" ht="18.75" customHeight="1">
      <c r="F200" s="13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</row>
    <row r="201" spans="6:37" ht="18.75" customHeight="1">
      <c r="F201" s="13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</row>
    <row r="202" spans="6:37" ht="18.75" customHeight="1">
      <c r="F202" s="13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</row>
    <row r="203" spans="6:37" ht="18.75" customHeight="1">
      <c r="F203" s="13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</row>
    <row r="204" spans="6:37" ht="18.75" customHeight="1">
      <c r="F204" s="13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</row>
    <row r="205" spans="6:37" ht="18.75" customHeight="1">
      <c r="F205" s="13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</row>
    <row r="206" spans="6:37" ht="18.75" customHeight="1">
      <c r="F206" s="13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</row>
    <row r="207" spans="6:37" ht="18.75" customHeight="1">
      <c r="F207" s="13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</row>
    <row r="208" spans="6:37" ht="18.75" customHeight="1">
      <c r="F208" s="13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</row>
    <row r="209" spans="6:37" ht="18.75" customHeight="1">
      <c r="F209" s="13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</row>
    <row r="210" spans="6:37" ht="18.75" customHeight="1">
      <c r="F210" s="13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</row>
    <row r="211" spans="6:37" ht="18.75" customHeight="1">
      <c r="F211" s="13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</row>
    <row r="212" spans="6:37" ht="18.75" customHeight="1">
      <c r="F212" s="13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</row>
    <row r="213" spans="6:37" ht="18.75" customHeight="1">
      <c r="F213" s="13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</row>
    <row r="214" spans="6:37" ht="18.75" customHeight="1">
      <c r="F214" s="13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</row>
    <row r="215" spans="6:37" ht="18.75" customHeight="1">
      <c r="F215" s="13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</row>
    <row r="216" spans="6:37" ht="18.75" customHeight="1">
      <c r="F216" s="13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</row>
    <row r="217" spans="6:37" ht="18.75" customHeight="1">
      <c r="F217" s="13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</row>
    <row r="218" spans="6:37" ht="18.75" customHeight="1">
      <c r="F218" s="13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</row>
    <row r="219" spans="6:37" ht="18.75" customHeight="1">
      <c r="F219" s="13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</row>
    <row r="220" spans="6:37" ht="18.75" customHeight="1">
      <c r="F220" s="13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</row>
    <row r="221" spans="6:37" ht="18.75" customHeight="1">
      <c r="F221" s="13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</row>
    <row r="222" spans="6:37" ht="18.75" customHeight="1">
      <c r="F222" s="13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</row>
    <row r="223" spans="6:37" ht="18.75" customHeight="1">
      <c r="F223" s="13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</row>
    <row r="224" spans="6:37" ht="18.75" customHeight="1">
      <c r="F224" s="13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</row>
    <row r="225" spans="6:37" ht="18.75" customHeight="1">
      <c r="F225" s="13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</row>
    <row r="226" spans="6:37" ht="18.75" customHeight="1">
      <c r="F226" s="13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</row>
    <row r="227" spans="6:37" ht="18.75" customHeight="1">
      <c r="F227" s="13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</row>
    <row r="228" spans="6:37" ht="18.75" customHeight="1">
      <c r="F228" s="13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</row>
    <row r="229" spans="6:37" ht="18.75" customHeight="1">
      <c r="F229" s="13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</row>
    <row r="230" spans="6:37" ht="18.75" customHeight="1">
      <c r="F230" s="13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</row>
    <row r="231" spans="6:37" ht="18.75" customHeight="1">
      <c r="F231" s="13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</row>
    <row r="232" spans="6:37" ht="18.75" customHeight="1">
      <c r="F232" s="13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</row>
    <row r="233" spans="6:37" ht="18.75" customHeight="1">
      <c r="F233" s="13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</row>
    <row r="234" spans="6:37" ht="18.75" customHeight="1">
      <c r="F234" s="13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</row>
    <row r="235" spans="6:37" ht="18.75" customHeight="1">
      <c r="F235" s="13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</row>
    <row r="236" spans="6:37" ht="18.75" customHeight="1">
      <c r="F236" s="13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</row>
    <row r="237" spans="6:37" ht="18.75" customHeight="1">
      <c r="F237" s="13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</row>
    <row r="238" spans="6:37" ht="18.75" customHeight="1">
      <c r="F238" s="13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</row>
    <row r="239" spans="6:37" ht="18.75" customHeight="1">
      <c r="F239" s="13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</row>
    <row r="240" spans="6:37" ht="18.75" customHeight="1">
      <c r="F240" s="13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</row>
    <row r="241" spans="6:37" ht="18.75" customHeight="1">
      <c r="F241" s="13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</row>
    <row r="242" spans="6:37" ht="18.75" customHeight="1">
      <c r="F242" s="13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</row>
    <row r="243" spans="6:37" ht="18.75" customHeight="1">
      <c r="F243" s="13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</row>
    <row r="244" spans="6:37" ht="18.75" customHeight="1">
      <c r="F244" s="13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</row>
    <row r="245" spans="6:37" ht="18.75" customHeight="1">
      <c r="F245" s="13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</row>
    <row r="246" spans="6:37" ht="18.75" customHeight="1">
      <c r="F246" s="13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</row>
    <row r="247" spans="6:37" ht="18.75" customHeight="1">
      <c r="F247" s="13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</row>
    <row r="248" spans="6:37" ht="18.75" customHeight="1">
      <c r="F248" s="13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</row>
    <row r="249" spans="6:37" ht="18.75" customHeight="1">
      <c r="F249" s="13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</row>
    <row r="250" spans="6:37" ht="18.75" customHeight="1">
      <c r="F250" s="13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</row>
    <row r="251" spans="6:37" ht="18.75" customHeight="1">
      <c r="F251" s="13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</row>
    <row r="252" spans="6:37" ht="18.75" customHeight="1">
      <c r="F252" s="13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</row>
    <row r="253" spans="6:37" ht="18.75" customHeight="1">
      <c r="F253" s="13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</row>
    <row r="254" spans="6:37" ht="18.75" customHeight="1">
      <c r="F254" s="13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</row>
    <row r="255" spans="6:37" ht="18.75" customHeight="1">
      <c r="F255" s="13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</row>
    <row r="256" spans="6:37" ht="18.75" customHeight="1">
      <c r="F256" s="13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</row>
    <row r="257" spans="6:37" ht="18.75" customHeight="1">
      <c r="F257" s="13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</row>
    <row r="258" spans="6:37" ht="18.75" customHeight="1">
      <c r="F258" s="13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</row>
    <row r="259" spans="6:37" ht="18.75" customHeight="1">
      <c r="F259" s="13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</row>
    <row r="260" spans="6:37" ht="18.75" customHeight="1">
      <c r="F260" s="13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</row>
    <row r="261" spans="6:37" ht="18.75" customHeight="1">
      <c r="F261" s="13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</row>
    <row r="262" spans="6:37" ht="18.75" customHeight="1">
      <c r="F262" s="13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</row>
    <row r="263" spans="6:37" ht="18.75" customHeight="1">
      <c r="F263" s="13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</row>
    <row r="264" spans="6:37" ht="18.75" customHeight="1">
      <c r="F264" s="13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</row>
    <row r="265" spans="6:37" ht="18.75" customHeight="1">
      <c r="F265" s="13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</row>
    <row r="266" spans="6:37" ht="18.75" customHeight="1">
      <c r="F266" s="13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</row>
    <row r="267" spans="6:37" ht="18.75" customHeight="1">
      <c r="F267" s="13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</row>
    <row r="268" spans="6:37" ht="18.75" customHeight="1">
      <c r="F268" s="13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</row>
    <row r="269" spans="6:37" ht="18.75" customHeight="1">
      <c r="F269" s="13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</row>
    <row r="270" spans="6:37" ht="18.75" customHeight="1">
      <c r="F270" s="13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</row>
    <row r="271" spans="6:37" ht="18.75" customHeight="1">
      <c r="F271" s="13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</row>
    <row r="272" spans="6:37" ht="18.75" customHeight="1">
      <c r="F272" s="13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</row>
    <row r="273" spans="6:37" ht="18.75" customHeight="1">
      <c r="F273" s="13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</row>
    <row r="274" spans="6:37" ht="18.75" customHeight="1">
      <c r="F274" s="13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</row>
    <row r="275" spans="6:37" ht="18.75" customHeight="1">
      <c r="F275" s="13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</row>
    <row r="276" spans="6:37" ht="18.75" customHeight="1">
      <c r="F276" s="13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</row>
    <row r="277" spans="6:37" ht="18.75" customHeight="1">
      <c r="F277" s="13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</row>
    <row r="278" spans="6:37" ht="18.75" customHeight="1">
      <c r="F278" s="13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</row>
    <row r="279" spans="6:37" ht="18.75" customHeight="1">
      <c r="F279" s="13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</row>
    <row r="280" spans="6:37" ht="18.75" customHeight="1">
      <c r="F280" s="13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</row>
    <row r="281" spans="6:37" ht="18.75" customHeight="1">
      <c r="F281" s="13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</row>
    <row r="282" spans="6:37" ht="18.75" customHeight="1">
      <c r="F282" s="13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</row>
    <row r="283" spans="6:37" ht="18.75" customHeight="1">
      <c r="F283" s="13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</row>
    <row r="284" spans="6:37" ht="18.75" customHeight="1">
      <c r="F284" s="13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</row>
    <row r="285" spans="6:37" ht="18.75" customHeight="1">
      <c r="F285" s="13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</row>
    <row r="286" spans="6:37" ht="18.75" customHeight="1">
      <c r="F286" s="13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</row>
    <row r="287" spans="6:37" ht="18.75" customHeight="1">
      <c r="F287" s="13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</row>
    <row r="288" spans="6:37" ht="18.75" customHeight="1">
      <c r="F288" s="13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</row>
    <row r="289" spans="6:37" ht="18.75" customHeight="1">
      <c r="F289" s="13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</row>
    <row r="290" spans="6:37" ht="18.75" customHeight="1">
      <c r="F290" s="13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</row>
    <row r="291" spans="6:37" ht="18.75" customHeight="1">
      <c r="F291" s="13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</row>
    <row r="292" spans="6:37" ht="18.75" customHeight="1">
      <c r="F292" s="13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</row>
    <row r="293" spans="6:37" ht="18.75" customHeight="1">
      <c r="F293" s="13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</row>
    <row r="294" spans="6:37" ht="18.75" customHeight="1">
      <c r="F294" s="13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</row>
    <row r="295" spans="6:37" ht="18.75" customHeight="1">
      <c r="F295" s="13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</row>
    <row r="296" spans="6:37" ht="18.75" customHeight="1">
      <c r="F296" s="13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</row>
    <row r="297" spans="6:37" ht="18.75" customHeight="1">
      <c r="F297" s="13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</row>
    <row r="298" spans="6:37" ht="18.75" customHeight="1">
      <c r="F298" s="13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</row>
    <row r="299" spans="6:37" ht="18.75" customHeight="1">
      <c r="F299" s="13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</row>
    <row r="300" spans="6:37" ht="18.75" customHeight="1">
      <c r="F300" s="13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</row>
    <row r="301" spans="6:37" ht="18.75" customHeight="1">
      <c r="F301" s="13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</row>
    <row r="302" spans="6:37" ht="18.75" customHeight="1">
      <c r="F302" s="13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</row>
    <row r="303" spans="6:37" ht="18.75" customHeight="1">
      <c r="F303" s="13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</row>
    <row r="304" spans="6:37" ht="18.75" customHeight="1">
      <c r="F304" s="13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</row>
    <row r="305" spans="6:37" ht="18.75" customHeight="1">
      <c r="F305" s="13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</row>
    <row r="306" spans="6:37" ht="18.75" customHeight="1">
      <c r="F306" s="13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</row>
    <row r="307" spans="6:37" ht="18.75" customHeight="1">
      <c r="F307" s="13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</row>
    <row r="308" spans="6:37" ht="18.75" customHeight="1">
      <c r="F308" s="13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</row>
    <row r="309" spans="6:37" ht="18.75" customHeight="1">
      <c r="F309" s="13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</row>
    <row r="310" spans="6:37" ht="18.75" customHeight="1">
      <c r="F310" s="13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</row>
    <row r="311" spans="6:37" ht="18.75" customHeight="1">
      <c r="F311" s="13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</row>
    <row r="312" spans="6:37" ht="18.75" customHeight="1">
      <c r="F312" s="13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</row>
    <row r="313" spans="6:37" ht="18.75" customHeight="1">
      <c r="F313" s="13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</row>
    <row r="314" spans="6:37" ht="18.75" customHeight="1">
      <c r="F314" s="13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</row>
    <row r="315" spans="6:37" ht="18.75" customHeight="1">
      <c r="F315" s="13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</row>
    <row r="316" spans="6:37" ht="18.75" customHeight="1">
      <c r="F316" s="13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</row>
    <row r="317" spans="6:37" ht="18.75" customHeight="1">
      <c r="F317" s="13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</row>
    <row r="318" spans="6:37" ht="18.75" customHeight="1">
      <c r="F318" s="13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</row>
    <row r="319" spans="6:37" ht="18.75" customHeight="1">
      <c r="F319" s="13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</row>
    <row r="320" spans="6:37" ht="18.75" customHeight="1">
      <c r="F320" s="13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</row>
    <row r="321" spans="6:37" ht="18.75" customHeight="1">
      <c r="F321" s="13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</row>
    <row r="322" spans="6:37" ht="18.75" customHeight="1">
      <c r="F322" s="13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</row>
    <row r="323" spans="6:37" ht="18.75" customHeight="1">
      <c r="F323" s="13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</row>
    <row r="324" spans="6:37" ht="18.75" customHeight="1">
      <c r="F324" s="13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</row>
    <row r="325" spans="6:37" ht="18.75" customHeight="1">
      <c r="F325" s="13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</row>
    <row r="326" spans="6:37" ht="18.75" customHeight="1">
      <c r="F326" s="13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</row>
    <row r="327" spans="6:37" ht="18.75" customHeight="1">
      <c r="F327" s="13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</row>
    <row r="328" spans="6:37" ht="18.75" customHeight="1">
      <c r="F328" s="13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</row>
    <row r="329" spans="6:37" ht="18.75" customHeight="1">
      <c r="F329" s="13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</row>
    <row r="330" spans="6:37" ht="18.75" customHeight="1">
      <c r="F330" s="13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</row>
    <row r="331" spans="6:37" ht="18.75" customHeight="1">
      <c r="F331" s="13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</row>
    <row r="332" spans="6:37" ht="18.75" customHeight="1">
      <c r="F332" s="13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</row>
    <row r="333" spans="6:37" ht="18.75" customHeight="1">
      <c r="F333" s="13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</row>
    <row r="334" spans="6:37" ht="18.75" customHeight="1">
      <c r="F334" s="13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</row>
    <row r="335" spans="6:37" ht="18.75" customHeight="1">
      <c r="F335" s="13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</row>
    <row r="336" spans="6:37" ht="18.75" customHeight="1">
      <c r="F336" s="13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</row>
    <row r="337" spans="6:37" ht="18.75" customHeight="1">
      <c r="F337" s="13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</row>
    <row r="338" spans="6:37" ht="18.75" customHeight="1">
      <c r="F338" s="13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</row>
    <row r="339" spans="6:37" ht="18.75" customHeight="1">
      <c r="F339" s="13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</row>
    <row r="340" spans="6:37" ht="18.75" customHeight="1">
      <c r="F340" s="13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</row>
    <row r="341" spans="6:37" ht="18.75" customHeight="1">
      <c r="F341" s="13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</row>
    <row r="342" spans="6:37" ht="18.75" customHeight="1">
      <c r="F342" s="13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</row>
    <row r="343" spans="6:37" ht="18.75" customHeight="1">
      <c r="F343" s="13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</row>
    <row r="344" spans="6:37" ht="18.75" customHeight="1">
      <c r="F344" s="13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</row>
    <row r="345" spans="6:37" ht="18.75" customHeight="1">
      <c r="F345" s="13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</row>
    <row r="346" spans="6:37" ht="18.75" customHeight="1">
      <c r="F346" s="13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</row>
    <row r="347" spans="6:37" ht="18.75" customHeight="1">
      <c r="F347" s="13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</row>
    <row r="348" spans="6:37" ht="18.75" customHeight="1">
      <c r="F348" s="13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</row>
    <row r="349" spans="6:37" ht="18.75" customHeight="1">
      <c r="F349" s="13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</row>
    <row r="350" spans="6:37" ht="18.75" customHeight="1">
      <c r="F350" s="13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</row>
    <row r="351" spans="6:37" ht="18.75" customHeight="1">
      <c r="F351" s="13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</row>
    <row r="352" spans="6:37" ht="18.75" customHeight="1">
      <c r="F352" s="13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</row>
    <row r="353" spans="6:37" ht="18.75" customHeight="1">
      <c r="F353" s="13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</row>
    <row r="354" spans="6:37" ht="18.75" customHeight="1">
      <c r="F354" s="13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</row>
    <row r="355" spans="6:37" ht="18.75" customHeight="1">
      <c r="F355" s="13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</row>
    <row r="356" spans="6:37" ht="18.75" customHeight="1">
      <c r="F356" s="13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</row>
    <row r="357" spans="6:37" ht="18.75" customHeight="1">
      <c r="F357" s="13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</row>
    <row r="358" spans="6:37" ht="18.75" customHeight="1">
      <c r="F358" s="13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</row>
    <row r="359" spans="6:37" ht="18.75" customHeight="1">
      <c r="F359" s="13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</row>
    <row r="360" spans="6:37" ht="18.75" customHeight="1">
      <c r="F360" s="13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</row>
    <row r="361" spans="6:37" ht="18.75" customHeight="1">
      <c r="F361" s="13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</row>
    <row r="362" spans="6:37" ht="18.75" customHeight="1">
      <c r="F362" s="13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</row>
    <row r="363" spans="6:37" ht="18.75" customHeight="1">
      <c r="F363" s="13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</row>
    <row r="364" spans="6:37" ht="18.75" customHeight="1">
      <c r="F364" s="13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</row>
    <row r="365" spans="6:37" ht="18.75" customHeight="1">
      <c r="F365" s="13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</row>
    <row r="366" spans="6:37" ht="18.75" customHeight="1">
      <c r="F366" s="13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</row>
    <row r="367" spans="6:37" ht="18.75" customHeight="1">
      <c r="F367" s="13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</row>
    <row r="368" spans="6:37" ht="18.75" customHeight="1">
      <c r="F368" s="13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</row>
    <row r="369" spans="6:37" ht="18.75" customHeight="1">
      <c r="F369" s="13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</row>
    <row r="370" spans="6:37" ht="18.75" customHeight="1">
      <c r="F370" s="13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</row>
    <row r="371" spans="6:37" ht="18.75" customHeight="1">
      <c r="F371" s="13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</row>
    <row r="372" spans="6:37" ht="18.75" customHeight="1">
      <c r="F372" s="13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</row>
    <row r="373" spans="6:37" ht="18.75" customHeight="1">
      <c r="F373" s="13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</row>
    <row r="374" spans="6:37" ht="18.75" customHeight="1">
      <c r="F374" s="13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</row>
    <row r="375" spans="6:37" ht="18.75" customHeight="1">
      <c r="F375" s="13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</row>
    <row r="376" spans="6:37" ht="18.75" customHeight="1">
      <c r="F376" s="13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</row>
    <row r="377" spans="6:37" ht="18.75" customHeight="1">
      <c r="F377" s="13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</row>
    <row r="378" spans="6:37" ht="18.75" customHeight="1">
      <c r="F378" s="13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</row>
    <row r="379" spans="6:37" ht="18.75" customHeight="1">
      <c r="F379" s="13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</row>
    <row r="380" spans="6:37" ht="18.75" customHeight="1">
      <c r="F380" s="13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</row>
    <row r="381" spans="6:37" ht="18.75" customHeight="1">
      <c r="F381" s="13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</row>
    <row r="382" spans="6:37" ht="18.75" customHeight="1">
      <c r="F382" s="13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</row>
    <row r="383" spans="6:37" ht="18.75" customHeight="1">
      <c r="F383" s="13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</row>
    <row r="384" spans="6:37" ht="18.75" customHeight="1">
      <c r="F384" s="13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</row>
    <row r="385" spans="6:37" ht="18.75" customHeight="1">
      <c r="F385" s="13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</row>
    <row r="386" spans="6:37" ht="18.75" customHeight="1">
      <c r="F386" s="13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</row>
    <row r="387" spans="6:37" ht="18.75" customHeight="1">
      <c r="F387" s="13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</row>
    <row r="388" spans="6:37" ht="18.75" customHeight="1">
      <c r="F388" s="13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</row>
    <row r="389" spans="6:37" ht="18.75" customHeight="1">
      <c r="F389" s="13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</row>
    <row r="390" spans="6:37" ht="18.75" customHeight="1">
      <c r="F390" s="13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</row>
    <row r="391" spans="6:37" ht="18.75" customHeight="1">
      <c r="F391" s="13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</row>
    <row r="392" spans="6:37" ht="18.75" customHeight="1">
      <c r="F392" s="13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</row>
    <row r="393" spans="6:37" ht="18.75" customHeight="1">
      <c r="F393" s="13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</row>
    <row r="394" spans="6:37" ht="18.75" customHeight="1">
      <c r="F394" s="13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</row>
    <row r="395" spans="6:37" ht="18.75" customHeight="1">
      <c r="F395" s="13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</row>
    <row r="396" spans="6:37" ht="18.75" customHeight="1">
      <c r="F396" s="13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</row>
    <row r="397" spans="6:37" ht="18.75" customHeight="1">
      <c r="F397" s="13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</row>
    <row r="398" spans="6:37" ht="18.75" customHeight="1">
      <c r="F398" s="13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</row>
    <row r="399" spans="6:37" ht="18.75" customHeight="1">
      <c r="F399" s="13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</row>
    <row r="400" spans="6:37" ht="18.75" customHeight="1">
      <c r="F400" s="13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</row>
    <row r="401" spans="6:37" ht="18.75" customHeight="1">
      <c r="F401" s="13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</row>
    <row r="402" spans="6:37" ht="18.75" customHeight="1">
      <c r="F402" s="13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</row>
    <row r="403" spans="6:37" ht="18.75" customHeight="1">
      <c r="F403" s="13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</row>
    <row r="404" spans="6:37" ht="18.75" customHeight="1">
      <c r="F404" s="13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</row>
    <row r="405" spans="6:37" ht="18.75" customHeight="1">
      <c r="F405" s="13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</row>
    <row r="406" spans="6:37" ht="18.75" customHeight="1">
      <c r="F406" s="13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</row>
    <row r="407" spans="6:37" ht="18.75" customHeight="1">
      <c r="F407" s="13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</row>
    <row r="408" spans="6:37" ht="18.75" customHeight="1">
      <c r="F408" s="13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</row>
    <row r="409" spans="6:37" ht="18.75" customHeight="1">
      <c r="F409" s="13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</row>
    <row r="410" spans="6:37" ht="18.75" customHeight="1">
      <c r="F410" s="13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</row>
    <row r="411" spans="6:37" ht="18.75" customHeight="1">
      <c r="F411" s="13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</row>
    <row r="412" spans="6:37" ht="18.75" customHeight="1">
      <c r="F412" s="13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</row>
    <row r="413" spans="6:37" ht="18.75" customHeight="1">
      <c r="F413" s="13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</row>
    <row r="414" spans="6:37" ht="18.75" customHeight="1">
      <c r="F414" s="13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</row>
    <row r="415" spans="6:37" ht="18.75" customHeight="1">
      <c r="F415" s="13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</row>
    <row r="416" spans="6:37" ht="18.75" customHeight="1">
      <c r="F416" s="13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</row>
    <row r="417" spans="6:37" ht="18.75" customHeight="1">
      <c r="F417" s="13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</row>
    <row r="418" spans="6:37" ht="18.75" customHeight="1">
      <c r="F418" s="13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</row>
    <row r="419" spans="6:37" ht="18.75" customHeight="1">
      <c r="F419" s="13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</row>
    <row r="420" spans="6:37" ht="18.75" customHeight="1">
      <c r="F420" s="13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</row>
    <row r="421" spans="6:37" ht="18.75" customHeight="1">
      <c r="F421" s="13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</row>
    <row r="422" spans="6:37" ht="18.75" customHeight="1">
      <c r="F422" s="13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</row>
    <row r="423" spans="6:37" ht="18.75" customHeight="1">
      <c r="F423" s="13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</row>
    <row r="424" spans="6:37" ht="18.75" customHeight="1">
      <c r="F424" s="13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</row>
    <row r="425" spans="6:37" ht="18.75" customHeight="1">
      <c r="F425" s="13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</row>
    <row r="426" spans="6:37" ht="18.75" customHeight="1">
      <c r="F426" s="13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</row>
    <row r="427" spans="6:37" ht="18.75" customHeight="1">
      <c r="F427" s="13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</row>
    <row r="428" spans="6:37" ht="18.75" customHeight="1">
      <c r="F428" s="13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</row>
    <row r="429" spans="6:37" ht="18.75" customHeight="1">
      <c r="F429" s="13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</row>
    <row r="430" spans="6:37" ht="18.75" customHeight="1">
      <c r="F430" s="13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</row>
    <row r="431" spans="6:37" ht="18.75" customHeight="1">
      <c r="F431" s="13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</row>
    <row r="432" spans="6:37" ht="18.75" customHeight="1">
      <c r="F432" s="13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</row>
    <row r="433" spans="6:37" ht="18.75" customHeight="1">
      <c r="F433" s="13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</row>
    <row r="434" spans="6:37" ht="18.75" customHeight="1">
      <c r="F434" s="13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</row>
    <row r="435" spans="6:37" ht="18.75" customHeight="1">
      <c r="F435" s="13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</row>
    <row r="436" spans="6:37" ht="18.75" customHeight="1">
      <c r="F436" s="13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</row>
    <row r="437" spans="6:37" ht="18.75" customHeight="1">
      <c r="F437" s="13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</row>
    <row r="438" spans="6:37" ht="18.75" customHeight="1">
      <c r="F438" s="13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</row>
    <row r="439" spans="6:37" ht="18.75" customHeight="1">
      <c r="F439" s="13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</row>
    <row r="440" spans="6:37" ht="18.75" customHeight="1">
      <c r="F440" s="13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</row>
    <row r="441" spans="6:37" ht="18.75" customHeight="1">
      <c r="F441" s="13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</row>
    <row r="442" spans="6:37" ht="18.75" customHeight="1">
      <c r="F442" s="13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</row>
    <row r="443" spans="6:37" ht="18.75" customHeight="1">
      <c r="F443" s="13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</row>
    <row r="444" spans="6:37" ht="18.75" customHeight="1">
      <c r="F444" s="13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</row>
    <row r="445" spans="6:37" ht="18.75" customHeight="1">
      <c r="F445" s="13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</row>
    <row r="446" spans="6:37" ht="18.75" customHeight="1">
      <c r="F446" s="13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</row>
    <row r="447" spans="6:37" ht="18.75" customHeight="1">
      <c r="F447" s="13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</row>
    <row r="448" spans="6:37" ht="18.75" customHeight="1">
      <c r="F448" s="13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</row>
    <row r="449" spans="6:37" ht="18.75" customHeight="1">
      <c r="F449" s="13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</row>
    <row r="450" spans="6:37" ht="18.75" customHeight="1">
      <c r="F450" s="13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</row>
    <row r="451" spans="6:37" ht="18.75" customHeight="1">
      <c r="F451" s="13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</row>
    <row r="452" spans="6:37" ht="18.75" customHeight="1">
      <c r="F452" s="13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</row>
    <row r="453" spans="6:37" ht="18.75" customHeight="1">
      <c r="F453" s="13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</row>
    <row r="454" spans="6:37" ht="18.75" customHeight="1">
      <c r="F454" s="13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</row>
    <row r="455" spans="6:37" ht="18.75" customHeight="1">
      <c r="F455" s="13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</row>
    <row r="456" spans="6:37" ht="18.75" customHeight="1">
      <c r="F456" s="13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</row>
    <row r="457" spans="6:37" ht="18.75" customHeight="1">
      <c r="F457" s="13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</row>
    <row r="458" spans="6:37" ht="18.75" customHeight="1">
      <c r="F458" s="13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</row>
    <row r="459" spans="6:37" ht="18.75" customHeight="1">
      <c r="F459" s="13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</row>
    <row r="460" spans="6:37" ht="18.75" customHeight="1">
      <c r="F460" s="13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</row>
    <row r="461" spans="6:37" ht="18.75" customHeight="1">
      <c r="F461" s="13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</row>
    <row r="462" spans="6:37" ht="18.75" customHeight="1">
      <c r="F462" s="13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</row>
    <row r="463" spans="6:37" ht="18.75" customHeight="1">
      <c r="F463" s="13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</row>
    <row r="464" spans="6:37" ht="18.75" customHeight="1">
      <c r="F464" s="13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</row>
    <row r="465" spans="6:37" ht="18.75" customHeight="1">
      <c r="F465" s="13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</row>
    <row r="466" spans="6:37" ht="18.75" customHeight="1">
      <c r="F466" s="13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</row>
    <row r="467" spans="6:37" ht="18.75" customHeight="1">
      <c r="F467" s="13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</row>
    <row r="468" spans="6:37" ht="18.75" customHeight="1">
      <c r="F468" s="13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</row>
    <row r="469" spans="6:37" ht="18.75" customHeight="1">
      <c r="F469" s="13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</row>
    <row r="470" spans="6:37" ht="18.75" customHeight="1">
      <c r="F470" s="13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</row>
    <row r="471" spans="6:37" ht="18.75" customHeight="1">
      <c r="F471" s="13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</row>
    <row r="472" spans="6:37" ht="18.75" customHeight="1">
      <c r="F472" s="13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</row>
    <row r="473" spans="6:37" ht="18.75" customHeight="1">
      <c r="F473" s="13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</row>
    <row r="474" spans="6:37" ht="18.75" customHeight="1">
      <c r="F474" s="13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</row>
    <row r="475" spans="6:37" ht="18.75" customHeight="1">
      <c r="F475" s="13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</row>
    <row r="476" spans="6:37" ht="18.75" customHeight="1">
      <c r="F476" s="13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</row>
    <row r="477" spans="6:37" ht="18.75" customHeight="1">
      <c r="F477" s="13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</row>
    <row r="478" spans="6:37" ht="18.75" customHeight="1">
      <c r="F478" s="13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</row>
    <row r="479" spans="6:37" ht="18.75" customHeight="1">
      <c r="F479" s="13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</row>
    <row r="480" spans="6:37" ht="18.75" customHeight="1">
      <c r="F480" s="13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</row>
    <row r="481" spans="6:37" ht="18.75" customHeight="1">
      <c r="F481" s="13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</row>
    <row r="482" spans="6:37" ht="18.75" customHeight="1">
      <c r="F482" s="13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</row>
    <row r="483" spans="6:37" ht="18.75" customHeight="1">
      <c r="F483" s="13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</row>
    <row r="484" spans="6:37" ht="18.75" customHeight="1">
      <c r="F484" s="13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</row>
    <row r="485" spans="6:37" ht="18.75" customHeight="1">
      <c r="F485" s="13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</row>
    <row r="486" spans="6:37" ht="18.75" customHeight="1">
      <c r="F486" s="13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</row>
    <row r="487" spans="6:37" ht="18.75" customHeight="1">
      <c r="F487" s="13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</row>
    <row r="488" spans="6:37" ht="18.75" customHeight="1">
      <c r="F488" s="13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</row>
    <row r="489" spans="6:37" ht="18.75" customHeight="1">
      <c r="F489" s="13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</row>
    <row r="490" spans="6:37" ht="18.75" customHeight="1">
      <c r="F490" s="13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</row>
    <row r="491" spans="6:37" ht="18.75" customHeight="1">
      <c r="F491" s="13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</row>
    <row r="492" spans="6:37" ht="18.75" customHeight="1">
      <c r="F492" s="13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</row>
    <row r="493" spans="6:37" ht="18.75" customHeight="1">
      <c r="F493" s="13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</row>
    <row r="494" spans="6:37" ht="18.75" customHeight="1">
      <c r="F494" s="13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</row>
    <row r="495" spans="6:37" ht="18.75" customHeight="1">
      <c r="F495" s="13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</row>
    <row r="496" spans="6:37" ht="18.75" customHeight="1">
      <c r="F496" s="13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</row>
    <row r="497" spans="6:37" ht="18.75" customHeight="1">
      <c r="F497" s="13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</row>
    <row r="498" spans="6:37" ht="18.75" customHeight="1">
      <c r="F498" s="13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</row>
    <row r="499" spans="6:37" ht="18.75" customHeight="1">
      <c r="F499" s="13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</row>
    <row r="500" spans="6:37" ht="18.75" customHeight="1">
      <c r="F500" s="13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</row>
    <row r="501" spans="6:37" ht="18.75" customHeight="1">
      <c r="F501" s="13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</row>
    <row r="502" spans="6:37" ht="18.75" customHeight="1">
      <c r="F502" s="13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</row>
    <row r="503" spans="6:37" ht="18.75" customHeight="1">
      <c r="F503" s="13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</row>
    <row r="504" spans="6:37" ht="18.75" customHeight="1">
      <c r="F504" s="13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</row>
    <row r="505" spans="6:37" ht="18.75" customHeight="1">
      <c r="F505" s="13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</row>
    <row r="506" spans="6:37" ht="18.75" customHeight="1">
      <c r="F506" s="13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</row>
    <row r="507" spans="6:37" ht="18.75" customHeight="1">
      <c r="F507" s="13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</row>
    <row r="508" spans="6:37" ht="18.75" customHeight="1">
      <c r="F508" s="13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</row>
    <row r="509" spans="6:37" ht="18.75" customHeight="1">
      <c r="F509" s="13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</row>
    <row r="510" spans="6:37" ht="18.75" customHeight="1">
      <c r="F510" s="13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</row>
    <row r="511" spans="6:37" ht="18.75" customHeight="1">
      <c r="F511" s="13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</row>
    <row r="512" spans="6:37" ht="18.75" customHeight="1">
      <c r="F512" s="13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</row>
    <row r="513" spans="6:37" ht="18.75" customHeight="1">
      <c r="F513" s="13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</row>
    <row r="514" spans="6:37" ht="18.75" customHeight="1">
      <c r="F514" s="13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</row>
    <row r="515" spans="6:37" ht="18.75" customHeight="1">
      <c r="F515" s="13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</row>
    <row r="516" spans="6:37" ht="18.75" customHeight="1">
      <c r="F516" s="13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</row>
    <row r="517" spans="6:37" ht="18.75" customHeight="1">
      <c r="F517" s="13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</row>
    <row r="518" spans="6:37" ht="18.75" customHeight="1">
      <c r="F518" s="13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</row>
    <row r="519" spans="6:37" ht="18.75" customHeight="1">
      <c r="F519" s="13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</row>
    <row r="520" spans="6:37" ht="18.75" customHeight="1">
      <c r="F520" s="13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</row>
    <row r="521" spans="6:37" ht="18.75" customHeight="1">
      <c r="F521" s="13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</row>
    <row r="522" spans="6:37" ht="18.75" customHeight="1">
      <c r="F522" s="13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</row>
    <row r="523" spans="6:37" ht="18.75" customHeight="1">
      <c r="F523" s="13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</row>
    <row r="524" spans="6:37" ht="18.75" customHeight="1">
      <c r="F524" s="13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</row>
    <row r="525" spans="6:37" ht="18.75" customHeight="1">
      <c r="F525" s="13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</row>
    <row r="526" spans="6:37" ht="18.75" customHeight="1">
      <c r="F526" s="13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</row>
    <row r="527" spans="6:37" ht="18.75" customHeight="1">
      <c r="F527" s="13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</row>
    <row r="528" spans="6:37" ht="18.75" customHeight="1">
      <c r="F528" s="13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</row>
    <row r="529" spans="6:37" ht="18.75" customHeight="1">
      <c r="F529" s="13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</row>
    <row r="530" spans="6:37" ht="18.75" customHeight="1">
      <c r="F530" s="13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</row>
    <row r="531" spans="6:37" ht="18.75" customHeight="1">
      <c r="F531" s="13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</row>
    <row r="532" spans="6:37" ht="18.75" customHeight="1">
      <c r="F532" s="13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</row>
    <row r="533" spans="6:37" ht="18.75" customHeight="1">
      <c r="F533" s="13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</row>
    <row r="534" spans="6:37" ht="18.75" customHeight="1">
      <c r="F534" s="13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</row>
    <row r="535" spans="6:37" ht="18.75" customHeight="1">
      <c r="F535" s="13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</row>
    <row r="536" spans="6:37" ht="18.75" customHeight="1">
      <c r="F536" s="13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</row>
    <row r="537" spans="6:37" ht="18.75" customHeight="1">
      <c r="F537" s="13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</row>
    <row r="538" spans="6:37" ht="18.75" customHeight="1">
      <c r="F538" s="13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</row>
    <row r="539" spans="6:37" ht="18.75" customHeight="1">
      <c r="F539" s="13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</row>
    <row r="540" spans="6:37" ht="18.75" customHeight="1">
      <c r="F540" s="13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</row>
    <row r="541" spans="6:37" ht="18.75" customHeight="1">
      <c r="F541" s="13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</row>
    <row r="542" spans="6:37" ht="18.75" customHeight="1">
      <c r="F542" s="13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</row>
    <row r="543" spans="6:37" ht="18.75" customHeight="1">
      <c r="F543" s="13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</row>
    <row r="544" spans="6:37" ht="18.75" customHeight="1">
      <c r="F544" s="13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</row>
    <row r="545" spans="6:37" ht="18.75" customHeight="1">
      <c r="F545" s="13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</row>
    <row r="546" spans="6:37" ht="18.75" customHeight="1">
      <c r="F546" s="13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</row>
    <row r="547" spans="6:37" ht="18.75" customHeight="1">
      <c r="F547" s="13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</row>
    <row r="548" spans="6:37" ht="18.75" customHeight="1">
      <c r="F548" s="13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</row>
    <row r="549" spans="6:37" ht="18.75" customHeight="1">
      <c r="F549" s="13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</row>
    <row r="550" spans="6:37" ht="18.75" customHeight="1">
      <c r="F550" s="13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</row>
    <row r="551" spans="6:37" ht="18.75" customHeight="1">
      <c r="F551" s="13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</row>
    <row r="552" spans="6:37" ht="18.75" customHeight="1">
      <c r="F552" s="13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</row>
    <row r="553" spans="6:37" ht="18.75" customHeight="1">
      <c r="F553" s="13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</row>
    <row r="554" spans="6:37" ht="18.75" customHeight="1">
      <c r="F554" s="13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</row>
    <row r="555" spans="6:37" ht="18.75" customHeight="1">
      <c r="F555" s="13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</row>
    <row r="556" spans="6:37" ht="18.75" customHeight="1">
      <c r="F556" s="13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</row>
    <row r="557" spans="6:37" ht="18.75" customHeight="1">
      <c r="F557" s="13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</row>
    <row r="558" spans="6:37" ht="18.75" customHeight="1">
      <c r="F558" s="13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</row>
    <row r="559" spans="6:37" ht="18.75" customHeight="1">
      <c r="F559" s="13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</row>
    <row r="560" spans="6:37" ht="18.75" customHeight="1">
      <c r="F560" s="13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</row>
    <row r="561" spans="6:37" ht="18.75" customHeight="1">
      <c r="F561" s="13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</row>
    <row r="562" spans="6:37" ht="18.75" customHeight="1">
      <c r="F562" s="13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</row>
    <row r="563" spans="6:37" ht="18.75" customHeight="1">
      <c r="F563" s="13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</row>
    <row r="564" spans="6:37" ht="18.75" customHeight="1">
      <c r="F564" s="13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</row>
    <row r="565" spans="6:37" ht="18.75" customHeight="1">
      <c r="F565" s="13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</row>
    <row r="566" spans="6:37" ht="18.75" customHeight="1">
      <c r="F566" s="13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</row>
    <row r="567" spans="6:37" ht="18.75" customHeight="1">
      <c r="F567" s="13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</row>
    <row r="568" spans="6:37" ht="18.75" customHeight="1">
      <c r="F568" s="13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</row>
    <row r="569" spans="6:37" ht="18.75" customHeight="1">
      <c r="F569" s="13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</row>
    <row r="570" spans="6:37" ht="18.75" customHeight="1">
      <c r="F570" s="13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</row>
    <row r="571" spans="6:37" ht="18.75" customHeight="1">
      <c r="F571" s="13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</row>
    <row r="572" spans="6:37" ht="18.75" customHeight="1">
      <c r="F572" s="13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</row>
    <row r="573" spans="6:37" ht="18.75" customHeight="1">
      <c r="F573" s="13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</row>
    <row r="574" spans="6:37" ht="18.75" customHeight="1">
      <c r="F574" s="13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</row>
    <row r="575" spans="6:37" ht="18.75" customHeight="1">
      <c r="F575" s="13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</row>
    <row r="576" spans="6:37" ht="18.75" customHeight="1">
      <c r="F576" s="13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</row>
    <row r="577" spans="6:37" ht="18.75" customHeight="1">
      <c r="F577" s="13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</row>
    <row r="578" spans="6:37" ht="18.75" customHeight="1">
      <c r="F578" s="13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</row>
    <row r="579" spans="6:37" ht="18.75" customHeight="1">
      <c r="F579" s="13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</row>
    <row r="580" spans="6:37" ht="18.75" customHeight="1">
      <c r="F580" s="13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</row>
    <row r="581" spans="6:37" ht="18.75" customHeight="1">
      <c r="F581" s="13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</row>
    <row r="582" spans="6:37" ht="18.75" customHeight="1">
      <c r="F582" s="13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</row>
    <row r="583" spans="6:37" ht="18.75" customHeight="1">
      <c r="F583" s="13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</row>
    <row r="584" spans="6:37" ht="18.75" customHeight="1">
      <c r="F584" s="13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</row>
    <row r="585" spans="6:37" ht="18.75" customHeight="1">
      <c r="F585" s="13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</row>
    <row r="586" spans="6:37" ht="18.75" customHeight="1">
      <c r="F586" s="13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</row>
    <row r="587" spans="6:37" ht="18.75" customHeight="1">
      <c r="F587" s="13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</row>
    <row r="588" spans="6:37" ht="18.75" customHeight="1">
      <c r="F588" s="13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</row>
    <row r="589" spans="6:37" ht="18.75" customHeight="1">
      <c r="F589" s="13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</row>
    <row r="590" spans="6:37" ht="18.75" customHeight="1">
      <c r="F590" s="13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</row>
    <row r="591" spans="6:37" ht="18.75" customHeight="1">
      <c r="F591" s="13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</row>
    <row r="592" spans="6:37" ht="18.75" customHeight="1">
      <c r="F592" s="13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</row>
    <row r="593" spans="6:37" ht="18.75" customHeight="1">
      <c r="F593" s="13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</row>
    <row r="594" spans="6:37" ht="18.75" customHeight="1">
      <c r="F594" s="13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</row>
    <row r="595" spans="6:37" ht="18.75" customHeight="1">
      <c r="F595" s="13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</row>
  </sheetData>
  <mergeCells count="11">
    <mergeCell ref="A29:E31"/>
    <mergeCell ref="AB4:AH4"/>
    <mergeCell ref="AI4:AO4"/>
    <mergeCell ref="B6:E6"/>
    <mergeCell ref="A10:A24"/>
    <mergeCell ref="A25:A28"/>
    <mergeCell ref="B4:E5"/>
    <mergeCell ref="F4:F7"/>
    <mergeCell ref="G4:M4"/>
    <mergeCell ref="N4:T4"/>
    <mergeCell ref="U4:AA4"/>
  </mergeCells>
  <conditionalFormatting sqref="A4:AO22 A23:A28 F23:AO28 A29:AO31">
    <cfRule type="expression" dxfId="937" priority="7">
      <formula>OR(ISNUMBER(SEARCH("PPP 1",A4)),ISNUMBER(SEARCH("PPP 2",A4)))</formula>
    </cfRule>
    <cfRule type="expression" dxfId="936" priority="8">
      <formula>ISNUMBER(SEARCH("FORM",A4))</formula>
    </cfRule>
    <cfRule type="expression" dxfId="935" priority="9">
      <formula>ISNUMBER(SEARCH("ASA",A4))</formula>
    </cfRule>
    <cfRule type="expression" dxfId="934" priority="10">
      <formula>OR(ISNUMBER(SEARCH("ATM",A4)),ISNUMBER(SEARCH("ATA",A4)))</formula>
    </cfRule>
    <cfRule type="expression" dxfId="933" priority="11">
      <formula>ISNUMBER(SEARCH("TP",A4))</formula>
    </cfRule>
    <cfRule type="expression" dxfId="932" priority="12">
      <formula>ISNUMBER(SEARCH("CSE",A4))</formula>
    </cfRule>
    <cfRule type="expression" dxfId="931" priority="13">
      <formula>ISNUMBER(SEARCH("JOK",A4))</formula>
    </cfRule>
  </conditionalFormatting>
  <conditionalFormatting sqref="A4:AO22 F23:AO28 A29:AO31 A23:A28">
    <cfRule type="expression" dxfId="930" priority="6">
      <formula>ISNUMBER(SEARCH("JOK",A4))</formula>
    </cfRule>
  </conditionalFormatting>
  <conditionalFormatting sqref="B8:E22">
    <cfRule type="expression" dxfId="929" priority="105">
      <formula>ISNUMBER(SEARCH("MRP",$B8))</formula>
    </cfRule>
  </conditionalFormatting>
  <conditionalFormatting sqref="B23:E28">
    <cfRule type="expression" dxfId="928" priority="2">
      <formula>ISNUMBER(SEARCH("MRP",$B23))</formula>
    </cfRule>
  </conditionalFormatting>
  <conditionalFormatting sqref="F25:AH31 N6:N24 F8:M24 O8:AH24 AM21:AO24 AI23:AL24">
    <cfRule type="expression" dxfId="927" priority="148">
      <formula>ISNUMBER(SEARCH("JOK",F6))</formula>
    </cfRule>
  </conditionalFormatting>
  <conditionalFormatting sqref="G27:K27">
    <cfRule type="expression" dxfId="926" priority="163">
      <formula>OR(ISNUMBER(SEARCH("PPP 1",G27)),ISNUMBER(SEARCH("PPP 2",G27)))</formula>
    </cfRule>
    <cfRule type="expression" dxfId="925" priority="164">
      <formula>ISNUMBER(SEARCH("FORM",G27))</formula>
    </cfRule>
    <cfRule type="expression" dxfId="924" priority="165">
      <formula>ISNUMBER(SEARCH("ASA",G27))</formula>
    </cfRule>
    <cfRule type="expression" dxfId="923" priority="166">
      <formula>OR(ISNUMBER(SEARCH("ATM",G27)),ISNUMBER(SEARCH("ATA",G27)))</formula>
    </cfRule>
    <cfRule type="expression" dxfId="922" priority="167">
      <formula>ISNUMBER(SEARCH("TP",G27))</formula>
    </cfRule>
    <cfRule type="expression" dxfId="921" priority="168">
      <formula>ISNUMBER(SEARCH("CSE",G27))</formula>
    </cfRule>
    <cfRule type="expression" dxfId="920" priority="169">
      <formula>OR(ISNUMBER(SEARCH("CA",G27)),ISNUMBER(SEARCH("RC",G27)))</formula>
    </cfRule>
  </conditionalFormatting>
  <conditionalFormatting sqref="G25:AH28 N6:N24 F8:M24 O8:AH24 AM21:AO24 AI23:AL24 L29:M29 S29:T29 V29:V31">
    <cfRule type="expression" dxfId="919" priority="176">
      <formula>OR(ISNUMBER(SEARCH("PPP 1",F6)),ISNUMBER(SEARCH("PPP 2",F6)))</formula>
    </cfRule>
  </conditionalFormatting>
  <conditionalFormatting sqref="G4:AO31">
    <cfRule type="expression" dxfId="918" priority="3">
      <formula>ISNUMBER(SEARCH("CA/RC ?",G4))</formula>
    </cfRule>
    <cfRule type="expression" dxfId="917" priority="4">
      <formula>OR(ISNUMBER(SEARCH("CA",G4)),ISNUMBER(SEARCH("RC",G4)))</formula>
    </cfRule>
  </conditionalFormatting>
  <conditionalFormatting sqref="G40:AO40">
    <cfRule type="iconSet" priority="5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L7">
    <cfRule type="expression" dxfId="916" priority="14">
      <formula>OR(ISNUMBER(SEARCH("PPP 1",L7)),ISNUMBER(SEARCH("PPP 2",L7)))</formula>
    </cfRule>
    <cfRule type="expression" dxfId="915" priority="15">
      <formula>ISNUMBER(SEARCH("FORM",L7))</formula>
    </cfRule>
    <cfRule type="expression" dxfId="914" priority="16">
      <formula>ISNUMBER(SEARCH("ASA",L7))</formula>
    </cfRule>
    <cfRule type="expression" dxfId="913" priority="17">
      <formula>OR(ISNUMBER(SEARCH("ATM",L7)),ISNUMBER(SEARCH("ATA",L7)))</formula>
    </cfRule>
    <cfRule type="expression" dxfId="912" priority="18">
      <formula>ISNUMBER(SEARCH("TP",L7))</formula>
    </cfRule>
    <cfRule type="expression" dxfId="911" priority="19">
      <formula>ISNUMBER(SEARCH("CSE",L7))</formula>
    </cfRule>
    <cfRule type="expression" dxfId="910" priority="20">
      <formula>OR(ISNUMBER(SEARCH("CA",L7)),ISNUMBER(SEARCH("RC",L7)))</formula>
    </cfRule>
    <cfRule type="expression" dxfId="909" priority="21">
      <formula>OR(ISNUMBER(SEARCH("PPP 1",L7)),ISNUMBER(SEARCH("PPP 2",L7)))</formula>
    </cfRule>
    <cfRule type="expression" dxfId="908" priority="22">
      <formula>ISNUMBER(SEARCH("FORM",L7))</formula>
    </cfRule>
    <cfRule type="expression" dxfId="907" priority="23">
      <formula>ISNUMBER(SEARCH("ASA",L7))</formula>
    </cfRule>
    <cfRule type="expression" dxfId="906" priority="24">
      <formula>OR(ISNUMBER(SEARCH("ATM",L7)),ISNUMBER(SEARCH("ATA",L7)))</formula>
    </cfRule>
    <cfRule type="expression" dxfId="905" priority="25">
      <formula>ISNUMBER(SEARCH("TP",L7))</formula>
    </cfRule>
    <cfRule type="expression" dxfId="904" priority="26">
      <formula>ISNUMBER(SEARCH("CSE",L7))</formula>
    </cfRule>
    <cfRule type="expression" dxfId="903" priority="27">
      <formula>OR(ISNUMBER(SEARCH("CA",L7)),ISNUMBER(SEARCH("RC",L7)))</formula>
    </cfRule>
  </conditionalFormatting>
  <conditionalFormatting sqref="L25:M25 L29:M29">
    <cfRule type="expression" dxfId="902" priority="35">
      <formula>OR(ISNUMBER(SEARCH("PPP 1",L25)),ISNUMBER(SEARCH("PPP 2",L25)))</formula>
    </cfRule>
    <cfRule type="expression" dxfId="901" priority="36">
      <formula>ISNUMBER(SEARCH("FORM",L25))</formula>
    </cfRule>
    <cfRule type="expression" dxfId="900" priority="37">
      <formula>ISNUMBER(SEARCH("ASA",L25))</formula>
    </cfRule>
    <cfRule type="expression" dxfId="899" priority="38">
      <formula>OR(ISNUMBER(SEARCH("ATM",L25)),ISNUMBER(SEARCH("ATA",L25)))</formula>
    </cfRule>
    <cfRule type="expression" dxfId="898" priority="39">
      <formula>ISNUMBER(SEARCH("TP",L25))</formula>
    </cfRule>
    <cfRule type="expression" dxfId="897" priority="40">
      <formula>ISNUMBER(SEARCH("CSE",L25))</formula>
    </cfRule>
    <cfRule type="expression" dxfId="896" priority="41">
      <formula>OR(ISNUMBER(SEARCH("CA",L25)),ISNUMBER(SEARCH("RC",L25)))</formula>
    </cfRule>
  </conditionalFormatting>
  <conditionalFormatting sqref="L27:M27">
    <cfRule type="expression" dxfId="895" priority="84">
      <formula>OR(ISNUMBER(SEARCH("PPP 1",L27)),ISNUMBER(SEARCH("PPP 2",L27)))</formula>
    </cfRule>
    <cfRule type="expression" dxfId="894" priority="85">
      <formula>ISNUMBER(SEARCH("FORM",L27))</formula>
    </cfRule>
    <cfRule type="expression" dxfId="893" priority="86">
      <formula>ISNUMBER(SEARCH("ASA",L27))</formula>
    </cfRule>
    <cfRule type="expression" dxfId="892" priority="87">
      <formula>OR(ISNUMBER(SEARCH("ATM",L27)),ISNUMBER(SEARCH("ATA",L27)))</formula>
    </cfRule>
    <cfRule type="expression" dxfId="891" priority="88">
      <formula>ISNUMBER(SEARCH("TP",L27))</formula>
    </cfRule>
    <cfRule type="expression" dxfId="890" priority="89">
      <formula>ISNUMBER(SEARCH("CSE",L27))</formula>
    </cfRule>
    <cfRule type="expression" dxfId="889" priority="90">
      <formula>OR(ISNUMBER(SEARCH("CA",L27)),ISNUMBER(SEARCH("RC",L27)))</formula>
    </cfRule>
  </conditionalFormatting>
  <conditionalFormatting sqref="L28:M28">
    <cfRule type="expression" dxfId="888" priority="49">
      <formula>OR(ISNUMBER(SEARCH("PPP 1",L28)),ISNUMBER(SEARCH("PPP 2",L28)))</formula>
    </cfRule>
    <cfRule type="expression" dxfId="887" priority="50">
      <formula>ISNUMBER(SEARCH("FORM",L28))</formula>
    </cfRule>
    <cfRule type="expression" dxfId="886" priority="51">
      <formula>ISNUMBER(SEARCH("ASA",L28))</formula>
    </cfRule>
    <cfRule type="expression" dxfId="885" priority="52">
      <formula>OR(ISNUMBER(SEARCH("ATM",L28)),ISNUMBER(SEARCH("ATA",L28)))</formula>
    </cfRule>
    <cfRule type="expression" dxfId="884" priority="53">
      <formula>ISNUMBER(SEARCH("TP",L28))</formula>
    </cfRule>
    <cfRule type="expression" dxfId="883" priority="54">
      <formula>ISNUMBER(SEARCH("CSE",L28))</formula>
    </cfRule>
    <cfRule type="expression" dxfId="882" priority="55">
      <formula>OR(ISNUMBER(SEARCH("CA",L28)),ISNUMBER(SEARCH("RC",L28)))</formula>
    </cfRule>
  </conditionalFormatting>
  <conditionalFormatting sqref="L25:R25">
    <cfRule type="expression" dxfId="881" priority="141">
      <formula>OR(ISNUMBER(SEARCH("PPP 1",L25)),ISNUMBER(SEARCH("PPP 2",L25)))</formula>
    </cfRule>
    <cfRule type="expression" dxfId="880" priority="142">
      <formula>ISNUMBER(SEARCH("FORM",L25))</formula>
    </cfRule>
    <cfRule type="expression" dxfId="879" priority="143">
      <formula>ISNUMBER(SEARCH("ASA",L25))</formula>
    </cfRule>
    <cfRule type="expression" dxfId="878" priority="144">
      <formula>OR(ISNUMBER(SEARCH("ATM",L25)),ISNUMBER(SEARCH("ATA",L25)))</formula>
    </cfRule>
    <cfRule type="expression" dxfId="877" priority="145">
      <formula>ISNUMBER(SEARCH("TP",L25))</formula>
    </cfRule>
    <cfRule type="expression" dxfId="876" priority="146">
      <formula>ISNUMBER(SEARCH("CSE",L25))</formula>
    </cfRule>
    <cfRule type="expression" dxfId="875" priority="147">
      <formula>OR(ISNUMBER(SEARCH("CA",L25)),ISNUMBER(SEARCH("RC",L25)))</formula>
    </cfRule>
  </conditionalFormatting>
  <conditionalFormatting sqref="M25:M26 M29">
    <cfRule type="expression" dxfId="874" priority="28">
      <formula>OR(ISNUMBER(SEARCH("PPP 1",M25)),ISNUMBER(SEARCH("PPP 2",M25)))</formula>
    </cfRule>
    <cfRule type="expression" dxfId="873" priority="29">
      <formula>ISNUMBER(SEARCH("FORM",M25))</formula>
    </cfRule>
    <cfRule type="expression" dxfId="872" priority="30">
      <formula>ISNUMBER(SEARCH("ASA",M25))</formula>
    </cfRule>
    <cfRule type="expression" dxfId="871" priority="31">
      <formula>OR(ISNUMBER(SEARCH("ATM",M25)),ISNUMBER(SEARCH("ATA",M25)))</formula>
    </cfRule>
    <cfRule type="expression" dxfId="870" priority="32">
      <formula>ISNUMBER(SEARCH("TP",M25))</formula>
    </cfRule>
    <cfRule type="expression" dxfId="869" priority="33">
      <formula>ISNUMBER(SEARCH("CSE",M25))</formula>
    </cfRule>
    <cfRule type="expression" dxfId="868" priority="34">
      <formula>OR(ISNUMBER(SEARCH("CA",M25)),ISNUMBER(SEARCH("RC",M25)))</formula>
    </cfRule>
  </conditionalFormatting>
  <conditionalFormatting sqref="M25:M27">
    <cfRule type="expression" dxfId="867" priority="120">
      <formula>OR(ISNUMBER(SEARCH("PPP 1",M25)),ISNUMBER(SEARCH("PPP 2",M25)))</formula>
    </cfRule>
    <cfRule type="expression" dxfId="866" priority="121">
      <formula>ISNUMBER(SEARCH("FORM",M25))</formula>
    </cfRule>
    <cfRule type="expression" dxfId="865" priority="122">
      <formula>ISNUMBER(SEARCH("ASA",M25))</formula>
    </cfRule>
    <cfRule type="expression" dxfId="864" priority="123">
      <formula>OR(ISNUMBER(SEARCH("ATM",M25)),ISNUMBER(SEARCH("ATA",M25)))</formula>
    </cfRule>
    <cfRule type="expression" dxfId="863" priority="124">
      <formula>ISNUMBER(SEARCH("TP",M25))</formula>
    </cfRule>
    <cfRule type="expression" dxfId="862" priority="125">
      <formula>ISNUMBER(SEARCH("CSE",M25))</formula>
    </cfRule>
    <cfRule type="expression" dxfId="861" priority="126">
      <formula>OR(ISNUMBER(SEARCH("CA",M25)),ISNUMBER(SEARCH("RC",M25)))</formula>
    </cfRule>
  </conditionalFormatting>
  <conditionalFormatting sqref="M27:M28">
    <cfRule type="expression" dxfId="860" priority="77">
      <formula>OR(ISNUMBER(SEARCH("PPP 1",M27)),ISNUMBER(SEARCH("PPP 2",M27)))</formula>
    </cfRule>
    <cfRule type="expression" dxfId="859" priority="78">
      <formula>ISNUMBER(SEARCH("FORM",M27))</formula>
    </cfRule>
    <cfRule type="expression" dxfId="858" priority="79">
      <formula>ISNUMBER(SEARCH("ASA",M27))</formula>
    </cfRule>
    <cfRule type="expression" dxfId="857" priority="80">
      <formula>OR(ISNUMBER(SEARCH("ATM",M27)),ISNUMBER(SEARCH("ATA",M27)))</formula>
    </cfRule>
    <cfRule type="expression" dxfId="856" priority="81">
      <formula>ISNUMBER(SEARCH("TP",M27))</formula>
    </cfRule>
    <cfRule type="expression" dxfId="855" priority="82">
      <formula>ISNUMBER(SEARCH("CSE",M27))</formula>
    </cfRule>
    <cfRule type="expression" dxfId="854" priority="83">
      <formula>OR(ISNUMBER(SEARCH("CA",M27)),ISNUMBER(SEARCH("RC",M27)))</formula>
    </cfRule>
  </conditionalFormatting>
  <conditionalFormatting sqref="M28:M29">
    <cfRule type="expression" dxfId="853" priority="42">
      <formula>OR(ISNUMBER(SEARCH("PPP 1",M28)),ISNUMBER(SEARCH("PPP 2",M28)))</formula>
    </cfRule>
    <cfRule type="expression" dxfId="852" priority="43">
      <formula>ISNUMBER(SEARCH("FORM",M28))</formula>
    </cfRule>
    <cfRule type="expression" dxfId="851" priority="44">
      <formula>ISNUMBER(SEARCH("ASA",M28))</formula>
    </cfRule>
    <cfRule type="expression" dxfId="850" priority="45">
      <formula>OR(ISNUMBER(SEARCH("ATM",M28)),ISNUMBER(SEARCH("ATA",M28)))</formula>
    </cfRule>
    <cfRule type="expression" dxfId="849" priority="46">
      <formula>ISNUMBER(SEARCH("TP",M28))</formula>
    </cfRule>
    <cfRule type="expression" dxfId="848" priority="47">
      <formula>ISNUMBER(SEARCH("CSE",M28))</formula>
    </cfRule>
    <cfRule type="expression" dxfId="847" priority="48">
      <formula>OR(ISNUMBER(SEARCH("CA",M28)),ISNUMBER(SEARCH("RC",M28)))</formula>
    </cfRule>
  </conditionalFormatting>
  <conditionalFormatting sqref="N6:N24 F8:M24 O8:AH24 AM21:AO24 AI23:AL24 F25:AH31">
    <cfRule type="expression" dxfId="846" priority="149">
      <formula>OR(ISNUMBER(SEARCH("PPP 1",F6)),ISNUMBER(SEARCH("PPP 2",F6)))</formula>
    </cfRule>
    <cfRule type="expression" dxfId="845" priority="150">
      <formula>ISNUMBER(SEARCH("FORM",F6))</formula>
    </cfRule>
    <cfRule type="expression" dxfId="844" priority="151">
      <formula>ISNUMBER(SEARCH("ASA",F6))</formula>
    </cfRule>
    <cfRule type="expression" dxfId="843" priority="152">
      <formula>OR(ISNUMBER(SEARCH("ATM",F6)),ISNUMBER(SEARCH("ATA",F6)))</formula>
    </cfRule>
    <cfRule type="expression" dxfId="842" priority="153">
      <formula>ISNUMBER(SEARCH("TP",F6))</formula>
    </cfRule>
    <cfRule type="expression" dxfId="841" priority="154">
      <formula>ISNUMBER(SEARCH("CSE",F6))</formula>
    </cfRule>
    <cfRule type="expression" dxfId="840" priority="155">
      <formula>OR(ISNUMBER(SEARCH("CA",F6)),ISNUMBER(SEARCH("RC",F6)))</formula>
    </cfRule>
  </conditionalFormatting>
  <conditionalFormatting sqref="N6:N24 F8:M24 O8:AH24 AM21:AO24 AI23:AL24 G25:AH28 L29:M29 S29:T29 V29:V31">
    <cfRule type="expression" dxfId="839" priority="177">
      <formula>ISNUMBER(SEARCH("FORM",F6))</formula>
    </cfRule>
    <cfRule type="expression" dxfId="838" priority="178">
      <formula>ISNUMBER(SEARCH("ASA",F6))</formula>
    </cfRule>
    <cfRule type="expression" dxfId="837" priority="179">
      <formula>OR(ISNUMBER(SEARCH("ATM",F6)),ISNUMBER(SEARCH("ATA",F6)))</formula>
    </cfRule>
    <cfRule type="expression" dxfId="836" priority="180">
      <formula>ISNUMBER(SEARCH("TP",F6))</formula>
    </cfRule>
    <cfRule type="expression" dxfId="835" priority="181">
      <formula>ISNUMBER(SEARCH("CSE",F6))</formula>
    </cfRule>
    <cfRule type="expression" dxfId="834" priority="182">
      <formula>OR(ISNUMBER(SEARCH("CA",F6)),ISNUMBER(SEARCH("RC",F6)))</formula>
    </cfRule>
  </conditionalFormatting>
  <conditionalFormatting sqref="O26">
    <cfRule type="expression" dxfId="833" priority="113">
      <formula>OR(ISNUMBER(SEARCH("PPP 1",O26)),ISNUMBER(SEARCH("PPP 2",O26)))</formula>
    </cfRule>
    <cfRule type="expression" dxfId="832" priority="114">
      <formula>ISNUMBER(SEARCH("FORM",O26))</formula>
    </cfRule>
    <cfRule type="expression" dxfId="831" priority="115">
      <formula>ISNUMBER(SEARCH("ASA",O26))</formula>
    </cfRule>
    <cfRule type="expression" dxfId="830" priority="116">
      <formula>OR(ISNUMBER(SEARCH("ATM",O26)),ISNUMBER(SEARCH("ATA",O26)))</formula>
    </cfRule>
    <cfRule type="expression" dxfId="829" priority="117">
      <formula>ISNUMBER(SEARCH("TP",O26))</formula>
    </cfRule>
    <cfRule type="expression" dxfId="828" priority="118">
      <formula>ISNUMBER(SEARCH("CSE",O26))</formula>
    </cfRule>
    <cfRule type="expression" dxfId="827" priority="119">
      <formula>OR(ISNUMBER(SEARCH("CA",O26)),ISNUMBER(SEARCH("RC",O26)))</formula>
    </cfRule>
  </conditionalFormatting>
  <conditionalFormatting sqref="S27:T27">
    <cfRule type="expression" dxfId="826" priority="98">
      <formula>OR(ISNUMBER(SEARCH("PPP 1",S27)),ISNUMBER(SEARCH("PPP 2",S27)))</formula>
    </cfRule>
    <cfRule type="expression" dxfId="825" priority="99">
      <formula>ISNUMBER(SEARCH("FORM",S27))</formula>
    </cfRule>
    <cfRule type="expression" dxfId="824" priority="100">
      <formula>ISNUMBER(SEARCH("ASA",S27))</formula>
    </cfRule>
    <cfRule type="expression" dxfId="823" priority="101">
      <formula>OR(ISNUMBER(SEARCH("ATM",S27)),ISNUMBER(SEARCH("ATA",S27)))</formula>
    </cfRule>
    <cfRule type="expression" dxfId="822" priority="102">
      <formula>ISNUMBER(SEARCH("TP",S27))</formula>
    </cfRule>
    <cfRule type="expression" dxfId="821" priority="103">
      <formula>ISNUMBER(SEARCH("CSE",S27))</formula>
    </cfRule>
    <cfRule type="expression" dxfId="820" priority="104">
      <formula>OR(ISNUMBER(SEARCH("CA",S27)),ISNUMBER(SEARCH("RC",S27)))</formula>
    </cfRule>
  </conditionalFormatting>
  <conditionalFormatting sqref="S28:T28">
    <cfRule type="expression" dxfId="819" priority="70">
      <formula>OR(ISNUMBER(SEARCH("PPP 1",S28)),ISNUMBER(SEARCH("PPP 2",S28)))</formula>
    </cfRule>
    <cfRule type="expression" dxfId="818" priority="71">
      <formula>ISNUMBER(SEARCH("FORM",S28))</formula>
    </cfRule>
    <cfRule type="expression" dxfId="817" priority="72">
      <formula>ISNUMBER(SEARCH("ASA",S28))</formula>
    </cfRule>
    <cfRule type="expression" dxfId="816" priority="73">
      <formula>OR(ISNUMBER(SEARCH("ATM",S28)),ISNUMBER(SEARCH("ATA",S28)))</formula>
    </cfRule>
    <cfRule type="expression" dxfId="815" priority="74">
      <formula>ISNUMBER(SEARCH("TP",S28))</formula>
    </cfRule>
    <cfRule type="expression" dxfId="814" priority="75">
      <formula>ISNUMBER(SEARCH("CSE",S28))</formula>
    </cfRule>
    <cfRule type="expression" dxfId="813" priority="76">
      <formula>OR(ISNUMBER(SEARCH("CA",S28)),ISNUMBER(SEARCH("RC",S28)))</formula>
    </cfRule>
  </conditionalFormatting>
  <conditionalFormatting sqref="T25">
    <cfRule type="expression" dxfId="812" priority="63">
      <formula>OR(ISNUMBER(SEARCH("PPP 1",T25)),ISNUMBER(SEARCH("PPP 2",T25)))</formula>
    </cfRule>
    <cfRule type="expression" dxfId="811" priority="64">
      <formula>ISNUMBER(SEARCH("FORM",T25))</formula>
    </cfRule>
    <cfRule type="expression" dxfId="810" priority="65">
      <formula>ISNUMBER(SEARCH("ASA",T25))</formula>
    </cfRule>
    <cfRule type="expression" dxfId="809" priority="66">
      <formula>OR(ISNUMBER(SEARCH("ATM",T25)),ISNUMBER(SEARCH("ATA",T25)))</formula>
    </cfRule>
    <cfRule type="expression" dxfId="808" priority="67">
      <formula>ISNUMBER(SEARCH("TP",T25))</formula>
    </cfRule>
    <cfRule type="expression" dxfId="807" priority="68">
      <formula>ISNUMBER(SEARCH("CSE",T25))</formula>
    </cfRule>
    <cfRule type="expression" dxfId="806" priority="69">
      <formula>OR(ISNUMBER(SEARCH("CA",T25)),ISNUMBER(SEARCH("RC",T25)))</formula>
    </cfRule>
  </conditionalFormatting>
  <conditionalFormatting sqref="T27:T28">
    <cfRule type="expression" dxfId="805" priority="91">
      <formula>OR(ISNUMBER(SEARCH("PPP 1",T27)),ISNUMBER(SEARCH("PPP 2",T27)))</formula>
    </cfRule>
    <cfRule type="expression" dxfId="804" priority="92">
      <formula>ISNUMBER(SEARCH("FORM",T27))</formula>
    </cfRule>
    <cfRule type="expression" dxfId="803" priority="93">
      <formula>ISNUMBER(SEARCH("ASA",T27))</formula>
    </cfRule>
    <cfRule type="expression" dxfId="802" priority="94">
      <formula>OR(ISNUMBER(SEARCH("ATM",T27)),ISNUMBER(SEARCH("ATA",T27)))</formula>
    </cfRule>
    <cfRule type="expression" dxfId="801" priority="95">
      <formula>ISNUMBER(SEARCH("TP",T27))</formula>
    </cfRule>
    <cfRule type="expression" dxfId="800" priority="96">
      <formula>ISNUMBER(SEARCH("CSE",T27))</formula>
    </cfRule>
    <cfRule type="expression" dxfId="799" priority="97">
      <formula>OR(ISNUMBER(SEARCH("CA",T27)),ISNUMBER(SEARCH("RC",T27)))</formula>
    </cfRule>
  </conditionalFormatting>
  <conditionalFormatting sqref="T28:T29">
    <cfRule type="expression" dxfId="798" priority="56">
      <formula>OR(ISNUMBER(SEARCH("PPP 1",T28)),ISNUMBER(SEARCH("PPP 2",T28)))</formula>
    </cfRule>
    <cfRule type="expression" dxfId="797" priority="57">
      <formula>ISNUMBER(SEARCH("FORM",T28))</formula>
    </cfRule>
    <cfRule type="expression" dxfId="796" priority="58">
      <formula>ISNUMBER(SEARCH("ASA",T28))</formula>
    </cfRule>
    <cfRule type="expression" dxfId="795" priority="59">
      <formula>OR(ISNUMBER(SEARCH("ATM",T28)),ISNUMBER(SEARCH("ATA",T28)))</formula>
    </cfRule>
    <cfRule type="expression" dxfId="794" priority="60">
      <formula>ISNUMBER(SEARCH("TP",T28))</formula>
    </cfRule>
    <cfRule type="expression" dxfId="793" priority="61">
      <formula>ISNUMBER(SEARCH("CSE",T28))</formula>
    </cfRule>
    <cfRule type="expression" dxfId="792" priority="62">
      <formula>OR(ISNUMBER(SEARCH("CA",T28)),ISNUMBER(SEARCH("RC",T28)))</formula>
    </cfRule>
  </conditionalFormatting>
  <conditionalFormatting sqref="Z25:AA25">
    <cfRule type="expression" dxfId="791" priority="134">
      <formula>OR(ISNUMBER(SEARCH("PPP 1",Z25)),ISNUMBER(SEARCH("PPP 2",Z25)))</formula>
    </cfRule>
    <cfRule type="expression" dxfId="790" priority="135">
      <formula>ISNUMBER(SEARCH("FORM",Z25))</formula>
    </cfRule>
    <cfRule type="expression" dxfId="789" priority="136">
      <formula>ISNUMBER(SEARCH("ASA",Z25))</formula>
    </cfRule>
    <cfRule type="expression" dxfId="788" priority="137">
      <formula>OR(ISNUMBER(SEARCH("ATM",Z25)),ISNUMBER(SEARCH("ATA",Z25)))</formula>
    </cfRule>
    <cfRule type="expression" dxfId="787" priority="138">
      <formula>ISNUMBER(SEARCH("TP",Z25))</formula>
    </cfRule>
    <cfRule type="expression" dxfId="786" priority="139">
      <formula>ISNUMBER(SEARCH("CSE",Z25))</formula>
    </cfRule>
    <cfRule type="expression" dxfId="785" priority="140">
      <formula>OR(ISNUMBER(SEARCH("CA",Z25)),ISNUMBER(SEARCH("RC",Z25)))</formula>
    </cfRule>
  </conditionalFormatting>
  <conditionalFormatting sqref="AA25:AA26">
    <cfRule type="expression" dxfId="784" priority="127">
      <formula>OR(ISNUMBER(SEARCH("PPP 1",AA25)),ISNUMBER(SEARCH("PPP 2",AA25)))</formula>
    </cfRule>
    <cfRule type="expression" dxfId="783" priority="128">
      <formula>ISNUMBER(SEARCH("FORM",AA25))</formula>
    </cfRule>
    <cfRule type="expression" dxfId="782" priority="129">
      <formula>ISNUMBER(SEARCH("ASA",AA25))</formula>
    </cfRule>
    <cfRule type="expression" dxfId="781" priority="130">
      <formula>OR(ISNUMBER(SEARCH("ATM",AA25)),ISNUMBER(SEARCH("ATA",AA25)))</formula>
    </cfRule>
    <cfRule type="expression" dxfId="780" priority="131">
      <formula>ISNUMBER(SEARCH("TP",AA25))</formula>
    </cfRule>
    <cfRule type="expression" dxfId="779" priority="132">
      <formula>ISNUMBER(SEARCH("CSE",AA25))</formula>
    </cfRule>
    <cfRule type="expression" dxfId="778" priority="133">
      <formula>OR(ISNUMBER(SEARCH("CA",AA25)),ISNUMBER(SEARCH("RC",AA25)))</formula>
    </cfRule>
  </conditionalFormatting>
  <conditionalFormatting sqref="AB25:AC25">
    <cfRule type="expression" dxfId="777" priority="170">
      <formula>OR(ISNUMBER(SEARCH("PPP 1",AB25)),ISNUMBER(SEARCH("PPP 2",AB25)))</formula>
    </cfRule>
    <cfRule type="expression" dxfId="776" priority="171">
      <formula>ISNUMBER(SEARCH("ASA",AB25))</formula>
    </cfRule>
    <cfRule type="expression" dxfId="775" priority="172">
      <formula>OR(ISNUMBER(SEARCH("ATM",AB25)),ISNUMBER(SEARCH("ATA",AB25)))</formula>
    </cfRule>
    <cfRule type="expression" dxfId="774" priority="173">
      <formula>ISNUMBER(SEARCH("TP",AB25))</formula>
    </cfRule>
    <cfRule type="expression" dxfId="773" priority="174">
      <formula>ISNUMBER(SEARCH("CSE",AB25))</formula>
    </cfRule>
    <cfRule type="expression" dxfId="772" priority="175">
      <formula>OR(ISNUMBER(SEARCH("CA",AB25)),ISNUMBER(SEARCH("RC",AB25)))</formula>
    </cfRule>
  </conditionalFormatting>
  <conditionalFormatting sqref="AB27:AC27">
    <cfRule type="expression" dxfId="771" priority="106">
      <formula>OR(ISNUMBER(SEARCH("PPP 1",AB27)),ISNUMBER(SEARCH("PPP 2",AB27)))</formula>
    </cfRule>
    <cfRule type="expression" dxfId="770" priority="107">
      <formula>ISNUMBER(SEARCH("FORM",AB27))</formula>
    </cfRule>
    <cfRule type="expression" dxfId="769" priority="108">
      <formula>ISNUMBER(SEARCH("ASA",AB27))</formula>
    </cfRule>
    <cfRule type="expression" dxfId="768" priority="109">
      <formula>OR(ISNUMBER(SEARCH("ATM",AB27)),ISNUMBER(SEARCH("ATA",AB27)))</formula>
    </cfRule>
    <cfRule type="expression" dxfId="767" priority="110">
      <formula>ISNUMBER(SEARCH("TP",AB27))</formula>
    </cfRule>
    <cfRule type="expression" dxfId="766" priority="111">
      <formula>ISNUMBER(SEARCH("CSE",AB27))</formula>
    </cfRule>
    <cfRule type="expression" dxfId="765" priority="112">
      <formula>OR(ISNUMBER(SEARCH("CA",AB27)),ISNUMBER(SEARCH("RC",AB27)))</formula>
    </cfRule>
  </conditionalFormatting>
  <conditionalFormatting sqref="AD27:AF27">
    <cfRule type="expression" dxfId="764" priority="156">
      <formula>OR(ISNUMBER(SEARCH("PPP 1",AD27)),ISNUMBER(SEARCH("PPP 2",AD27)))</formula>
    </cfRule>
    <cfRule type="expression" dxfId="763" priority="157">
      <formula>ISNUMBER(SEARCH("FORM",AD27))</formula>
    </cfRule>
    <cfRule type="expression" dxfId="762" priority="158">
      <formula>ISNUMBER(SEARCH("ASA",AD27))</formula>
    </cfRule>
    <cfRule type="expression" dxfId="761" priority="159">
      <formula>OR(ISNUMBER(SEARCH("ATM",AD27)),ISNUMBER(SEARCH("ATA",AD27)))</formula>
    </cfRule>
    <cfRule type="expression" dxfId="760" priority="160">
      <formula>ISNUMBER(SEARCH("TP",AD27))</formula>
    </cfRule>
    <cfRule type="expression" dxfId="759" priority="161">
      <formula>ISNUMBER(SEARCH("CSE",AD27))</formula>
    </cfRule>
    <cfRule type="expression" dxfId="758" priority="162">
      <formula>OR(ISNUMBER(SEARCH("CA",AD27)),ISNUMBER(SEARCH("RC",AD27)))</formula>
    </cfRule>
  </conditionalFormatting>
  <dataValidations count="1">
    <dataValidation allowBlank="1" showInputMessage="1" showErrorMessage="1" sqref="G9" xr:uid="{00000000-0002-0000-0900-000000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CCFF"/>
  </sheetPr>
  <dimension ref="A1:AH595"/>
  <sheetViews>
    <sheetView topLeftCell="B19" zoomScaleNormal="100" workbookViewId="0">
      <pane xSplit="5" topLeftCell="G1" activePane="topRight" state="frozen"/>
      <selection pane="topRight" activeCell="R24" sqref="R24"/>
      <selection activeCell="B19" sqref="B19"/>
    </sheetView>
  </sheetViews>
  <sheetFormatPr defaultColWidth="12" defaultRowHeight="15"/>
  <cols>
    <col min="1" max="1" width="12.42578125" customWidth="1"/>
    <col min="2" max="2" width="21.28515625" customWidth="1"/>
    <col min="3" max="3" width="22.42578125" customWidth="1"/>
    <col min="4" max="4" width="21.42578125" customWidth="1"/>
    <col min="5" max="5" width="19.28515625" customWidth="1"/>
    <col min="6" max="6" width="13.7109375" customWidth="1"/>
    <col min="7" max="10" width="10.85546875" customWidth="1"/>
    <col min="11" max="11" width="9.42578125" customWidth="1"/>
    <col min="12" max="12" width="6.7109375" customWidth="1"/>
    <col min="13" max="13" width="6.28515625" customWidth="1"/>
    <col min="14" max="18" width="9.42578125" customWidth="1"/>
    <col min="19" max="19" width="7.7109375" customWidth="1"/>
    <col min="20" max="20" width="6.28515625" customWidth="1"/>
    <col min="21" max="21" width="12.7109375" customWidth="1"/>
    <col min="22" max="25" width="10.85546875" customWidth="1"/>
    <col min="26" max="26" width="8.28515625" customWidth="1"/>
    <col min="27" max="27" width="6.28515625" customWidth="1"/>
    <col min="28" max="32" width="10.85546875" customWidth="1"/>
    <col min="33" max="33" width="8.28515625" customWidth="1"/>
    <col min="34" max="34" width="6.28515625" customWidth="1"/>
  </cols>
  <sheetData>
    <row r="1" spans="1:34" ht="18.75" customHeight="1">
      <c r="F1" s="13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ht="18.75" customHeight="1">
      <c r="F2" s="13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</row>
    <row r="3" spans="1:34" ht="34.5" customHeight="1">
      <c r="A3" s="15"/>
      <c r="B3" s="16"/>
      <c r="C3" s="16"/>
      <c r="D3" s="16"/>
      <c r="E3" s="16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4" spans="1:34" ht="18.75" customHeight="1">
      <c r="A4" s="18" t="s">
        <v>23</v>
      </c>
      <c r="B4" s="428" t="s">
        <v>338</v>
      </c>
      <c r="C4" s="428"/>
      <c r="D4" s="428"/>
      <c r="E4" s="428"/>
      <c r="F4" s="442"/>
      <c r="G4" s="410" t="s">
        <v>339</v>
      </c>
      <c r="H4" s="410"/>
      <c r="I4" s="410"/>
      <c r="J4" s="410"/>
      <c r="K4" s="410"/>
      <c r="L4" s="410"/>
      <c r="M4" s="410"/>
      <c r="N4" s="411" t="s">
        <v>340</v>
      </c>
      <c r="O4" s="411"/>
      <c r="P4" s="411"/>
      <c r="Q4" s="411"/>
      <c r="R4" s="411"/>
      <c r="S4" s="411"/>
      <c r="T4" s="411"/>
      <c r="U4" s="440" t="s">
        <v>341</v>
      </c>
      <c r="V4" s="440"/>
      <c r="W4" s="440"/>
      <c r="X4" s="440"/>
      <c r="Y4" s="440"/>
      <c r="Z4" s="440"/>
      <c r="AA4" s="440"/>
      <c r="AB4" s="440" t="s">
        <v>342</v>
      </c>
      <c r="AC4" s="440"/>
      <c r="AD4" s="440"/>
      <c r="AE4" s="440"/>
      <c r="AF4" s="440"/>
      <c r="AG4" s="440"/>
      <c r="AH4" s="440"/>
    </row>
    <row r="5" spans="1:34" ht="18.75" customHeight="1">
      <c r="A5" s="20" t="s">
        <v>106</v>
      </c>
      <c r="B5" s="428"/>
      <c r="C5" s="428"/>
      <c r="D5" s="428"/>
      <c r="E5" s="428"/>
      <c r="F5" s="442"/>
      <c r="G5" s="22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168"/>
    </row>
    <row r="6" spans="1:34" ht="19.5" customHeight="1">
      <c r="A6" s="27" t="s">
        <v>25</v>
      </c>
      <c r="B6" s="427" t="s">
        <v>60</v>
      </c>
      <c r="C6" s="427"/>
      <c r="D6" s="427"/>
      <c r="E6" s="427"/>
      <c r="F6" s="442"/>
      <c r="G6" s="169" t="s">
        <v>61</v>
      </c>
      <c r="H6" s="170" t="s">
        <v>62</v>
      </c>
      <c r="I6" s="170" t="s">
        <v>63</v>
      </c>
      <c r="J6" s="170" t="s">
        <v>64</v>
      </c>
      <c r="K6" s="170" t="s">
        <v>65</v>
      </c>
      <c r="L6" s="171" t="s">
        <v>66</v>
      </c>
      <c r="M6" s="171" t="s">
        <v>67</v>
      </c>
      <c r="N6" s="170" t="s">
        <v>68</v>
      </c>
      <c r="O6" s="170" t="s">
        <v>62</v>
      </c>
      <c r="P6" s="170" t="s">
        <v>63</v>
      </c>
      <c r="Q6" s="170" t="s">
        <v>64</v>
      </c>
      <c r="R6" s="170" t="s">
        <v>65</v>
      </c>
      <c r="S6" s="171" t="s">
        <v>66</v>
      </c>
      <c r="T6" s="171" t="s">
        <v>67</v>
      </c>
      <c r="U6" s="170" t="s">
        <v>68</v>
      </c>
      <c r="V6" s="170" t="s">
        <v>62</v>
      </c>
      <c r="W6" s="170" t="s">
        <v>63</v>
      </c>
      <c r="X6" s="170" t="s">
        <v>64</v>
      </c>
      <c r="Y6" s="170" t="s">
        <v>65</v>
      </c>
      <c r="Z6" s="171" t="s">
        <v>66</v>
      </c>
      <c r="AA6" s="171" t="s">
        <v>67</v>
      </c>
      <c r="AB6" s="170" t="s">
        <v>68</v>
      </c>
      <c r="AC6" s="170" t="s">
        <v>62</v>
      </c>
      <c r="AD6" s="170" t="s">
        <v>63</v>
      </c>
      <c r="AE6" s="170" t="s">
        <v>64</v>
      </c>
      <c r="AF6" s="170" t="s">
        <v>65</v>
      </c>
      <c r="AG6" s="171" t="s">
        <v>66</v>
      </c>
      <c r="AH6" s="172" t="s">
        <v>67</v>
      </c>
    </row>
    <row r="7" spans="1:34" ht="36" customHeight="1">
      <c r="A7" s="274" t="s">
        <v>26</v>
      </c>
      <c r="B7" s="275" t="s">
        <v>69</v>
      </c>
      <c r="C7" s="35" t="s">
        <v>70</v>
      </c>
      <c r="D7" s="276" t="s">
        <v>71</v>
      </c>
      <c r="E7" s="277" t="s">
        <v>72</v>
      </c>
      <c r="F7" s="442"/>
      <c r="G7" s="173">
        <v>5</v>
      </c>
      <c r="H7" s="174">
        <v>6</v>
      </c>
      <c r="I7" s="174">
        <v>7</v>
      </c>
      <c r="J7" s="174">
        <v>8</v>
      </c>
      <c r="K7" s="174">
        <v>9</v>
      </c>
      <c r="L7" s="175">
        <v>10</v>
      </c>
      <c r="M7" s="175">
        <v>11</v>
      </c>
      <c r="N7" s="174">
        <v>12</v>
      </c>
      <c r="O7" s="174">
        <v>13</v>
      </c>
      <c r="P7" s="174">
        <v>14</v>
      </c>
      <c r="Q7" s="174">
        <v>15</v>
      </c>
      <c r="R7" s="174">
        <v>16</v>
      </c>
      <c r="S7" s="175">
        <v>17</v>
      </c>
      <c r="T7" s="175">
        <v>18</v>
      </c>
      <c r="U7" s="174">
        <v>19</v>
      </c>
      <c r="V7" s="174">
        <v>20</v>
      </c>
      <c r="W7" s="174">
        <v>21</v>
      </c>
      <c r="X7" s="174">
        <v>22</v>
      </c>
      <c r="Y7" s="174">
        <v>23</v>
      </c>
      <c r="Z7" s="175">
        <v>24</v>
      </c>
      <c r="AA7" s="175">
        <v>25</v>
      </c>
      <c r="AB7" s="174">
        <v>26</v>
      </c>
      <c r="AC7" s="174">
        <v>27</v>
      </c>
      <c r="AD7" s="174">
        <v>28</v>
      </c>
      <c r="AE7" s="174">
        <v>29</v>
      </c>
      <c r="AF7" s="174">
        <v>30</v>
      </c>
      <c r="AG7" s="175">
        <v>31</v>
      </c>
      <c r="AH7" s="176">
        <v>1</v>
      </c>
    </row>
    <row r="8" spans="1:34" ht="54" customHeight="1">
      <c r="A8" s="283" t="s">
        <v>27</v>
      </c>
      <c r="B8" s="54" t="s">
        <v>73</v>
      </c>
      <c r="C8" s="44" t="s">
        <v>73</v>
      </c>
      <c r="D8" s="185" t="s">
        <v>74</v>
      </c>
      <c r="E8" s="177" t="s">
        <v>75</v>
      </c>
      <c r="F8" s="221">
        <v>1</v>
      </c>
      <c r="G8" s="48"/>
      <c r="H8" s="49"/>
      <c r="I8" s="49"/>
      <c r="J8" s="49"/>
      <c r="K8" s="49"/>
      <c r="L8" s="50"/>
      <c r="M8" s="50"/>
      <c r="N8" s="49"/>
      <c r="O8" s="371" t="s">
        <v>343</v>
      </c>
      <c r="P8" s="49"/>
      <c r="Q8" s="49"/>
      <c r="R8" s="49"/>
      <c r="S8" s="50"/>
      <c r="T8" s="50"/>
      <c r="U8" s="49"/>
      <c r="V8" s="49"/>
      <c r="W8" s="49"/>
      <c r="X8" s="49"/>
      <c r="Y8" s="49"/>
      <c r="Z8" s="50"/>
      <c r="AA8" s="50"/>
      <c r="AB8" s="49"/>
      <c r="AC8" s="49" t="s">
        <v>76</v>
      </c>
      <c r="AD8" s="49"/>
      <c r="AE8" s="49"/>
      <c r="AF8" s="49"/>
      <c r="AG8" s="50"/>
      <c r="AH8" s="52"/>
    </row>
    <row r="9" spans="1:34" ht="71.25" customHeight="1">
      <c r="A9" s="292" t="s">
        <v>28</v>
      </c>
      <c r="B9" s="293" t="s">
        <v>77</v>
      </c>
      <c r="C9" s="294" t="s">
        <v>78</v>
      </c>
      <c r="D9" s="295" t="s">
        <v>79</v>
      </c>
      <c r="E9" s="296" t="s">
        <v>80</v>
      </c>
      <c r="F9" s="297">
        <v>1</v>
      </c>
      <c r="G9" s="256"/>
      <c r="H9" s="58"/>
      <c r="I9" s="58"/>
      <c r="J9" s="58"/>
      <c r="K9" s="58"/>
      <c r="L9" s="59"/>
      <c r="M9" s="59"/>
      <c r="N9" s="58"/>
      <c r="O9" s="58"/>
      <c r="P9" s="58"/>
      <c r="Q9" s="58"/>
      <c r="R9" s="58"/>
      <c r="S9" s="59"/>
      <c r="T9" s="59"/>
      <c r="U9" s="58" t="s">
        <v>344</v>
      </c>
      <c r="V9" s="58" t="s">
        <v>344</v>
      </c>
      <c r="W9" s="58" t="s">
        <v>344</v>
      </c>
      <c r="X9" s="58" t="s">
        <v>344</v>
      </c>
      <c r="Y9" s="58" t="s">
        <v>344</v>
      </c>
      <c r="Z9" s="59"/>
      <c r="AA9" s="59"/>
      <c r="AB9" s="58"/>
      <c r="AC9" s="58" t="s">
        <v>255</v>
      </c>
      <c r="AD9" s="58"/>
      <c r="AE9" s="58"/>
      <c r="AF9" s="58"/>
      <c r="AG9" s="59"/>
      <c r="AH9" s="63"/>
    </row>
    <row r="10" spans="1:34" ht="18.75" customHeight="1">
      <c r="A10" s="417" t="s">
        <v>88</v>
      </c>
      <c r="B10" s="64" t="s">
        <v>89</v>
      </c>
      <c r="C10" s="65" t="s">
        <v>90</v>
      </c>
      <c r="D10" s="186" t="s">
        <v>91</v>
      </c>
      <c r="E10" s="187" t="s">
        <v>92</v>
      </c>
      <c r="F10" s="360">
        <v>0.5</v>
      </c>
      <c r="G10" s="260"/>
      <c r="H10" s="61"/>
      <c r="I10" s="61"/>
      <c r="J10" s="61"/>
      <c r="K10" s="61"/>
      <c r="L10" s="70"/>
      <c r="M10" s="70"/>
      <c r="N10" s="61"/>
      <c r="O10" s="61"/>
      <c r="P10" s="61"/>
      <c r="Q10" s="61"/>
      <c r="R10" s="61"/>
      <c r="S10" s="70"/>
      <c r="T10" s="70"/>
      <c r="U10" s="188" t="s">
        <v>23</v>
      </c>
      <c r="V10" s="188" t="s">
        <v>23</v>
      </c>
      <c r="W10" s="188" t="s">
        <v>23</v>
      </c>
      <c r="X10" s="188" t="s">
        <v>23</v>
      </c>
      <c r="Y10" s="188" t="s">
        <v>23</v>
      </c>
      <c r="Z10" s="70"/>
      <c r="AA10" s="70"/>
      <c r="AB10" s="61"/>
      <c r="AC10" s="61"/>
      <c r="AD10" s="61"/>
      <c r="AE10" s="61"/>
      <c r="AF10" s="61"/>
      <c r="AG10" s="70"/>
      <c r="AH10" s="72"/>
    </row>
    <row r="11" spans="1:34" ht="18.75" customHeight="1">
      <c r="A11" s="417"/>
      <c r="B11" s="64" t="s">
        <v>94</v>
      </c>
      <c r="C11" s="65" t="s">
        <v>95</v>
      </c>
      <c r="D11" s="191" t="s">
        <v>96</v>
      </c>
      <c r="E11" s="192" t="s">
        <v>97</v>
      </c>
      <c r="F11" s="361">
        <v>1</v>
      </c>
      <c r="G11" s="301"/>
      <c r="H11" s="58"/>
      <c r="I11" s="58"/>
      <c r="J11" s="58"/>
      <c r="K11" s="58"/>
      <c r="L11" s="59"/>
      <c r="M11" s="59"/>
      <c r="N11" s="58"/>
      <c r="O11" s="58"/>
      <c r="P11" s="58"/>
      <c r="Q11" s="58"/>
      <c r="R11" s="58"/>
      <c r="S11" s="59"/>
      <c r="T11" s="59"/>
      <c r="U11" s="58"/>
      <c r="V11" s="58"/>
      <c r="W11" s="58"/>
      <c r="X11" s="58"/>
      <c r="Y11" s="58"/>
      <c r="Z11" s="59"/>
      <c r="AA11" s="59"/>
      <c r="AB11" s="61"/>
      <c r="AC11" s="61"/>
      <c r="AD11" s="61"/>
      <c r="AE11" s="61"/>
      <c r="AF11" s="61"/>
      <c r="AG11" s="59"/>
      <c r="AH11" s="63"/>
    </row>
    <row r="12" spans="1:34" ht="18.75" customHeight="1">
      <c r="A12" s="417"/>
      <c r="B12" s="64" t="s">
        <v>98</v>
      </c>
      <c r="C12" s="65" t="s">
        <v>99</v>
      </c>
      <c r="D12" s="193" t="s">
        <v>100</v>
      </c>
      <c r="E12" s="194" t="s">
        <v>101</v>
      </c>
      <c r="F12" s="361">
        <v>1</v>
      </c>
      <c r="G12" s="260"/>
      <c r="H12" s="61"/>
      <c r="I12" s="61"/>
      <c r="J12" s="61"/>
      <c r="K12" s="61"/>
      <c r="L12" s="70"/>
      <c r="M12" s="70"/>
      <c r="N12" s="61"/>
      <c r="O12" s="61"/>
      <c r="P12" s="61"/>
      <c r="Q12" s="58"/>
      <c r="R12" s="58"/>
      <c r="S12" s="59"/>
      <c r="T12" s="59"/>
      <c r="U12" s="61"/>
      <c r="V12" s="61"/>
      <c r="W12" s="58"/>
      <c r="X12" s="58"/>
      <c r="Y12" s="61"/>
      <c r="Z12" s="59"/>
      <c r="AA12" s="70"/>
      <c r="AB12" s="61"/>
      <c r="AC12" s="58"/>
      <c r="AD12" s="61"/>
      <c r="AE12" s="61"/>
      <c r="AF12" s="61"/>
      <c r="AG12" s="59"/>
      <c r="AH12" s="72"/>
    </row>
    <row r="13" spans="1:34" ht="18.75" customHeight="1">
      <c r="A13" s="417"/>
      <c r="B13" s="64" t="s">
        <v>102</v>
      </c>
      <c r="C13" s="65" t="s">
        <v>103</v>
      </c>
      <c r="D13" s="193" t="s">
        <v>104</v>
      </c>
      <c r="E13" s="194" t="s">
        <v>105</v>
      </c>
      <c r="F13" s="361">
        <v>0.8</v>
      </c>
      <c r="G13" s="326" t="s">
        <v>23</v>
      </c>
      <c r="H13" s="188" t="s">
        <v>23</v>
      </c>
      <c r="I13" s="188" t="s">
        <v>23</v>
      </c>
      <c r="J13" s="188" t="s">
        <v>23</v>
      </c>
      <c r="K13" s="188" t="s">
        <v>23</v>
      </c>
      <c r="L13" s="59"/>
      <c r="M13" s="70"/>
      <c r="N13" s="61"/>
      <c r="O13" s="61"/>
      <c r="P13" s="58"/>
      <c r="Q13" s="62" t="s">
        <v>106</v>
      </c>
      <c r="R13" s="62" t="s">
        <v>106</v>
      </c>
      <c r="S13" s="59"/>
      <c r="T13" s="59"/>
      <c r="U13" s="61"/>
      <c r="V13" s="61"/>
      <c r="W13" s="61"/>
      <c r="X13" s="61"/>
      <c r="Y13" s="61"/>
      <c r="Z13" s="59"/>
      <c r="AA13" s="70"/>
      <c r="AB13" s="61"/>
      <c r="AC13" s="61"/>
      <c r="AD13" s="61"/>
      <c r="AE13" s="61"/>
      <c r="AF13" s="61"/>
      <c r="AG13" s="59"/>
      <c r="AH13" s="72"/>
    </row>
    <row r="14" spans="1:34" ht="18.75" customHeight="1">
      <c r="A14" s="417"/>
      <c r="B14" s="64" t="s">
        <v>107</v>
      </c>
      <c r="C14" s="65" t="s">
        <v>108</v>
      </c>
      <c r="D14" s="193" t="s">
        <v>109</v>
      </c>
      <c r="E14" s="194" t="s">
        <v>110</v>
      </c>
      <c r="F14" s="361">
        <v>1</v>
      </c>
      <c r="G14" s="260"/>
      <c r="H14" s="61"/>
      <c r="I14" s="58"/>
      <c r="J14" s="61"/>
      <c r="K14" s="61"/>
      <c r="L14" s="70"/>
      <c r="M14" s="70"/>
      <c r="N14" s="61"/>
      <c r="O14" s="61"/>
      <c r="P14" s="61"/>
      <c r="Q14" s="58"/>
      <c r="R14" s="58"/>
      <c r="S14" s="59"/>
      <c r="T14" s="59"/>
      <c r="U14" s="61"/>
      <c r="V14" s="61"/>
      <c r="W14" s="61"/>
      <c r="X14" s="58"/>
      <c r="Y14" s="61"/>
      <c r="Z14" s="59"/>
      <c r="AA14" s="70"/>
      <c r="AB14" s="61"/>
      <c r="AC14" s="61"/>
      <c r="AD14" s="58"/>
      <c r="AE14" s="61"/>
      <c r="AF14" s="61"/>
      <c r="AG14" s="59"/>
      <c r="AH14" s="72"/>
    </row>
    <row r="15" spans="1:34" ht="18.75" customHeight="1">
      <c r="A15" s="417"/>
      <c r="B15" s="64" t="s">
        <v>111</v>
      </c>
      <c r="C15" s="65" t="s">
        <v>112</v>
      </c>
      <c r="D15" s="193" t="s">
        <v>113</v>
      </c>
      <c r="E15" s="194" t="s">
        <v>114</v>
      </c>
      <c r="F15" s="361">
        <v>1</v>
      </c>
      <c r="G15" s="260"/>
      <c r="H15" s="61"/>
      <c r="I15" s="61"/>
      <c r="J15" s="61"/>
      <c r="K15" s="61"/>
      <c r="L15" s="59"/>
      <c r="M15" s="70"/>
      <c r="N15" s="61"/>
      <c r="O15" s="61"/>
      <c r="P15" s="61"/>
      <c r="Q15" s="58"/>
      <c r="R15" s="58"/>
      <c r="S15" s="59"/>
      <c r="T15" s="59"/>
      <c r="U15" s="61"/>
      <c r="V15" s="61"/>
      <c r="W15" s="61"/>
      <c r="X15" s="61"/>
      <c r="Y15" s="61"/>
      <c r="Z15" s="59"/>
      <c r="AA15" s="70"/>
      <c r="AB15" s="61"/>
      <c r="AC15" s="61"/>
      <c r="AD15" s="61"/>
      <c r="AE15" s="61"/>
      <c r="AF15" s="58"/>
      <c r="AG15" s="59"/>
      <c r="AH15" s="72"/>
    </row>
    <row r="16" spans="1:34" ht="18.75" customHeight="1">
      <c r="A16" s="417"/>
      <c r="B16" s="64" t="s">
        <v>116</v>
      </c>
      <c r="C16" s="65" t="s">
        <v>117</v>
      </c>
      <c r="D16" s="193" t="s">
        <v>118</v>
      </c>
      <c r="E16" s="194" t="s">
        <v>119</v>
      </c>
      <c r="F16" s="361">
        <v>1</v>
      </c>
      <c r="G16" s="260"/>
      <c r="H16" s="61"/>
      <c r="I16" s="61"/>
      <c r="J16" s="58"/>
      <c r="K16" s="61"/>
      <c r="L16" s="70"/>
      <c r="M16" s="70"/>
      <c r="N16" s="61"/>
      <c r="O16" s="61"/>
      <c r="P16" s="61"/>
      <c r="Q16" s="58"/>
      <c r="R16" s="58"/>
      <c r="S16" s="59"/>
      <c r="T16" s="59"/>
      <c r="U16" s="61"/>
      <c r="V16" s="61"/>
      <c r="W16" s="61"/>
      <c r="X16" s="61"/>
      <c r="Y16" s="58"/>
      <c r="Z16" s="59"/>
      <c r="AA16" s="70"/>
      <c r="AB16" s="61"/>
      <c r="AC16" s="61"/>
      <c r="AD16" s="61"/>
      <c r="AE16" s="58"/>
      <c r="AF16" s="61"/>
      <c r="AG16" s="59"/>
      <c r="AH16" s="72"/>
    </row>
    <row r="17" spans="1:34" ht="18.75" customHeight="1">
      <c r="A17" s="417"/>
      <c r="B17" s="64" t="s">
        <v>120</v>
      </c>
      <c r="C17" s="65" t="s">
        <v>121</v>
      </c>
      <c r="D17" s="193" t="s">
        <v>122</v>
      </c>
      <c r="E17" s="194" t="s">
        <v>123</v>
      </c>
      <c r="F17" s="361">
        <v>1</v>
      </c>
      <c r="G17" s="260"/>
      <c r="H17" s="61"/>
      <c r="I17" s="61"/>
      <c r="J17" s="61"/>
      <c r="K17" s="61"/>
      <c r="L17" s="59"/>
      <c r="M17" s="70"/>
      <c r="N17" s="61"/>
      <c r="O17" s="61"/>
      <c r="P17" s="61"/>
      <c r="Q17" s="58"/>
      <c r="R17" s="58"/>
      <c r="S17" s="59"/>
      <c r="T17" s="59"/>
      <c r="U17" s="61"/>
      <c r="V17" s="61"/>
      <c r="W17" s="61"/>
      <c r="X17" s="58"/>
      <c r="Y17" s="61"/>
      <c r="Z17" s="59"/>
      <c r="AA17" s="70"/>
      <c r="AB17" s="58"/>
      <c r="AC17" s="61"/>
      <c r="AD17" s="61"/>
      <c r="AE17" s="61"/>
      <c r="AF17" s="61"/>
      <c r="AG17" s="59"/>
      <c r="AH17" s="72"/>
    </row>
    <row r="18" spans="1:34" ht="18.75" customHeight="1">
      <c r="A18" s="417"/>
      <c r="B18" s="64" t="s">
        <v>124</v>
      </c>
      <c r="C18" s="65" t="s">
        <v>125</v>
      </c>
      <c r="D18" s="193" t="s">
        <v>126</v>
      </c>
      <c r="E18" s="194" t="s">
        <v>127</v>
      </c>
      <c r="F18" s="361">
        <v>1</v>
      </c>
      <c r="G18" s="260"/>
      <c r="H18" s="61"/>
      <c r="I18" s="61"/>
      <c r="J18" s="61"/>
      <c r="K18" s="58"/>
      <c r="L18" s="70"/>
      <c r="M18" s="70"/>
      <c r="N18" s="61"/>
      <c r="O18" s="61"/>
      <c r="P18" s="61"/>
      <c r="Q18" s="58"/>
      <c r="R18" s="58"/>
      <c r="S18" s="59"/>
      <c r="T18" s="59"/>
      <c r="U18" s="58"/>
      <c r="V18" s="61" t="s">
        <v>115</v>
      </c>
      <c r="W18" s="61"/>
      <c r="X18" s="61"/>
      <c r="Y18" s="61"/>
      <c r="Z18" s="59"/>
      <c r="AA18" s="70"/>
      <c r="AB18" s="61"/>
      <c r="AC18" s="61"/>
      <c r="AD18" s="61"/>
      <c r="AE18" s="61"/>
      <c r="AF18" s="58"/>
      <c r="AG18" s="59"/>
      <c r="AH18" s="72"/>
    </row>
    <row r="19" spans="1:34" ht="18.75" customHeight="1">
      <c r="A19" s="417"/>
      <c r="B19" s="64" t="s">
        <v>129</v>
      </c>
      <c r="C19" s="65" t="s">
        <v>130</v>
      </c>
      <c r="D19" s="196" t="s">
        <v>131</v>
      </c>
      <c r="E19" s="197" t="s">
        <v>132</v>
      </c>
      <c r="F19" s="361">
        <v>1</v>
      </c>
      <c r="G19" s="266"/>
      <c r="H19" s="88"/>
      <c r="I19" s="88"/>
      <c r="J19" s="88"/>
      <c r="K19" s="58"/>
      <c r="L19" s="87"/>
      <c r="M19" s="87"/>
      <c r="N19" s="88"/>
      <c r="O19" s="88"/>
      <c r="P19" s="88"/>
      <c r="Q19" s="58"/>
      <c r="R19" s="58"/>
      <c r="S19" s="59"/>
      <c r="T19" s="59"/>
      <c r="U19" s="58"/>
      <c r="V19" s="61"/>
      <c r="W19" s="61"/>
      <c r="X19" s="61"/>
      <c r="Y19" s="61"/>
      <c r="Z19" s="59"/>
      <c r="AA19" s="70"/>
      <c r="AB19" s="188" t="s">
        <v>23</v>
      </c>
      <c r="AC19" s="188" t="s">
        <v>23</v>
      </c>
      <c r="AD19" s="188" t="s">
        <v>23</v>
      </c>
      <c r="AE19" s="188" t="s">
        <v>23</v>
      </c>
      <c r="AF19" s="188" t="s">
        <v>23</v>
      </c>
      <c r="AG19" s="59"/>
      <c r="AH19" s="90"/>
    </row>
    <row r="20" spans="1:34" ht="18.75" customHeight="1">
      <c r="A20" s="417"/>
      <c r="B20" s="64" t="s">
        <v>133</v>
      </c>
      <c r="C20" s="65" t="s">
        <v>134</v>
      </c>
      <c r="D20" s="196" t="s">
        <v>135</v>
      </c>
      <c r="E20" s="197" t="s">
        <v>136</v>
      </c>
      <c r="F20" s="361">
        <v>1</v>
      </c>
      <c r="G20" s="266"/>
      <c r="H20" s="88"/>
      <c r="I20" s="88"/>
      <c r="J20" s="88"/>
      <c r="K20" s="58"/>
      <c r="L20" s="87"/>
      <c r="M20" s="87"/>
      <c r="N20" s="88"/>
      <c r="O20" s="88"/>
      <c r="P20" s="88"/>
      <c r="Q20" s="58"/>
      <c r="R20" s="58"/>
      <c r="S20" s="59"/>
      <c r="T20" s="59"/>
      <c r="U20" s="58"/>
      <c r="V20" s="61"/>
      <c r="W20" s="61"/>
      <c r="X20" s="61"/>
      <c r="Y20" s="61"/>
      <c r="Z20" s="59"/>
      <c r="AA20" s="70"/>
      <c r="AB20" s="61"/>
      <c r="AC20" s="61"/>
      <c r="AD20" s="61"/>
      <c r="AE20" s="61"/>
      <c r="AF20" s="58"/>
      <c r="AG20" s="59"/>
      <c r="AH20" s="90"/>
    </row>
    <row r="21" spans="1:34" ht="18.75" customHeight="1">
      <c r="A21" s="417"/>
      <c r="B21" s="64" t="s">
        <v>137</v>
      </c>
      <c r="C21" s="65" t="s">
        <v>138</v>
      </c>
      <c r="D21" s="196" t="s">
        <v>139</v>
      </c>
      <c r="E21" s="197" t="s">
        <v>140</v>
      </c>
      <c r="F21" s="361">
        <v>1</v>
      </c>
      <c r="G21" s="266"/>
      <c r="H21" s="88"/>
      <c r="I21" s="88"/>
      <c r="J21" s="88"/>
      <c r="K21" s="92"/>
      <c r="L21" s="87"/>
      <c r="M21" s="87"/>
      <c r="N21" s="88"/>
      <c r="O21" s="88"/>
      <c r="P21" s="88"/>
      <c r="Q21" s="92"/>
      <c r="R21" s="92"/>
      <c r="S21" s="94"/>
      <c r="T21" s="94"/>
      <c r="U21" s="92"/>
      <c r="V21" s="88"/>
      <c r="W21" s="88"/>
      <c r="X21" s="88"/>
      <c r="Y21" s="88"/>
      <c r="Z21" s="94"/>
      <c r="AA21" s="87"/>
      <c r="AB21" s="372" t="s">
        <v>25</v>
      </c>
      <c r="AC21" s="372" t="s">
        <v>25</v>
      </c>
      <c r="AD21" s="372" t="s">
        <v>25</v>
      </c>
      <c r="AE21" s="372" t="s">
        <v>25</v>
      </c>
      <c r="AF21" s="372" t="s">
        <v>25</v>
      </c>
      <c r="AG21" s="94"/>
      <c r="AH21" s="90"/>
    </row>
    <row r="22" spans="1:34" ht="18.75" customHeight="1">
      <c r="A22" s="417"/>
      <c r="B22" s="64" t="s">
        <v>141</v>
      </c>
      <c r="C22" s="65" t="s">
        <v>142</v>
      </c>
      <c r="D22" s="196" t="s">
        <v>143</v>
      </c>
      <c r="E22" s="197" t="s">
        <v>144</v>
      </c>
      <c r="F22" s="361">
        <v>1</v>
      </c>
      <c r="G22" s="305"/>
      <c r="H22" s="99"/>
      <c r="I22" s="99"/>
      <c r="J22" s="99"/>
      <c r="K22" s="99"/>
      <c r="L22" s="98"/>
      <c r="M22" s="98"/>
      <c r="N22" s="99"/>
      <c r="O22" s="99"/>
      <c r="P22" s="99"/>
      <c r="Q22" s="99"/>
      <c r="R22" s="99"/>
      <c r="S22" s="98"/>
      <c r="T22" s="98"/>
      <c r="U22" s="239" t="s">
        <v>25</v>
      </c>
      <c r="V22" s="239" t="s">
        <v>25</v>
      </c>
      <c r="W22" s="239" t="s">
        <v>25</v>
      </c>
      <c r="X22" s="239" t="s">
        <v>25</v>
      </c>
      <c r="Y22" s="239" t="s">
        <v>25</v>
      </c>
      <c r="Z22" s="98"/>
      <c r="AA22" s="98"/>
      <c r="AB22" s="99"/>
      <c r="AC22" s="99"/>
      <c r="AD22" s="99"/>
      <c r="AE22" s="99"/>
      <c r="AF22" s="99"/>
      <c r="AG22" s="98"/>
      <c r="AH22" s="100"/>
    </row>
    <row r="23" spans="1:34" ht="18.75" customHeight="1">
      <c r="A23" s="417"/>
      <c r="B23" s="64" t="s">
        <v>146</v>
      </c>
      <c r="C23" s="65"/>
      <c r="D23" s="95" t="s">
        <v>147</v>
      </c>
      <c r="E23" s="85" t="s">
        <v>148</v>
      </c>
      <c r="F23" s="361">
        <v>1</v>
      </c>
      <c r="G23" s="305"/>
      <c r="H23" s="99"/>
      <c r="I23" s="99"/>
      <c r="J23" s="99"/>
      <c r="K23" s="99"/>
      <c r="L23" s="98"/>
      <c r="M23" s="98"/>
      <c r="N23" s="99"/>
      <c r="O23" s="99"/>
      <c r="P23" s="99"/>
      <c r="Q23" s="99"/>
      <c r="R23" s="99"/>
      <c r="S23" s="98"/>
      <c r="T23" s="98"/>
      <c r="U23" s="99">
        <v>8017</v>
      </c>
      <c r="V23" s="99">
        <v>8017</v>
      </c>
      <c r="W23" s="99">
        <v>8017</v>
      </c>
      <c r="X23" s="99">
        <v>8017</v>
      </c>
      <c r="Y23" s="99">
        <v>8017</v>
      </c>
      <c r="Z23" s="98"/>
      <c r="AA23" s="98"/>
      <c r="AB23" s="99"/>
      <c r="AC23" s="99"/>
      <c r="AD23" s="99"/>
      <c r="AE23" s="99"/>
      <c r="AF23" s="99"/>
      <c r="AG23" s="98"/>
      <c r="AH23" s="100"/>
    </row>
    <row r="24" spans="1:34" ht="18.75" customHeight="1">
      <c r="A24" s="417"/>
      <c r="B24" s="101" t="s">
        <v>150</v>
      </c>
      <c r="C24" s="65"/>
      <c r="D24" s="84" t="s">
        <v>151</v>
      </c>
      <c r="E24" s="85" t="s">
        <v>152</v>
      </c>
      <c r="F24" s="362">
        <v>1</v>
      </c>
      <c r="G24" s="266"/>
      <c r="H24" s="88"/>
      <c r="I24" s="88"/>
      <c r="J24" s="88"/>
      <c r="K24" s="88"/>
      <c r="L24" s="87"/>
      <c r="M24" s="87"/>
      <c r="N24" s="334" t="s">
        <v>25</v>
      </c>
      <c r="O24" s="334" t="s">
        <v>25</v>
      </c>
      <c r="P24" s="334" t="s">
        <v>25</v>
      </c>
      <c r="Q24" s="334" t="s">
        <v>25</v>
      </c>
      <c r="R24" s="334" t="s">
        <v>25</v>
      </c>
      <c r="S24" s="87"/>
      <c r="T24" s="87"/>
      <c r="U24" s="88"/>
      <c r="V24" s="88"/>
      <c r="W24" s="88"/>
      <c r="X24" s="88"/>
      <c r="Y24" s="88"/>
      <c r="Z24" s="87"/>
      <c r="AA24" s="87"/>
      <c r="AB24" s="88" t="s">
        <v>232</v>
      </c>
      <c r="AC24" s="88" t="s">
        <v>232</v>
      </c>
      <c r="AD24" s="88" t="s">
        <v>232</v>
      </c>
      <c r="AE24" s="88" t="s">
        <v>232</v>
      </c>
      <c r="AF24" s="88" t="s">
        <v>232</v>
      </c>
      <c r="AG24" s="87"/>
      <c r="AH24" s="90"/>
    </row>
    <row r="25" spans="1:34" ht="18.75" customHeight="1">
      <c r="A25" s="430" t="s">
        <v>156</v>
      </c>
      <c r="B25" s="108" t="s">
        <v>157</v>
      </c>
      <c r="C25" s="109" t="s">
        <v>158</v>
      </c>
      <c r="D25" s="110" t="s">
        <v>159</v>
      </c>
      <c r="E25" s="111" t="s">
        <v>160</v>
      </c>
      <c r="F25" s="373">
        <v>1</v>
      </c>
      <c r="G25" s="368" t="s">
        <v>296</v>
      </c>
      <c r="H25" s="287" t="s">
        <v>296</v>
      </c>
      <c r="I25" s="287" t="s">
        <v>296</v>
      </c>
      <c r="J25" s="287" t="s">
        <v>296</v>
      </c>
      <c r="K25" s="287" t="s">
        <v>25</v>
      </c>
      <c r="L25" s="115"/>
      <c r="M25" s="116"/>
      <c r="N25" s="287" t="s">
        <v>25</v>
      </c>
      <c r="O25" s="287" t="s">
        <v>25</v>
      </c>
      <c r="P25" s="287" t="s">
        <v>25</v>
      </c>
      <c r="Q25" s="287" t="s">
        <v>25</v>
      </c>
      <c r="R25" s="287" t="s">
        <v>25</v>
      </c>
      <c r="S25" s="116"/>
      <c r="T25" s="116"/>
      <c r="U25" s="114" t="s">
        <v>161</v>
      </c>
      <c r="V25" s="114" t="s">
        <v>161</v>
      </c>
      <c r="W25" s="114" t="s">
        <v>161</v>
      </c>
      <c r="X25" s="114" t="s">
        <v>161</v>
      </c>
      <c r="Y25" s="114" t="s">
        <v>161</v>
      </c>
      <c r="Z25" s="115"/>
      <c r="AA25" s="116"/>
      <c r="AB25" s="114" t="s">
        <v>157</v>
      </c>
      <c r="AC25" s="114" t="s">
        <v>157</v>
      </c>
      <c r="AD25" s="114" t="s">
        <v>157</v>
      </c>
      <c r="AE25" s="114" t="s">
        <v>157</v>
      </c>
      <c r="AF25" s="114" t="s">
        <v>157</v>
      </c>
      <c r="AG25" s="116"/>
      <c r="AH25" s="117"/>
    </row>
    <row r="26" spans="1:34" ht="18.75" customHeight="1">
      <c r="A26" s="430"/>
      <c r="B26" s="118" t="s">
        <v>161</v>
      </c>
      <c r="C26" s="119" t="s">
        <v>158</v>
      </c>
      <c r="D26" s="120" t="s">
        <v>162</v>
      </c>
      <c r="E26" s="121" t="s">
        <v>163</v>
      </c>
      <c r="F26" s="354">
        <v>1</v>
      </c>
      <c r="G26" s="91" t="s">
        <v>161</v>
      </c>
      <c r="H26" s="88" t="s">
        <v>161</v>
      </c>
      <c r="I26" s="88" t="s">
        <v>161</v>
      </c>
      <c r="J26" s="88" t="s">
        <v>161</v>
      </c>
      <c r="K26" s="88" t="s">
        <v>161</v>
      </c>
      <c r="L26" s="70"/>
      <c r="M26" s="94"/>
      <c r="N26" s="88" t="s">
        <v>161</v>
      </c>
      <c r="O26" s="88" t="s">
        <v>161</v>
      </c>
      <c r="P26" s="88" t="s">
        <v>161</v>
      </c>
      <c r="Q26" s="88" t="s">
        <v>161</v>
      </c>
      <c r="R26" s="88" t="s">
        <v>161</v>
      </c>
      <c r="S26" s="70"/>
      <c r="T26" s="94"/>
      <c r="U26" s="299" t="s">
        <v>25</v>
      </c>
      <c r="V26" s="299" t="s">
        <v>25</v>
      </c>
      <c r="W26" s="299" t="s">
        <v>25</v>
      </c>
      <c r="X26" s="299" t="s">
        <v>25</v>
      </c>
      <c r="Y26" s="299" t="s">
        <v>25</v>
      </c>
      <c r="Z26" s="70"/>
      <c r="AA26" s="94"/>
      <c r="AB26" s="88" t="s">
        <v>161</v>
      </c>
      <c r="AC26" s="88" t="s">
        <v>161</v>
      </c>
      <c r="AD26" s="88" t="s">
        <v>161</v>
      </c>
      <c r="AE26" s="88" t="s">
        <v>161</v>
      </c>
      <c r="AF26" s="88" t="s">
        <v>161</v>
      </c>
      <c r="AG26" s="70"/>
      <c r="AH26" s="124"/>
    </row>
    <row r="27" spans="1:34" ht="18.75" customHeight="1">
      <c r="A27" s="430"/>
      <c r="B27" s="118" t="s">
        <v>164</v>
      </c>
      <c r="C27" s="119" t="s">
        <v>158</v>
      </c>
      <c r="D27" s="119" t="s">
        <v>165</v>
      </c>
      <c r="E27" s="125" t="s">
        <v>105</v>
      </c>
      <c r="F27" s="354">
        <v>1</v>
      </c>
      <c r="G27" s="91" t="s">
        <v>157</v>
      </c>
      <c r="H27" s="88" t="s">
        <v>157</v>
      </c>
      <c r="I27" s="88" t="s">
        <v>157</v>
      </c>
      <c r="J27" s="88" t="s">
        <v>157</v>
      </c>
      <c r="K27" s="88" t="s">
        <v>157</v>
      </c>
      <c r="L27" s="70"/>
      <c r="M27" s="87"/>
      <c r="N27" s="88" t="s">
        <v>157</v>
      </c>
      <c r="O27" s="88" t="s">
        <v>157</v>
      </c>
      <c r="P27" s="88" t="s">
        <v>157</v>
      </c>
      <c r="Q27" s="88" t="s">
        <v>157</v>
      </c>
      <c r="R27" s="88" t="s">
        <v>157</v>
      </c>
      <c r="S27" s="70"/>
      <c r="T27" s="87"/>
      <c r="U27" s="88" t="s">
        <v>271</v>
      </c>
      <c r="V27" s="88" t="s">
        <v>271</v>
      </c>
      <c r="W27" s="88" t="s">
        <v>271</v>
      </c>
      <c r="X27" s="88" t="s">
        <v>271</v>
      </c>
      <c r="Y27" s="88" t="s">
        <v>271</v>
      </c>
      <c r="Z27" s="70"/>
      <c r="AA27" s="87"/>
      <c r="AB27" s="88" t="s">
        <v>271</v>
      </c>
      <c r="AC27" s="88" t="s">
        <v>271</v>
      </c>
      <c r="AD27" s="88" t="s">
        <v>271</v>
      </c>
      <c r="AE27" s="88" t="s">
        <v>271</v>
      </c>
      <c r="AF27" s="88" t="s">
        <v>271</v>
      </c>
      <c r="AG27" s="70"/>
      <c r="AH27" s="90"/>
    </row>
    <row r="28" spans="1:34" ht="18.75" customHeight="1">
      <c r="A28" s="430"/>
      <c r="B28" s="127" t="s">
        <v>170</v>
      </c>
      <c r="C28" s="128" t="s">
        <v>158</v>
      </c>
      <c r="D28" s="128" t="s">
        <v>171</v>
      </c>
      <c r="E28" s="129" t="s">
        <v>172</v>
      </c>
      <c r="F28" s="359">
        <v>1</v>
      </c>
      <c r="G28" s="139" t="s">
        <v>271</v>
      </c>
      <c r="H28" s="140" t="s">
        <v>271</v>
      </c>
      <c r="I28" s="140" t="s">
        <v>271</v>
      </c>
      <c r="J28" s="140" t="s">
        <v>271</v>
      </c>
      <c r="K28" s="140" t="s">
        <v>271</v>
      </c>
      <c r="L28" s="141"/>
      <c r="M28" s="141"/>
      <c r="N28" s="140" t="s">
        <v>271</v>
      </c>
      <c r="O28" s="140" t="s">
        <v>271</v>
      </c>
      <c r="P28" s="140" t="s">
        <v>271</v>
      </c>
      <c r="Q28" s="140" t="s">
        <v>271</v>
      </c>
      <c r="R28" s="140" t="s">
        <v>271</v>
      </c>
      <c r="S28" s="141"/>
      <c r="T28" s="141"/>
      <c r="U28" s="140" t="s">
        <v>157</v>
      </c>
      <c r="V28" s="140" t="s">
        <v>157</v>
      </c>
      <c r="W28" s="140" t="s">
        <v>157</v>
      </c>
      <c r="X28" s="140" t="s">
        <v>157</v>
      </c>
      <c r="Y28" s="140" t="s">
        <v>157</v>
      </c>
      <c r="Z28" s="141"/>
      <c r="AA28" s="141"/>
      <c r="AB28" s="140" t="s">
        <v>245</v>
      </c>
      <c r="AC28" s="140" t="s">
        <v>245</v>
      </c>
      <c r="AD28" s="140" t="s">
        <v>245</v>
      </c>
      <c r="AE28" s="140" t="s">
        <v>245</v>
      </c>
      <c r="AF28" s="140" t="s">
        <v>245</v>
      </c>
      <c r="AG28" s="141"/>
      <c r="AH28" s="142"/>
    </row>
    <row r="29" spans="1:34" ht="18.75" customHeight="1">
      <c r="A29" s="431" t="s">
        <v>174</v>
      </c>
      <c r="B29" s="431"/>
      <c r="C29" s="431"/>
      <c r="D29" s="431"/>
      <c r="E29" s="431"/>
      <c r="F29" s="360">
        <v>1</v>
      </c>
      <c r="G29" s="307"/>
      <c r="H29" s="92"/>
      <c r="I29" s="92"/>
      <c r="J29" s="92"/>
      <c r="K29" s="92"/>
      <c r="L29" s="59"/>
      <c r="M29" s="59"/>
      <c r="N29" s="92"/>
      <c r="O29" s="92"/>
      <c r="P29" s="92"/>
      <c r="Q29" s="92"/>
      <c r="R29" s="92"/>
      <c r="S29" s="59"/>
      <c r="T29" s="59"/>
      <c r="U29" s="92"/>
      <c r="V29" s="92"/>
      <c r="W29" s="92"/>
      <c r="X29" s="92"/>
      <c r="Y29" s="92"/>
      <c r="Z29" s="59"/>
      <c r="AA29" s="59"/>
      <c r="AB29" s="92"/>
      <c r="AC29" s="92"/>
      <c r="AD29" s="92"/>
      <c r="AE29" s="92"/>
      <c r="AF29" s="92"/>
      <c r="AG29" s="59"/>
      <c r="AH29" s="63"/>
    </row>
    <row r="30" spans="1:34" ht="18.75" customHeight="1">
      <c r="A30" s="431"/>
      <c r="B30" s="431"/>
      <c r="C30" s="431"/>
      <c r="D30" s="431"/>
      <c r="E30" s="431"/>
      <c r="F30" s="361">
        <v>1</v>
      </c>
      <c r="G30" s="266"/>
      <c r="H30" s="88"/>
      <c r="I30" s="88"/>
      <c r="J30" s="88"/>
      <c r="K30" s="88"/>
      <c r="L30" s="70"/>
      <c r="M30" s="70"/>
      <c r="N30" s="88"/>
      <c r="O30" s="88"/>
      <c r="P30" s="88"/>
      <c r="Q30" s="88"/>
      <c r="R30" s="88"/>
      <c r="S30" s="70"/>
      <c r="T30" s="70"/>
      <c r="U30" s="88"/>
      <c r="V30" s="88"/>
      <c r="W30" s="88"/>
      <c r="X30" s="88"/>
      <c r="Y30" s="88"/>
      <c r="Z30" s="70"/>
      <c r="AA30" s="70"/>
      <c r="AB30" s="88"/>
      <c r="AC30" s="88"/>
      <c r="AD30" s="88"/>
      <c r="AE30" s="88"/>
      <c r="AF30" s="88"/>
      <c r="AG30" s="70"/>
      <c r="AH30" s="72"/>
    </row>
    <row r="31" spans="1:34" ht="18.75" customHeight="1">
      <c r="A31" s="431"/>
      <c r="B31" s="431"/>
      <c r="C31" s="431"/>
      <c r="D31" s="431"/>
      <c r="E31" s="431"/>
      <c r="F31" s="362">
        <v>1</v>
      </c>
      <c r="G31" s="270"/>
      <c r="H31" s="140"/>
      <c r="I31" s="140"/>
      <c r="J31" s="140"/>
      <c r="K31" s="140"/>
      <c r="L31" s="141"/>
      <c r="M31" s="141"/>
      <c r="N31" s="140"/>
      <c r="O31" s="140"/>
      <c r="P31" s="140"/>
      <c r="Q31" s="140"/>
      <c r="R31" s="140"/>
      <c r="S31" s="141"/>
      <c r="T31" s="141"/>
      <c r="U31" s="140"/>
      <c r="V31" s="140"/>
      <c r="W31" s="140"/>
      <c r="X31" s="140"/>
      <c r="Y31" s="140"/>
      <c r="Z31" s="141"/>
      <c r="AA31" s="141"/>
      <c r="AB31" s="140"/>
      <c r="AC31" s="140"/>
      <c r="AD31" s="140"/>
      <c r="AE31" s="140"/>
      <c r="AF31" s="140"/>
      <c r="AG31" s="141"/>
      <c r="AH31" s="142"/>
    </row>
    <row r="32" spans="1:34" ht="24" customHeight="1">
      <c r="F32" s="21"/>
      <c r="G32" s="144">
        <f>COUNTA(G29:G31)</f>
        <v>0</v>
      </c>
      <c r="H32" s="144">
        <f>COUNTA(H29:H31)</f>
        <v>0</v>
      </c>
      <c r="I32" s="144">
        <f>COUNTA(I29:I31)</f>
        <v>0</v>
      </c>
      <c r="J32" s="144">
        <f>COUNTA(J29:J31)</f>
        <v>0</v>
      </c>
      <c r="K32" s="144">
        <f>COUNTA(K29:K31)</f>
        <v>0</v>
      </c>
      <c r="L32" s="145"/>
      <c r="M32" s="145"/>
      <c r="N32" s="144">
        <f>COUNTA(N29:N31)</f>
        <v>0</v>
      </c>
      <c r="O32" s="144">
        <f>COUNTA(O29:O31)</f>
        <v>0</v>
      </c>
      <c r="P32" s="144">
        <f>COUNTA(P29:P31)</f>
        <v>0</v>
      </c>
      <c r="Q32" s="144">
        <f>COUNTA(Q29:Q31)</f>
        <v>0</v>
      </c>
      <c r="R32" s="144">
        <f>COUNTA(R29:R31)</f>
        <v>0</v>
      </c>
      <c r="S32" s="146"/>
      <c r="T32" s="146"/>
      <c r="U32" s="144">
        <f>COUNTA(U29:U31)</f>
        <v>0</v>
      </c>
      <c r="V32" s="144">
        <f>COUNTA(V29:V31)</f>
        <v>0</v>
      </c>
      <c r="W32" s="144">
        <f>COUNTA(W29:W31)</f>
        <v>0</v>
      </c>
      <c r="X32" s="144">
        <f>COUNTA(X29:X31)</f>
        <v>0</v>
      </c>
      <c r="Y32" s="144">
        <f>COUNTA(Y29:Y31)</f>
        <v>0</v>
      </c>
      <c r="Z32" s="146"/>
      <c r="AA32" s="146"/>
      <c r="AB32" s="144">
        <f>COUNTA(AB29:AB31)</f>
        <v>0</v>
      </c>
      <c r="AC32" s="144">
        <f>COUNTA(AC29:AC31)</f>
        <v>0</v>
      </c>
      <c r="AD32" s="144">
        <f>COUNTA(AD29:AD31)</f>
        <v>0</v>
      </c>
      <c r="AE32" s="144">
        <f>COUNTA(AE29:AE31)</f>
        <v>0</v>
      </c>
      <c r="AF32" s="144">
        <f>COUNTA(AF29:AF31)</f>
        <v>0</v>
      </c>
      <c r="AG32" s="146"/>
      <c r="AH32" s="147"/>
    </row>
    <row r="33" spans="4:34" ht="24" customHeight="1">
      <c r="D33" s="86" t="s">
        <v>176</v>
      </c>
      <c r="E33" s="86">
        <f t="shared" ref="E33:E38" si="0">SUM(L33,S33,Z33,AG33,AN33)</f>
        <v>15</v>
      </c>
      <c r="F33" s="86" t="s">
        <v>23</v>
      </c>
      <c r="G33" s="148">
        <f>COUNTIF(G8:G31,"TP")</f>
        <v>1</v>
      </c>
      <c r="H33" s="148">
        <f>COUNTIF(H8:H31,"TP")</f>
        <v>1</v>
      </c>
      <c r="I33" s="148">
        <f>COUNTIF(I8:I31,"TP")</f>
        <v>1</v>
      </c>
      <c r="J33" s="148">
        <f>COUNTIF(J8:J31,"TP")</f>
        <v>1</v>
      </c>
      <c r="K33" s="148">
        <f>COUNTIF(K8:K31,"TP")</f>
        <v>1</v>
      </c>
      <c r="L33" s="149">
        <f t="shared" ref="L33:L38" si="1">SUM(G33:K33)</f>
        <v>5</v>
      </c>
      <c r="M33" s="149"/>
      <c r="N33" s="148">
        <f>COUNTIF(N8:N31,"TP")</f>
        <v>0</v>
      </c>
      <c r="O33" s="148">
        <f>COUNTIF(O8:O31,"TP")</f>
        <v>0</v>
      </c>
      <c r="P33" s="148">
        <f>COUNTIF(P8:P31,"TP")</f>
        <v>0</v>
      </c>
      <c r="Q33" s="148">
        <f>COUNTIF(Q8:Q31,"TP")</f>
        <v>0</v>
      </c>
      <c r="R33" s="148">
        <f>COUNTIF(R8:R31,"TP")</f>
        <v>0</v>
      </c>
      <c r="S33" s="150">
        <f t="shared" ref="S33:S38" si="2">SUM(N33:R33)</f>
        <v>0</v>
      </c>
      <c r="T33" s="150"/>
      <c r="U33" s="148">
        <f>COUNTIF(U8:U31,"TP")</f>
        <v>1</v>
      </c>
      <c r="V33" s="148">
        <f>COUNTIF(V8:V31,"TP")</f>
        <v>1</v>
      </c>
      <c r="W33" s="148">
        <f>COUNTIF(W8:W31,"TP")</f>
        <v>1</v>
      </c>
      <c r="X33" s="148">
        <f>COUNTIF(X8:X31,"TP")</f>
        <v>1</v>
      </c>
      <c r="Y33" s="148">
        <f>COUNTIF(Y8:Y31,"TP")</f>
        <v>1</v>
      </c>
      <c r="Z33" s="150">
        <f t="shared" ref="Z33:Z38" si="3">SUM(U33:Y33)</f>
        <v>5</v>
      </c>
      <c r="AA33" s="150"/>
      <c r="AB33" s="148">
        <f>COUNTIF(AB8:AB31,"TP")</f>
        <v>1</v>
      </c>
      <c r="AC33" s="148">
        <f>COUNTIF(AC8:AC31,"TP")</f>
        <v>1</v>
      </c>
      <c r="AD33" s="148">
        <f>COUNTIF(AD8:AD31,"TP")</f>
        <v>1</v>
      </c>
      <c r="AE33" s="148">
        <f>COUNTIF(AE8:AE31,"TP")</f>
        <v>1</v>
      </c>
      <c r="AF33" s="148">
        <f>COUNTIF(AF8:AF31,"TP")</f>
        <v>1</v>
      </c>
      <c r="AG33" s="150">
        <f t="shared" ref="AG33:AG38" si="4">SUM(AB33:AF33)</f>
        <v>5</v>
      </c>
      <c r="AH33" s="151"/>
    </row>
    <row r="34" spans="4:34" ht="24" customHeight="1">
      <c r="D34" s="152" t="s">
        <v>176</v>
      </c>
      <c r="E34" s="152">
        <f t="shared" si="0"/>
        <v>2</v>
      </c>
      <c r="F34" s="152" t="s">
        <v>24</v>
      </c>
      <c r="G34" s="148">
        <f>COUNTIF(G8:G31,"CSE") + COUNTIF(G8:G31,"RPX")</f>
        <v>0</v>
      </c>
      <c r="H34" s="148">
        <f>COUNTIF(H8:H31,"CSE") + COUNTIF(H8:H31,"RPX")</f>
        <v>0</v>
      </c>
      <c r="I34" s="148">
        <f>COUNTIF(I8:I31,"CSE") + COUNTIF(I8:I31,"RPX")</f>
        <v>0</v>
      </c>
      <c r="J34" s="148">
        <f>COUNTIF(J8:J31,"CSE") + COUNTIF(J8:J31,"RPX")</f>
        <v>0</v>
      </c>
      <c r="K34" s="148">
        <f>COUNTIF(K8:K31,"CSE") + COUNTIF(K8:K31,"RPX")</f>
        <v>0</v>
      </c>
      <c r="L34" s="149">
        <f t="shared" si="1"/>
        <v>0</v>
      </c>
      <c r="M34" s="149"/>
      <c r="N34" s="148">
        <f>COUNTIF(N8:N31,"CSE") + COUNTIF(N8:N31,"RPX")</f>
        <v>0</v>
      </c>
      <c r="O34" s="148">
        <f>COUNTIF(O8:O31,"CSE") + COUNTIF(O8:O31,"RPX")</f>
        <v>0</v>
      </c>
      <c r="P34" s="148">
        <f>COUNTIF(P8:P31,"CSE") + COUNTIF(P8:P31,"RPX")</f>
        <v>0</v>
      </c>
      <c r="Q34" s="148">
        <f>COUNTIF(Q8:Q31,"CSE") + COUNTIF(Q8:Q31,"RPX")</f>
        <v>1</v>
      </c>
      <c r="R34" s="148">
        <f>COUNTIF(R8:R31,"CSE") + COUNTIF(R8:R31,"RPX")</f>
        <v>1</v>
      </c>
      <c r="S34" s="150">
        <f t="shared" si="2"/>
        <v>2</v>
      </c>
      <c r="T34" s="150"/>
      <c r="U34" s="148">
        <f>COUNTIF(U9:U31,"CSE") + COUNTIF(U9:U31,"RPX")</f>
        <v>0</v>
      </c>
      <c r="V34" s="148">
        <f>COUNTIF(V9:V31,"CSE") + COUNTIF(V9:V31,"RPX")</f>
        <v>0</v>
      </c>
      <c r="W34" s="148">
        <f>COUNTIF(W9:W31,"CSE") + COUNTIF(W9:W31,"RPX")</f>
        <v>0</v>
      </c>
      <c r="X34" s="148">
        <f>COUNTIF(X9:X31,"CSE") + COUNTIF(X9:X31,"RPX")</f>
        <v>0</v>
      </c>
      <c r="Y34" s="148">
        <f>COUNTIF(Y9:Y31,"CSE") + COUNTIF(Y9:Y31,"RPX")</f>
        <v>0</v>
      </c>
      <c r="Z34" s="150">
        <f t="shared" si="3"/>
        <v>0</v>
      </c>
      <c r="AA34" s="150"/>
      <c r="AB34" s="148">
        <f>COUNTIF(AB8:AB31,"CSE") + COUNTIF(AB8:AB31,"RPX")</f>
        <v>0</v>
      </c>
      <c r="AC34" s="148">
        <f>COUNTIF(AC8:AC31,"CSE") + COUNTIF(AC8:AC31,"RPX")</f>
        <v>0</v>
      </c>
      <c r="AD34" s="148">
        <f>COUNTIF(AD8:AD31,"CSE") + COUNTIF(AD8:AD31,"RPX")</f>
        <v>0</v>
      </c>
      <c r="AE34" s="148">
        <f>COUNTIF(AE8:AE31,"CSE") + COUNTIF(AE8:AE31,"RPX")</f>
        <v>0</v>
      </c>
      <c r="AF34" s="148">
        <f>COUNTIF(AF8:AF31,"CSE") + COUNTIF(AF8:AF31,"RPX")</f>
        <v>0</v>
      </c>
      <c r="AG34" s="150">
        <f t="shared" si="4"/>
        <v>0</v>
      </c>
      <c r="AH34" s="151"/>
    </row>
    <row r="35" spans="4:34" ht="24" customHeight="1">
      <c r="D35" s="153" t="s">
        <v>176</v>
      </c>
      <c r="E35" s="153">
        <f t="shared" si="0"/>
        <v>26</v>
      </c>
      <c r="F35" s="153" t="s">
        <v>25</v>
      </c>
      <c r="G35" s="148">
        <f>COUNTIF(G8:G31,"CA/RC")</f>
        <v>0</v>
      </c>
      <c r="H35" s="148">
        <f>COUNTIF(H8:H31,"CA/RC")</f>
        <v>0</v>
      </c>
      <c r="I35" s="148">
        <f>COUNTIF(I8:I31,"CA/RC")</f>
        <v>0</v>
      </c>
      <c r="J35" s="148">
        <f>COUNTIF(J8:J31,"CA/RC")</f>
        <v>0</v>
      </c>
      <c r="K35" s="148">
        <f>COUNTIF(K8:K31,"CA/RC")</f>
        <v>1</v>
      </c>
      <c r="L35" s="149">
        <f t="shared" si="1"/>
        <v>1</v>
      </c>
      <c r="M35" s="149"/>
      <c r="N35" s="148">
        <f>COUNTIF(N8:N31,"CA/RC")</f>
        <v>2</v>
      </c>
      <c r="O35" s="148">
        <f>COUNTIF(O8:O31,"CA/RC")</f>
        <v>2</v>
      </c>
      <c r="P35" s="148">
        <f>COUNTIF(P8:P31,"CA/RC")</f>
        <v>2</v>
      </c>
      <c r="Q35" s="148">
        <f>COUNTIF(Q8:Q31,"CA/RC")</f>
        <v>2</v>
      </c>
      <c r="R35" s="148">
        <f>COUNTIF(R8:R31,"CA/RC")</f>
        <v>2</v>
      </c>
      <c r="S35" s="150">
        <f t="shared" si="2"/>
        <v>10</v>
      </c>
      <c r="T35" s="150"/>
      <c r="U35" s="148">
        <f>COUNTIF(U8:U31,"CA/RC")</f>
        <v>2</v>
      </c>
      <c r="V35" s="148">
        <f>COUNTIF(V8:V31,"CA/RC")</f>
        <v>2</v>
      </c>
      <c r="W35" s="148">
        <f>COUNTIF(W8:W31,"CA/RC")</f>
        <v>2</v>
      </c>
      <c r="X35" s="148">
        <f>COUNTIF(X8:X31,"CA/RC")</f>
        <v>2</v>
      </c>
      <c r="Y35" s="148">
        <f>COUNTIF(Y8:Y31,"CA/RC")</f>
        <v>2</v>
      </c>
      <c r="Z35" s="150">
        <f t="shared" si="3"/>
        <v>10</v>
      </c>
      <c r="AA35" s="150"/>
      <c r="AB35" s="148">
        <f>COUNTIF(AB8:AB31,"CA/RC")</f>
        <v>1</v>
      </c>
      <c r="AC35" s="148">
        <f>COUNTIF(AC8:AC31,"CA/RC")</f>
        <v>1</v>
      </c>
      <c r="AD35" s="148">
        <f>COUNTIF(AD8:AD31,"CA/RC")</f>
        <v>1</v>
      </c>
      <c r="AE35" s="148">
        <f>COUNTIF(AE8:AE31,"CA/RC")</f>
        <v>1</v>
      </c>
      <c r="AF35" s="148">
        <f>COUNTIF(AF8:AF31,"CA/RC")</f>
        <v>1</v>
      </c>
      <c r="AG35" s="150">
        <f t="shared" si="4"/>
        <v>5</v>
      </c>
      <c r="AH35" s="151"/>
    </row>
    <row r="36" spans="4:34" ht="24" customHeight="1">
      <c r="D36" s="154" t="s">
        <v>176</v>
      </c>
      <c r="E36" s="154">
        <f t="shared" si="0"/>
        <v>0</v>
      </c>
      <c r="F36" s="154" t="s">
        <v>26</v>
      </c>
      <c r="G36" s="148">
        <f>COUNTIF(G8:G31,"ATM/ATA")</f>
        <v>0</v>
      </c>
      <c r="H36" s="148">
        <f>COUNTIF(H8:H31,"ATM/ATA")</f>
        <v>0</v>
      </c>
      <c r="I36" s="148">
        <f>COUNTIF(I8:I31,"ATM/ATA")</f>
        <v>0</v>
      </c>
      <c r="J36" s="148">
        <f>COUNTIF(J8:J31,"ATM/ATA")</f>
        <v>0</v>
      </c>
      <c r="K36" s="148">
        <f>COUNTIF(K8:K31,"ATM/ATA")</f>
        <v>0</v>
      </c>
      <c r="L36" s="149">
        <f t="shared" si="1"/>
        <v>0</v>
      </c>
      <c r="M36" s="149"/>
      <c r="N36" s="148">
        <f>COUNTIF(N8:N31,"ATM/ATA")</f>
        <v>0</v>
      </c>
      <c r="O36" s="148">
        <f>COUNTIF(O8:O31,"ATM/ATA")</f>
        <v>0</v>
      </c>
      <c r="P36" s="148">
        <f>COUNTIF(P8:P31,"ATM/ATA")</f>
        <v>0</v>
      </c>
      <c r="Q36" s="148">
        <f>COUNTIF(Q8:Q31,"ATM/ATA")</f>
        <v>0</v>
      </c>
      <c r="R36" s="148">
        <f>COUNTIF(R8:R31,"ATM/ATA")</f>
        <v>0</v>
      </c>
      <c r="S36" s="150">
        <f t="shared" si="2"/>
        <v>0</v>
      </c>
      <c r="T36" s="150"/>
      <c r="U36" s="148">
        <f>COUNTIF(U8:U31,"ATM/ATA")</f>
        <v>0</v>
      </c>
      <c r="V36" s="148">
        <f>COUNTIF(V8:V31,"ATM/ATA")</f>
        <v>0</v>
      </c>
      <c r="W36" s="148">
        <f>COUNTIF(W8:W31,"ATM/ATA")</f>
        <v>0</v>
      </c>
      <c r="X36" s="148">
        <f>COUNTIF(X8:X31,"ATM/ATA")</f>
        <v>0</v>
      </c>
      <c r="Y36" s="148">
        <f>COUNTIF(Y8:Y31,"ATM/ATA")</f>
        <v>0</v>
      </c>
      <c r="Z36" s="150">
        <f t="shared" si="3"/>
        <v>0</v>
      </c>
      <c r="AA36" s="150"/>
      <c r="AB36" s="148">
        <f>COUNTIF(AB8:AB31,"ATM/ATA")</f>
        <v>0</v>
      </c>
      <c r="AC36" s="148">
        <f>COUNTIF(AC8:AC31,"ATM/ATA")</f>
        <v>0</v>
      </c>
      <c r="AD36" s="148">
        <f>COUNTIF(AD8:AD31,"ATM/ATA")</f>
        <v>0</v>
      </c>
      <c r="AE36" s="148">
        <f>COUNTIF(AE8:AE31,"ATM/ATA")</f>
        <v>0</v>
      </c>
      <c r="AF36" s="148">
        <f>COUNTIF(AF8:AF31,"ATM/ATA")</f>
        <v>0</v>
      </c>
      <c r="AG36" s="150">
        <f t="shared" si="4"/>
        <v>0</v>
      </c>
      <c r="AH36" s="151"/>
    </row>
    <row r="37" spans="4:34" ht="24" customHeight="1">
      <c r="D37" s="122" t="s">
        <v>176</v>
      </c>
      <c r="E37" s="122">
        <f t="shared" si="0"/>
        <v>0</v>
      </c>
      <c r="F37" s="122" t="s">
        <v>27</v>
      </c>
      <c r="G37" s="148">
        <f>COUNTIF(G8:G31,"ASA")</f>
        <v>0</v>
      </c>
      <c r="H37" s="148">
        <f>COUNTIF(H8:H31,"ASA")</f>
        <v>0</v>
      </c>
      <c r="I37" s="148">
        <f>COUNTIF(I8:I31,"ASA")</f>
        <v>0</v>
      </c>
      <c r="J37" s="148">
        <f>COUNTIF(J8:J31,"ASA")</f>
        <v>0</v>
      </c>
      <c r="K37" s="148">
        <f>COUNTIF(K8:K31,"ASA")</f>
        <v>0</v>
      </c>
      <c r="L37" s="149">
        <f t="shared" si="1"/>
        <v>0</v>
      </c>
      <c r="M37" s="149"/>
      <c r="N37" s="148">
        <f>COUNTIF(N8:N31,"ASA")</f>
        <v>0</v>
      </c>
      <c r="O37" s="148">
        <f>COUNTIF(O8:O31,"ASA")</f>
        <v>0</v>
      </c>
      <c r="P37" s="148">
        <f>COUNTIF(P8:P31,"ASA")</f>
        <v>0</v>
      </c>
      <c r="Q37" s="148">
        <f>COUNTIF(Q8:Q31,"ASA")</f>
        <v>0</v>
      </c>
      <c r="R37" s="148">
        <f>COUNTIF(R8:R31,"ASA")</f>
        <v>0</v>
      </c>
      <c r="S37" s="150">
        <f t="shared" si="2"/>
        <v>0</v>
      </c>
      <c r="T37" s="150"/>
      <c r="U37" s="148">
        <f>COUNTIF(U8:U31,"ASA")</f>
        <v>0</v>
      </c>
      <c r="V37" s="148">
        <f>COUNTIF(V8:V31,"ASA")</f>
        <v>0</v>
      </c>
      <c r="W37" s="148">
        <f>COUNTIF(W8:W31,"ASA")</f>
        <v>0</v>
      </c>
      <c r="X37" s="148">
        <f>COUNTIF(X8:X31,"ASA")</f>
        <v>0</v>
      </c>
      <c r="Y37" s="148">
        <f>COUNTIF(Y8:Y31,"ASA")</f>
        <v>0</v>
      </c>
      <c r="Z37" s="150">
        <f t="shared" si="3"/>
        <v>0</v>
      </c>
      <c r="AA37" s="150"/>
      <c r="AB37" s="148">
        <f>COUNTIF(AB8:AB31,"ASA")</f>
        <v>0</v>
      </c>
      <c r="AC37" s="148">
        <f>COUNTIF(AC8:AC31,"ASA")</f>
        <v>0</v>
      </c>
      <c r="AD37" s="148">
        <f>COUNTIF(AD8:AD31,"ASA")</f>
        <v>0</v>
      </c>
      <c r="AE37" s="148">
        <f>COUNTIF(AE8:AE31,"ASA")</f>
        <v>0</v>
      </c>
      <c r="AF37" s="148">
        <f>COUNTIF(AF8:AF31,"ASA")</f>
        <v>0</v>
      </c>
      <c r="AG37" s="150">
        <f t="shared" si="4"/>
        <v>0</v>
      </c>
      <c r="AH37" s="151"/>
    </row>
    <row r="38" spans="4:34" ht="24" customHeight="1">
      <c r="D38" s="155" t="s">
        <v>176</v>
      </c>
      <c r="E38" s="155">
        <f t="shared" si="0"/>
        <v>0</v>
      </c>
      <c r="F38" s="155" t="s">
        <v>28</v>
      </c>
      <c r="G38" s="148">
        <f>COUNTIF(G8:G31,"FORM")</f>
        <v>0</v>
      </c>
      <c r="H38" s="148">
        <f>COUNTIF(H8:H31,"FORM")</f>
        <v>0</v>
      </c>
      <c r="I38" s="148">
        <f>COUNTIF(I8:I31,"FORM")</f>
        <v>0</v>
      </c>
      <c r="J38" s="148">
        <f>COUNTIF(J8:J31,"FORM")</f>
        <v>0</v>
      </c>
      <c r="K38" s="148">
        <f>COUNTIF(K8:K31,"FORM")</f>
        <v>0</v>
      </c>
      <c r="L38" s="149">
        <f t="shared" si="1"/>
        <v>0</v>
      </c>
      <c r="M38" s="149"/>
      <c r="N38" s="148">
        <f>COUNTIF(N8:N31,"FORM")</f>
        <v>0</v>
      </c>
      <c r="O38" s="148">
        <f>COUNTIF(O8:O31,"FORM")</f>
        <v>0</v>
      </c>
      <c r="P38" s="148">
        <f>COUNTIF(P8:P31,"FORM")</f>
        <v>0</v>
      </c>
      <c r="Q38" s="148">
        <f>COUNTIF(Q8:Q31,"FORM")</f>
        <v>0</v>
      </c>
      <c r="R38" s="148">
        <f>COUNTIF(R8:R31,"FORM")</f>
        <v>0</v>
      </c>
      <c r="S38" s="150">
        <f t="shared" si="2"/>
        <v>0</v>
      </c>
      <c r="T38" s="150"/>
      <c r="U38" s="148">
        <f>COUNTIF(U8:U31,"FORM")</f>
        <v>0</v>
      </c>
      <c r="V38" s="148">
        <f>COUNTIF(V8:V31,"FORM")</f>
        <v>0</v>
      </c>
      <c r="W38" s="148">
        <f>COUNTIF(W8:W31,"FORM")</f>
        <v>0</v>
      </c>
      <c r="X38" s="148">
        <f>COUNTIF(X8:X31,"FORM")</f>
        <v>0</v>
      </c>
      <c r="Y38" s="148">
        <f>COUNTIF(Y8:Y31,"FORM")</f>
        <v>0</v>
      </c>
      <c r="Z38" s="150">
        <f t="shared" si="3"/>
        <v>0</v>
      </c>
      <c r="AA38" s="150"/>
      <c r="AB38" s="148">
        <f>COUNTIF(AB8:AB31,"FORM")</f>
        <v>0</v>
      </c>
      <c r="AC38" s="148">
        <f>COUNTIF(AC8:AC31,"FORM")</f>
        <v>0</v>
      </c>
      <c r="AD38" s="148">
        <f>COUNTIF(AD8:AD31,"FORM")</f>
        <v>0</v>
      </c>
      <c r="AE38" s="148">
        <f>COUNTIF(AE8:AE31,"FORM")</f>
        <v>0</v>
      </c>
      <c r="AF38" s="148">
        <f>COUNTIF(AF8:AF31,"FORM")</f>
        <v>0</v>
      </c>
      <c r="AG38" s="150">
        <f t="shared" si="4"/>
        <v>0</v>
      </c>
      <c r="AH38" s="151"/>
    </row>
    <row r="39" spans="4:34" ht="24" customHeight="1">
      <c r="D39" s="156" t="s">
        <v>177</v>
      </c>
      <c r="E39" s="156">
        <f>AVERAGE(G39:AM39)</f>
        <v>2.15</v>
      </c>
      <c r="F39" s="215" t="s">
        <v>178</v>
      </c>
      <c r="G39" s="158">
        <f>SUM(G33:G38)</f>
        <v>1</v>
      </c>
      <c r="H39" s="158">
        <f>SUM(H33:H38)</f>
        <v>1</v>
      </c>
      <c r="I39" s="158">
        <f>SUM(I33:I38)</f>
        <v>1</v>
      </c>
      <c r="J39" s="158">
        <f>SUM(J33:J38)</f>
        <v>1</v>
      </c>
      <c r="K39" s="158">
        <f>SUM(K33:K38)</f>
        <v>2</v>
      </c>
      <c r="L39" s="158"/>
      <c r="M39" s="158"/>
      <c r="N39" s="158">
        <f>SUM(N33:N38)</f>
        <v>2</v>
      </c>
      <c r="O39" s="158">
        <f>SUM(O33:O38)</f>
        <v>2</v>
      </c>
      <c r="P39" s="158">
        <f>SUM(P33:P38)</f>
        <v>2</v>
      </c>
      <c r="Q39" s="158">
        <f>SUM(Q33:Q38)</f>
        <v>3</v>
      </c>
      <c r="R39" s="158">
        <f>SUM(R33:R38)</f>
        <v>3</v>
      </c>
      <c r="S39" s="158"/>
      <c r="T39" s="158"/>
      <c r="U39" s="158">
        <f>SUM(U33:U38)</f>
        <v>3</v>
      </c>
      <c r="V39" s="158">
        <f>SUM(V33:V38)</f>
        <v>3</v>
      </c>
      <c r="W39" s="158">
        <f>SUM(W33:W38)</f>
        <v>3</v>
      </c>
      <c r="X39" s="158">
        <f>SUM(X33:X38)</f>
        <v>3</v>
      </c>
      <c r="Y39" s="158">
        <f>SUM(Y33:Y38)</f>
        <v>3</v>
      </c>
      <c r="Z39" s="158"/>
      <c r="AA39" s="158"/>
      <c r="AB39" s="158">
        <f>SUM(AB33:AB38)</f>
        <v>2</v>
      </c>
      <c r="AC39" s="158">
        <f>SUM(AC33:AC38)</f>
        <v>2</v>
      </c>
      <c r="AD39" s="158">
        <f>SUM(AD33:AD38)</f>
        <v>2</v>
      </c>
      <c r="AE39" s="158">
        <f>SUM(AE33:AE38)</f>
        <v>2</v>
      </c>
      <c r="AF39" s="158">
        <f>SUM(AF33:AF38)</f>
        <v>2</v>
      </c>
      <c r="AG39" s="158"/>
      <c r="AH39" s="159"/>
    </row>
    <row r="40" spans="4:34" ht="24" customHeight="1">
      <c r="D40" s="156" t="s">
        <v>177</v>
      </c>
      <c r="E40" s="156">
        <f>AVERAGE(G40:AM40)</f>
        <v>17.850000000000001</v>
      </c>
      <c r="F40" s="215" t="s">
        <v>179</v>
      </c>
      <c r="G40" s="158">
        <f>(20+G32)-G39</f>
        <v>19</v>
      </c>
      <c r="H40" s="158">
        <f>(20+H32)-H39</f>
        <v>19</v>
      </c>
      <c r="I40" s="158">
        <f>(20+I32)-I39</f>
        <v>19</v>
      </c>
      <c r="J40" s="158">
        <f>(20+J32)-J39</f>
        <v>19</v>
      </c>
      <c r="K40" s="158">
        <f>(20+K32)-K39</f>
        <v>18</v>
      </c>
      <c r="L40" s="158"/>
      <c r="M40" s="158"/>
      <c r="N40" s="158">
        <f>(20+N32)-N39</f>
        <v>18</v>
      </c>
      <c r="O40" s="158">
        <f>(20+O32)-O39</f>
        <v>18</v>
      </c>
      <c r="P40" s="158">
        <f>(20+P32)-P39</f>
        <v>18</v>
      </c>
      <c r="Q40" s="158">
        <f>(20+Q32)-Q39</f>
        <v>17</v>
      </c>
      <c r="R40" s="158">
        <f>(20+R32)-R39</f>
        <v>17</v>
      </c>
      <c r="S40" s="158"/>
      <c r="T40" s="158"/>
      <c r="U40" s="158">
        <f>(20+U32)-U39</f>
        <v>17</v>
      </c>
      <c r="V40" s="158">
        <f>(20+V32)-V39</f>
        <v>17</v>
      </c>
      <c r="W40" s="158">
        <f>(20+W32)-W39</f>
        <v>17</v>
      </c>
      <c r="X40" s="158">
        <f>(20+X32)-X39</f>
        <v>17</v>
      </c>
      <c r="Y40" s="158">
        <f>(20+Y32)-Y39</f>
        <v>17</v>
      </c>
      <c r="Z40" s="158"/>
      <c r="AA40" s="158"/>
      <c r="AB40" s="158">
        <f>(20+AB32)-AB39</f>
        <v>18</v>
      </c>
      <c r="AC40" s="158">
        <f>(20+AC32)-AC39</f>
        <v>18</v>
      </c>
      <c r="AD40" s="158">
        <f>(20+AD32)-AD39</f>
        <v>18</v>
      </c>
      <c r="AE40" s="158">
        <f>(20+AE32)-AE39</f>
        <v>18</v>
      </c>
      <c r="AF40" s="158">
        <f>(20+AF32)-AF39</f>
        <v>18</v>
      </c>
      <c r="AG40" s="158"/>
      <c r="AH40" s="159"/>
    </row>
    <row r="41" spans="4:34" ht="24" customHeight="1">
      <c r="D41" s="156" t="s">
        <v>177</v>
      </c>
      <c r="E41" s="156">
        <f>AVERAGE(G41:AM41)</f>
        <v>16</v>
      </c>
      <c r="F41" s="216" t="s">
        <v>180</v>
      </c>
      <c r="G41" s="161">
        <v>16</v>
      </c>
      <c r="H41" s="161">
        <v>16</v>
      </c>
      <c r="I41" s="161">
        <v>16</v>
      </c>
      <c r="J41" s="161">
        <v>16</v>
      </c>
      <c r="K41" s="161">
        <v>16</v>
      </c>
      <c r="L41" s="161"/>
      <c r="M41" s="161"/>
      <c r="N41" s="161">
        <v>16</v>
      </c>
      <c r="O41" s="161">
        <v>16</v>
      </c>
      <c r="P41" s="161">
        <v>16</v>
      </c>
      <c r="Q41" s="161">
        <v>16</v>
      </c>
      <c r="R41" s="161">
        <v>16</v>
      </c>
      <c r="S41" s="162"/>
      <c r="T41" s="162"/>
      <c r="U41" s="161">
        <v>16</v>
      </c>
      <c r="V41" s="161">
        <v>16</v>
      </c>
      <c r="W41" s="161">
        <v>16</v>
      </c>
      <c r="X41" s="161">
        <v>16</v>
      </c>
      <c r="Y41" s="161">
        <v>16</v>
      </c>
      <c r="Z41" s="162"/>
      <c r="AA41" s="162"/>
      <c r="AB41" s="161">
        <v>16</v>
      </c>
      <c r="AC41" s="161">
        <v>16</v>
      </c>
      <c r="AD41" s="161">
        <v>16</v>
      </c>
      <c r="AE41" s="161">
        <v>16</v>
      </c>
      <c r="AF41" s="161">
        <v>16</v>
      </c>
      <c r="AG41" s="162"/>
      <c r="AH41" s="163"/>
    </row>
    <row r="42" spans="4:34" ht="24" customHeight="1">
      <c r="D42" s="156" t="s">
        <v>177</v>
      </c>
      <c r="E42" s="156">
        <f>AVERAGE(G42:AM42)</f>
        <v>1.85</v>
      </c>
      <c r="F42" s="217" t="s">
        <v>181</v>
      </c>
      <c r="G42" s="166">
        <f>G40-G41</f>
        <v>3</v>
      </c>
      <c r="H42" s="166">
        <f>H40-H41</f>
        <v>3</v>
      </c>
      <c r="I42" s="166">
        <f>I40-I41</f>
        <v>3</v>
      </c>
      <c r="J42" s="166">
        <f>J40-J41</f>
        <v>3</v>
      </c>
      <c r="K42" s="166">
        <f>K40-K41</f>
        <v>2</v>
      </c>
      <c r="L42" s="166"/>
      <c r="M42" s="166"/>
      <c r="N42" s="166">
        <f>N40-N41</f>
        <v>2</v>
      </c>
      <c r="O42" s="166">
        <f>O40-O41</f>
        <v>2</v>
      </c>
      <c r="P42" s="166">
        <f>P40-P41</f>
        <v>2</v>
      </c>
      <c r="Q42" s="166">
        <f>Q40-Q41</f>
        <v>1</v>
      </c>
      <c r="R42" s="166">
        <f>R40-R41</f>
        <v>1</v>
      </c>
      <c r="S42" s="166"/>
      <c r="T42" s="166"/>
      <c r="U42" s="166">
        <f>U40-U41</f>
        <v>1</v>
      </c>
      <c r="V42" s="166">
        <f>V40-V41</f>
        <v>1</v>
      </c>
      <c r="W42" s="166">
        <f>W40-W41</f>
        <v>1</v>
      </c>
      <c r="X42" s="166">
        <f>X40-X41</f>
        <v>1</v>
      </c>
      <c r="Y42" s="166">
        <f>Y40-Y41</f>
        <v>1</v>
      </c>
      <c r="Z42" s="166"/>
      <c r="AA42" s="166"/>
      <c r="AB42" s="166">
        <f>AB40-AB41</f>
        <v>2</v>
      </c>
      <c r="AC42" s="166">
        <f>AC40-AC41</f>
        <v>2</v>
      </c>
      <c r="AD42" s="166">
        <f>AD40-AD41</f>
        <v>2</v>
      </c>
      <c r="AE42" s="166">
        <f>AE40-AE41</f>
        <v>2</v>
      </c>
      <c r="AF42" s="166">
        <f>AF40-AF41</f>
        <v>2</v>
      </c>
      <c r="AG42" s="166"/>
      <c r="AH42" s="167"/>
    </row>
    <row r="43" spans="4:34" ht="18.75" customHeight="1">
      <c r="F43" s="13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4:34" ht="18.75" customHeight="1">
      <c r="F44" s="13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4:34" ht="18.75" customHeight="1">
      <c r="F45" s="13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4:34" ht="18.75" customHeight="1">
      <c r="F46" s="13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4:34" ht="18.75" customHeight="1">
      <c r="F47" s="13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4:34" ht="18.75" customHeight="1">
      <c r="F48" s="13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6:34" ht="18.75" customHeight="1">
      <c r="F49" s="13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  <row r="50" spans="6:34" ht="18.75" customHeight="1">
      <c r="F50" s="13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</row>
    <row r="51" spans="6:34" ht="18.75" customHeight="1">
      <c r="F51" s="13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</row>
    <row r="52" spans="6:34" ht="18.75" customHeight="1">
      <c r="F52" s="13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</row>
    <row r="53" spans="6:34" ht="18.75" customHeight="1">
      <c r="F53" s="13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</row>
    <row r="54" spans="6:34" ht="18.75" customHeight="1">
      <c r="F54" s="13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</row>
    <row r="55" spans="6:34" ht="18.75" customHeight="1">
      <c r="F55" s="13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</row>
    <row r="56" spans="6:34" ht="18.75" customHeight="1">
      <c r="F56" s="13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</row>
    <row r="57" spans="6:34" ht="18.75" customHeight="1">
      <c r="F57" s="13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</row>
    <row r="58" spans="6:34" ht="18.75" customHeight="1">
      <c r="F58" s="13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</row>
    <row r="59" spans="6:34" ht="18.75" customHeight="1">
      <c r="F59" s="13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</row>
    <row r="60" spans="6:34" ht="18.75" customHeight="1">
      <c r="F60" s="13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</row>
    <row r="61" spans="6:34" ht="18.75" customHeight="1">
      <c r="F61" s="13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</row>
    <row r="62" spans="6:34" ht="18.75" customHeight="1">
      <c r="F62" s="13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</row>
    <row r="63" spans="6:34" ht="18.75" customHeight="1">
      <c r="F63" s="13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</row>
    <row r="64" spans="6:34" ht="18.75" customHeight="1">
      <c r="F64" s="13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</row>
    <row r="65" spans="6:34" ht="18.75" customHeight="1">
      <c r="F65" s="13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</row>
    <row r="66" spans="6:34" ht="18.75" customHeight="1">
      <c r="F66" s="13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</row>
    <row r="67" spans="6:34" ht="18.75" customHeight="1">
      <c r="F67" s="13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</row>
    <row r="68" spans="6:34" ht="18.75" customHeight="1">
      <c r="F68" s="13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</row>
    <row r="69" spans="6:34" ht="18.75" customHeight="1">
      <c r="F69" s="13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</row>
    <row r="70" spans="6:34" ht="18.75" customHeight="1">
      <c r="F70" s="13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</row>
    <row r="71" spans="6:34" ht="18.75" customHeight="1">
      <c r="F71" s="13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</row>
    <row r="72" spans="6:34" ht="18.75" customHeight="1">
      <c r="F72" s="13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</row>
    <row r="73" spans="6:34" ht="18.75" customHeight="1">
      <c r="F73" s="13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</row>
    <row r="74" spans="6:34" ht="18.75" customHeight="1">
      <c r="F74" s="13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</row>
    <row r="75" spans="6:34" ht="18.75" customHeight="1">
      <c r="F75" s="13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</row>
    <row r="76" spans="6:34" ht="18.75" customHeight="1">
      <c r="F76" s="13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</row>
    <row r="77" spans="6:34" ht="18.75" customHeight="1">
      <c r="F77" s="13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</row>
    <row r="78" spans="6:34" ht="18.75" customHeight="1">
      <c r="F78" s="13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</row>
    <row r="79" spans="6:34" ht="18.75" customHeight="1">
      <c r="F79" s="13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</row>
    <row r="80" spans="6:34" ht="18.75" customHeight="1">
      <c r="F80" s="13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</row>
    <row r="81" spans="6:34" ht="18.75" customHeight="1">
      <c r="F81" s="13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</row>
    <row r="82" spans="6:34" ht="18.75" customHeight="1">
      <c r="F82" s="13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</row>
    <row r="83" spans="6:34" ht="18.75" customHeight="1">
      <c r="F83" s="13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</row>
    <row r="84" spans="6:34" ht="18.75" customHeight="1">
      <c r="F84" s="13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</row>
    <row r="85" spans="6:34" ht="18.75" customHeight="1">
      <c r="F85" s="13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</row>
    <row r="86" spans="6:34" ht="18.75" customHeight="1">
      <c r="F86" s="13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</row>
    <row r="87" spans="6:34" ht="18.75" customHeight="1">
      <c r="F87" s="13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</row>
    <row r="88" spans="6:34" ht="18.75" customHeight="1">
      <c r="F88" s="13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</row>
    <row r="89" spans="6:34" ht="18.75" customHeight="1">
      <c r="F89" s="13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</row>
    <row r="90" spans="6:34" ht="18.75" customHeight="1">
      <c r="F90" s="13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</row>
    <row r="91" spans="6:34" ht="18.75" customHeight="1">
      <c r="F91" s="13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</row>
    <row r="92" spans="6:34" ht="18.75" customHeight="1">
      <c r="F92" s="13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</row>
    <row r="93" spans="6:34" ht="18.75" customHeight="1">
      <c r="F93" s="13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</row>
    <row r="94" spans="6:34" ht="18.75" customHeight="1">
      <c r="F94" s="13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</row>
    <row r="95" spans="6:34" ht="18.75" customHeight="1">
      <c r="F95" s="13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</row>
    <row r="96" spans="6:34" ht="18.75" customHeight="1">
      <c r="F96" s="13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</row>
    <row r="97" spans="6:34" ht="18.75" customHeight="1">
      <c r="F97" s="13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</row>
    <row r="98" spans="6:34" ht="18.75" customHeight="1">
      <c r="F98" s="13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</row>
    <row r="99" spans="6:34" ht="18.75" customHeight="1">
      <c r="F99" s="13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</row>
    <row r="100" spans="6:34" ht="18.75" customHeight="1">
      <c r="F100" s="13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</row>
    <row r="101" spans="6:34" ht="18.75" customHeight="1">
      <c r="F101" s="13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</row>
    <row r="102" spans="6:34" ht="18.75" customHeight="1">
      <c r="F102" s="13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</row>
    <row r="103" spans="6:34" ht="18.75" customHeight="1">
      <c r="F103" s="13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</row>
    <row r="104" spans="6:34" ht="18.75" customHeight="1">
      <c r="F104" s="13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</row>
    <row r="105" spans="6:34" ht="18.75" customHeight="1">
      <c r="F105" s="13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</row>
    <row r="106" spans="6:34" ht="18.75" customHeight="1">
      <c r="F106" s="13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</row>
    <row r="107" spans="6:34" ht="18.75" customHeight="1">
      <c r="F107" s="13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</row>
    <row r="108" spans="6:34" ht="18.75" customHeight="1">
      <c r="F108" s="13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</row>
    <row r="109" spans="6:34" ht="18.75" customHeight="1">
      <c r="F109" s="13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</row>
    <row r="110" spans="6:34" ht="18.75" customHeight="1">
      <c r="F110" s="13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</row>
    <row r="111" spans="6:34" ht="18.75" customHeight="1">
      <c r="F111" s="13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</row>
    <row r="112" spans="6:34" ht="18.75" customHeight="1">
      <c r="F112" s="13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</row>
    <row r="113" spans="6:34" ht="18.75" customHeight="1">
      <c r="F113" s="13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</row>
    <row r="114" spans="6:34" ht="18.75" customHeight="1">
      <c r="F114" s="13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</row>
    <row r="115" spans="6:34" ht="18.75" customHeight="1">
      <c r="F115" s="13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</row>
    <row r="116" spans="6:34" ht="18.75" customHeight="1">
      <c r="F116" s="13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</row>
    <row r="117" spans="6:34" ht="18.75" customHeight="1">
      <c r="F117" s="13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</row>
    <row r="118" spans="6:34" ht="18.75" customHeight="1">
      <c r="F118" s="13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</row>
    <row r="119" spans="6:34" ht="18.75" customHeight="1">
      <c r="F119" s="13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</row>
    <row r="120" spans="6:34" ht="18.75" customHeight="1">
      <c r="F120" s="13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</row>
    <row r="121" spans="6:34" ht="18.75" customHeight="1">
      <c r="F121" s="13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</row>
    <row r="122" spans="6:34" ht="18.75" customHeight="1">
      <c r="F122" s="13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</row>
    <row r="123" spans="6:34" ht="18.75" customHeight="1">
      <c r="F123" s="13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</row>
    <row r="124" spans="6:34" ht="18.75" customHeight="1">
      <c r="F124" s="13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</row>
    <row r="125" spans="6:34" ht="18.75" customHeight="1">
      <c r="F125" s="13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</row>
    <row r="126" spans="6:34" ht="18.75" customHeight="1">
      <c r="F126" s="13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</row>
    <row r="127" spans="6:34" ht="18.75" customHeight="1">
      <c r="F127" s="13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</row>
    <row r="128" spans="6:34" ht="18.75" customHeight="1">
      <c r="F128" s="13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</row>
    <row r="129" spans="6:34" ht="18.75" customHeight="1">
      <c r="F129" s="13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</row>
    <row r="130" spans="6:34" ht="18.75" customHeight="1">
      <c r="F130" s="13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</row>
    <row r="131" spans="6:34" ht="18.75" customHeight="1">
      <c r="F131" s="13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</row>
    <row r="132" spans="6:34" ht="18.75" customHeight="1">
      <c r="F132" s="13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</row>
    <row r="133" spans="6:34" ht="18.75" customHeight="1">
      <c r="F133" s="13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</row>
    <row r="134" spans="6:34" ht="18.75" customHeight="1">
      <c r="F134" s="13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</row>
    <row r="135" spans="6:34" ht="18.75" customHeight="1">
      <c r="F135" s="13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</row>
    <row r="136" spans="6:34" ht="18.75" customHeight="1">
      <c r="F136" s="13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</row>
    <row r="137" spans="6:34" ht="18.75" customHeight="1">
      <c r="F137" s="13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</row>
    <row r="138" spans="6:34" ht="18.75" customHeight="1">
      <c r="F138" s="13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</row>
    <row r="139" spans="6:34" ht="18.75" customHeight="1">
      <c r="F139" s="13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</row>
    <row r="140" spans="6:34" ht="18.75" customHeight="1">
      <c r="F140" s="13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</row>
    <row r="141" spans="6:34" ht="18.75" customHeight="1">
      <c r="F141" s="13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</row>
    <row r="142" spans="6:34" ht="18.75" customHeight="1">
      <c r="F142" s="13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</row>
    <row r="143" spans="6:34" ht="18.75" customHeight="1">
      <c r="F143" s="13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</row>
    <row r="144" spans="6:34" ht="18.75" customHeight="1">
      <c r="F144" s="13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</row>
    <row r="145" spans="6:34" ht="18.75" customHeight="1">
      <c r="F145" s="13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</row>
    <row r="146" spans="6:34" ht="18.75" customHeight="1">
      <c r="F146" s="13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</row>
    <row r="147" spans="6:34" ht="18.75" customHeight="1">
      <c r="F147" s="13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</row>
    <row r="148" spans="6:34" ht="18.75" customHeight="1">
      <c r="F148" s="13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</row>
    <row r="149" spans="6:34" ht="18.75" customHeight="1">
      <c r="F149" s="13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</row>
    <row r="150" spans="6:34" ht="18.75" customHeight="1">
      <c r="F150" s="13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</row>
    <row r="151" spans="6:34" ht="18.75" customHeight="1">
      <c r="F151" s="13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</row>
    <row r="152" spans="6:34" ht="18.75" customHeight="1">
      <c r="F152" s="13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</row>
    <row r="153" spans="6:34" ht="18.75" customHeight="1">
      <c r="F153" s="13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</row>
    <row r="154" spans="6:34" ht="18.75" customHeight="1">
      <c r="F154" s="13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</row>
    <row r="155" spans="6:34" ht="18.75" customHeight="1">
      <c r="F155" s="13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</row>
    <row r="156" spans="6:34" ht="18.75" customHeight="1">
      <c r="F156" s="13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</row>
    <row r="157" spans="6:34" ht="18.75" customHeight="1">
      <c r="F157" s="13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</row>
    <row r="158" spans="6:34" ht="18.75" customHeight="1">
      <c r="F158" s="13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</row>
    <row r="159" spans="6:34" ht="18.75" customHeight="1">
      <c r="F159" s="13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</row>
    <row r="160" spans="6:34" ht="18.75" customHeight="1">
      <c r="F160" s="13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</row>
    <row r="161" spans="6:34" ht="18.75" customHeight="1">
      <c r="F161" s="13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</row>
    <row r="162" spans="6:34" ht="18.75" customHeight="1">
      <c r="F162" s="13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</row>
    <row r="163" spans="6:34" ht="18.75" customHeight="1">
      <c r="F163" s="13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</row>
    <row r="164" spans="6:34" ht="18.75" customHeight="1">
      <c r="F164" s="13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</row>
    <row r="165" spans="6:34" ht="18.75" customHeight="1">
      <c r="F165" s="13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</row>
    <row r="166" spans="6:34" ht="18.75" customHeight="1">
      <c r="F166" s="13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</row>
    <row r="167" spans="6:34" ht="18.75" customHeight="1">
      <c r="F167" s="13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</row>
    <row r="168" spans="6:34" ht="18.75" customHeight="1">
      <c r="F168" s="13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</row>
    <row r="169" spans="6:34" ht="18.75" customHeight="1">
      <c r="F169" s="13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</row>
    <row r="170" spans="6:34" ht="18.75" customHeight="1">
      <c r="F170" s="13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</row>
    <row r="171" spans="6:34" ht="18.75" customHeight="1">
      <c r="F171" s="13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</row>
    <row r="172" spans="6:34" ht="18.75" customHeight="1">
      <c r="F172" s="13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</row>
    <row r="173" spans="6:34" ht="18.75" customHeight="1">
      <c r="F173" s="13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</row>
    <row r="174" spans="6:34" ht="18.75" customHeight="1">
      <c r="F174" s="13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</row>
    <row r="175" spans="6:34" ht="18.75" customHeight="1">
      <c r="F175" s="13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</row>
    <row r="176" spans="6:34" ht="18.75" customHeight="1">
      <c r="F176" s="13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</row>
    <row r="177" spans="6:34" ht="18.75" customHeight="1">
      <c r="F177" s="13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</row>
    <row r="178" spans="6:34" ht="18.75" customHeight="1">
      <c r="F178" s="13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</row>
    <row r="179" spans="6:34" ht="18.75" customHeight="1">
      <c r="F179" s="13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</row>
    <row r="180" spans="6:34" ht="18.75" customHeight="1">
      <c r="F180" s="13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</row>
    <row r="181" spans="6:34" ht="18.75" customHeight="1">
      <c r="F181" s="13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</row>
    <row r="182" spans="6:34" ht="18.75" customHeight="1">
      <c r="F182" s="13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</row>
    <row r="183" spans="6:34" ht="18.75" customHeight="1">
      <c r="F183" s="13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</row>
    <row r="184" spans="6:34" ht="18.75" customHeight="1">
      <c r="F184" s="13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</row>
    <row r="185" spans="6:34" ht="18.75" customHeight="1">
      <c r="F185" s="13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</row>
    <row r="186" spans="6:34" ht="18.75" customHeight="1">
      <c r="F186" s="13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</row>
    <row r="187" spans="6:34" ht="18.75" customHeight="1">
      <c r="F187" s="13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</row>
    <row r="188" spans="6:34" ht="18.75" customHeight="1">
      <c r="F188" s="13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</row>
    <row r="189" spans="6:34" ht="18.75" customHeight="1">
      <c r="F189" s="13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</row>
    <row r="190" spans="6:34" ht="18.75" customHeight="1">
      <c r="F190" s="13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</row>
    <row r="191" spans="6:34" ht="18.75" customHeight="1">
      <c r="F191" s="13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</row>
    <row r="192" spans="6:34" ht="18.75" customHeight="1">
      <c r="F192" s="13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</row>
    <row r="193" spans="6:34" ht="18.75" customHeight="1">
      <c r="F193" s="13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</row>
    <row r="194" spans="6:34" ht="18.75" customHeight="1">
      <c r="F194" s="13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</row>
    <row r="195" spans="6:34" ht="18.75" customHeight="1">
      <c r="F195" s="13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</row>
    <row r="196" spans="6:34" ht="18.75" customHeight="1">
      <c r="F196" s="13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</row>
    <row r="197" spans="6:34" ht="18.75" customHeight="1">
      <c r="F197" s="13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</row>
    <row r="198" spans="6:34" ht="18.75" customHeight="1">
      <c r="F198" s="13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</row>
    <row r="199" spans="6:34" ht="18.75" customHeight="1">
      <c r="F199" s="13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</row>
    <row r="200" spans="6:34" ht="18.75" customHeight="1">
      <c r="F200" s="13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</row>
    <row r="201" spans="6:34" ht="18.75" customHeight="1">
      <c r="F201" s="13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</row>
    <row r="202" spans="6:34" ht="18.75" customHeight="1">
      <c r="F202" s="13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</row>
    <row r="203" spans="6:34" ht="18.75" customHeight="1">
      <c r="F203" s="13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</row>
    <row r="204" spans="6:34" ht="18.75" customHeight="1">
      <c r="F204" s="13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</row>
    <row r="205" spans="6:34" ht="18.75" customHeight="1">
      <c r="F205" s="13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</row>
    <row r="206" spans="6:34" ht="18.75" customHeight="1">
      <c r="F206" s="13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</row>
    <row r="207" spans="6:34" ht="18.75" customHeight="1">
      <c r="F207" s="13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</row>
    <row r="208" spans="6:34" ht="18.75" customHeight="1">
      <c r="F208" s="13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</row>
    <row r="209" spans="6:34" ht="18.75" customHeight="1">
      <c r="F209" s="13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</row>
    <row r="210" spans="6:34" ht="18.75" customHeight="1">
      <c r="F210" s="13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</row>
    <row r="211" spans="6:34" ht="18.75" customHeight="1">
      <c r="F211" s="13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</row>
    <row r="212" spans="6:34" ht="18.75" customHeight="1">
      <c r="F212" s="13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</row>
    <row r="213" spans="6:34" ht="18.75" customHeight="1">
      <c r="F213" s="13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</row>
    <row r="214" spans="6:34" ht="18.75" customHeight="1">
      <c r="F214" s="13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</row>
    <row r="215" spans="6:34" ht="18.75" customHeight="1">
      <c r="F215" s="13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</row>
    <row r="216" spans="6:34" ht="18.75" customHeight="1">
      <c r="F216" s="13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</row>
    <row r="217" spans="6:34" ht="18.75" customHeight="1">
      <c r="F217" s="13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</row>
    <row r="218" spans="6:34" ht="18.75" customHeight="1">
      <c r="F218" s="13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</row>
    <row r="219" spans="6:34" ht="18.75" customHeight="1">
      <c r="F219" s="13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</row>
    <row r="220" spans="6:34" ht="18.75" customHeight="1">
      <c r="F220" s="13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</row>
    <row r="221" spans="6:34" ht="18.75" customHeight="1">
      <c r="F221" s="13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</row>
    <row r="222" spans="6:34" ht="18.75" customHeight="1">
      <c r="F222" s="13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</row>
    <row r="223" spans="6:34" ht="18.75" customHeight="1">
      <c r="F223" s="13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</row>
    <row r="224" spans="6:34" ht="18.75" customHeight="1">
      <c r="F224" s="13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</row>
    <row r="225" spans="6:34" ht="18.75" customHeight="1">
      <c r="F225" s="13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</row>
    <row r="226" spans="6:34" ht="18.75" customHeight="1">
      <c r="F226" s="13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</row>
    <row r="227" spans="6:34" ht="18.75" customHeight="1">
      <c r="F227" s="13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</row>
    <row r="228" spans="6:34" ht="18.75" customHeight="1">
      <c r="F228" s="13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</row>
    <row r="229" spans="6:34" ht="18.75" customHeight="1">
      <c r="F229" s="13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</row>
    <row r="230" spans="6:34" ht="18.75" customHeight="1">
      <c r="F230" s="13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</row>
    <row r="231" spans="6:34" ht="18.75" customHeight="1">
      <c r="F231" s="13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</row>
    <row r="232" spans="6:34" ht="18.75" customHeight="1">
      <c r="F232" s="13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</row>
    <row r="233" spans="6:34" ht="18.75" customHeight="1">
      <c r="F233" s="13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</row>
    <row r="234" spans="6:34" ht="18.75" customHeight="1">
      <c r="F234" s="13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</row>
    <row r="235" spans="6:34" ht="18.75" customHeight="1">
      <c r="F235" s="13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</row>
    <row r="236" spans="6:34" ht="18.75" customHeight="1">
      <c r="F236" s="13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</row>
    <row r="237" spans="6:34" ht="18.75" customHeight="1">
      <c r="F237" s="13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</row>
    <row r="238" spans="6:34" ht="18.75" customHeight="1">
      <c r="F238" s="13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</row>
    <row r="239" spans="6:34" ht="18.75" customHeight="1">
      <c r="F239" s="13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</row>
    <row r="240" spans="6:34" ht="18.75" customHeight="1">
      <c r="F240" s="13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</row>
    <row r="241" spans="6:34" ht="18.75" customHeight="1">
      <c r="F241" s="13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</row>
    <row r="242" spans="6:34" ht="18.75" customHeight="1">
      <c r="F242" s="13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</row>
    <row r="243" spans="6:34" ht="18.75" customHeight="1">
      <c r="F243" s="13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</row>
    <row r="244" spans="6:34" ht="18.75" customHeight="1">
      <c r="F244" s="13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</row>
    <row r="245" spans="6:34" ht="18.75" customHeight="1">
      <c r="F245" s="13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</row>
    <row r="246" spans="6:34" ht="18.75" customHeight="1">
      <c r="F246" s="13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</row>
    <row r="247" spans="6:34" ht="18.75" customHeight="1">
      <c r="F247" s="13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</row>
    <row r="248" spans="6:34" ht="18.75" customHeight="1">
      <c r="F248" s="13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</row>
    <row r="249" spans="6:34" ht="18.75" customHeight="1">
      <c r="F249" s="13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</row>
    <row r="250" spans="6:34" ht="18.75" customHeight="1">
      <c r="F250" s="13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</row>
    <row r="251" spans="6:34" ht="18.75" customHeight="1">
      <c r="F251" s="13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</row>
    <row r="252" spans="6:34" ht="18.75" customHeight="1">
      <c r="F252" s="13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</row>
    <row r="253" spans="6:34" ht="18.75" customHeight="1">
      <c r="F253" s="13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</row>
    <row r="254" spans="6:34" ht="18.75" customHeight="1">
      <c r="F254" s="13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</row>
    <row r="255" spans="6:34" ht="18.75" customHeight="1">
      <c r="F255" s="13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</row>
    <row r="256" spans="6:34" ht="18.75" customHeight="1">
      <c r="F256" s="13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</row>
    <row r="257" spans="6:34" ht="18.75" customHeight="1">
      <c r="F257" s="13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</row>
    <row r="258" spans="6:34" ht="18.75" customHeight="1">
      <c r="F258" s="13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</row>
    <row r="259" spans="6:34" ht="18.75" customHeight="1">
      <c r="F259" s="13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</row>
    <row r="260" spans="6:34" ht="18.75" customHeight="1">
      <c r="F260" s="13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</row>
    <row r="261" spans="6:34" ht="18.75" customHeight="1">
      <c r="F261" s="13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</row>
    <row r="262" spans="6:34" ht="18.75" customHeight="1">
      <c r="F262" s="13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</row>
    <row r="263" spans="6:34" ht="18.75" customHeight="1">
      <c r="F263" s="13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</row>
    <row r="264" spans="6:34" ht="18.75" customHeight="1">
      <c r="F264" s="13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</row>
    <row r="265" spans="6:34" ht="18.75" customHeight="1">
      <c r="F265" s="13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</row>
    <row r="266" spans="6:34" ht="18.75" customHeight="1">
      <c r="F266" s="13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</row>
    <row r="267" spans="6:34" ht="18.75" customHeight="1">
      <c r="F267" s="13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</row>
    <row r="268" spans="6:34" ht="18.75" customHeight="1">
      <c r="F268" s="13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</row>
    <row r="269" spans="6:34" ht="18.75" customHeight="1">
      <c r="F269" s="13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</row>
    <row r="270" spans="6:34" ht="18.75" customHeight="1">
      <c r="F270" s="13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</row>
    <row r="271" spans="6:34" ht="18.75" customHeight="1">
      <c r="F271" s="13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</row>
    <row r="272" spans="6:34" ht="18.75" customHeight="1">
      <c r="F272" s="13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</row>
    <row r="273" spans="6:34" ht="18.75" customHeight="1">
      <c r="F273" s="13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</row>
    <row r="274" spans="6:34" ht="18.75" customHeight="1">
      <c r="F274" s="13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</row>
    <row r="275" spans="6:34" ht="18.75" customHeight="1">
      <c r="F275" s="13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</row>
    <row r="276" spans="6:34" ht="18.75" customHeight="1">
      <c r="F276" s="13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</row>
    <row r="277" spans="6:34" ht="18.75" customHeight="1">
      <c r="F277" s="13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</row>
    <row r="278" spans="6:34" ht="18.75" customHeight="1">
      <c r="F278" s="13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</row>
    <row r="279" spans="6:34" ht="18.75" customHeight="1">
      <c r="F279" s="13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</row>
    <row r="280" spans="6:34" ht="18.75" customHeight="1">
      <c r="F280" s="13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</row>
    <row r="281" spans="6:34" ht="18.75" customHeight="1">
      <c r="F281" s="13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</row>
    <row r="282" spans="6:34" ht="18.75" customHeight="1">
      <c r="F282" s="13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</row>
    <row r="283" spans="6:34" ht="18.75" customHeight="1">
      <c r="F283" s="13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</row>
    <row r="284" spans="6:34" ht="18.75" customHeight="1">
      <c r="F284" s="13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</row>
    <row r="285" spans="6:34" ht="18.75" customHeight="1">
      <c r="F285" s="13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</row>
    <row r="286" spans="6:34" ht="18.75" customHeight="1">
      <c r="F286" s="13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</row>
    <row r="287" spans="6:34" ht="18.75" customHeight="1">
      <c r="F287" s="13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</row>
    <row r="288" spans="6:34" ht="18.75" customHeight="1">
      <c r="F288" s="13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</row>
    <row r="289" spans="6:34" ht="18.75" customHeight="1">
      <c r="F289" s="13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</row>
    <row r="290" spans="6:34" ht="18.75" customHeight="1">
      <c r="F290" s="13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</row>
    <row r="291" spans="6:34" ht="18.75" customHeight="1">
      <c r="F291" s="13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</row>
    <row r="292" spans="6:34" ht="18.75" customHeight="1">
      <c r="F292" s="13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</row>
    <row r="293" spans="6:34" ht="18.75" customHeight="1">
      <c r="F293" s="13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</row>
    <row r="294" spans="6:34" ht="18.75" customHeight="1">
      <c r="F294" s="13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</row>
    <row r="295" spans="6:34" ht="18.75" customHeight="1">
      <c r="F295" s="13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</row>
    <row r="296" spans="6:34" ht="18.75" customHeight="1">
      <c r="F296" s="13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</row>
    <row r="297" spans="6:34" ht="18.75" customHeight="1">
      <c r="F297" s="13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</row>
    <row r="298" spans="6:34" ht="18.75" customHeight="1">
      <c r="F298" s="13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</row>
    <row r="299" spans="6:34" ht="18.75" customHeight="1">
      <c r="F299" s="13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</row>
    <row r="300" spans="6:34" ht="18.75" customHeight="1">
      <c r="F300" s="13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</row>
    <row r="301" spans="6:34" ht="18.75" customHeight="1">
      <c r="F301" s="13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</row>
    <row r="302" spans="6:34" ht="18.75" customHeight="1">
      <c r="F302" s="13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</row>
    <row r="303" spans="6:34" ht="18.75" customHeight="1">
      <c r="F303" s="13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</row>
    <row r="304" spans="6:34" ht="18.75" customHeight="1">
      <c r="F304" s="13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</row>
    <row r="305" spans="6:34" ht="18.75" customHeight="1">
      <c r="F305" s="13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</row>
    <row r="306" spans="6:34" ht="18.75" customHeight="1">
      <c r="F306" s="13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</row>
    <row r="307" spans="6:34" ht="18.75" customHeight="1">
      <c r="F307" s="13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</row>
    <row r="308" spans="6:34" ht="18.75" customHeight="1">
      <c r="F308" s="13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</row>
    <row r="309" spans="6:34" ht="18.75" customHeight="1">
      <c r="F309" s="13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</row>
    <row r="310" spans="6:34" ht="18.75" customHeight="1">
      <c r="F310" s="13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</row>
    <row r="311" spans="6:34" ht="18.75" customHeight="1">
      <c r="F311" s="13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</row>
    <row r="312" spans="6:34" ht="18.75" customHeight="1">
      <c r="F312" s="13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</row>
    <row r="313" spans="6:34" ht="18.75" customHeight="1">
      <c r="F313" s="13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</row>
    <row r="314" spans="6:34" ht="18.75" customHeight="1">
      <c r="F314" s="13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</row>
    <row r="315" spans="6:34" ht="18.75" customHeight="1">
      <c r="F315" s="13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</row>
    <row r="316" spans="6:34" ht="18.75" customHeight="1">
      <c r="F316" s="13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</row>
    <row r="317" spans="6:34" ht="18.75" customHeight="1">
      <c r="F317" s="13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</row>
    <row r="318" spans="6:34" ht="18.75" customHeight="1">
      <c r="F318" s="13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</row>
    <row r="319" spans="6:34" ht="18.75" customHeight="1">
      <c r="F319" s="13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</row>
    <row r="320" spans="6:34" ht="18.75" customHeight="1">
      <c r="F320" s="13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</row>
    <row r="321" spans="6:34" ht="18.75" customHeight="1">
      <c r="F321" s="13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</row>
    <row r="322" spans="6:34" ht="18.75" customHeight="1">
      <c r="F322" s="13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</row>
    <row r="323" spans="6:34" ht="18.75" customHeight="1">
      <c r="F323" s="13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</row>
    <row r="324" spans="6:34" ht="18.75" customHeight="1">
      <c r="F324" s="13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</row>
    <row r="325" spans="6:34" ht="18.75" customHeight="1">
      <c r="F325" s="13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</row>
    <row r="326" spans="6:34" ht="18.75" customHeight="1">
      <c r="F326" s="13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</row>
    <row r="327" spans="6:34" ht="18.75" customHeight="1">
      <c r="F327" s="13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</row>
    <row r="328" spans="6:34" ht="18.75" customHeight="1">
      <c r="F328" s="13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</row>
    <row r="329" spans="6:34" ht="18.75" customHeight="1">
      <c r="F329" s="13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</row>
    <row r="330" spans="6:34" ht="18.75" customHeight="1">
      <c r="F330" s="13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</row>
    <row r="331" spans="6:34" ht="18.75" customHeight="1">
      <c r="F331" s="13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</row>
    <row r="332" spans="6:34" ht="18.75" customHeight="1">
      <c r="F332" s="13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</row>
    <row r="333" spans="6:34" ht="18.75" customHeight="1">
      <c r="F333" s="13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</row>
    <row r="334" spans="6:34" ht="18.75" customHeight="1">
      <c r="F334" s="13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</row>
    <row r="335" spans="6:34" ht="18.75" customHeight="1">
      <c r="F335" s="13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</row>
    <row r="336" spans="6:34" ht="18.75" customHeight="1">
      <c r="F336" s="13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</row>
    <row r="337" spans="6:34" ht="18.75" customHeight="1">
      <c r="F337" s="13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</row>
    <row r="338" spans="6:34" ht="18.75" customHeight="1">
      <c r="F338" s="13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</row>
    <row r="339" spans="6:34" ht="18.75" customHeight="1">
      <c r="F339" s="13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</row>
    <row r="340" spans="6:34" ht="18.75" customHeight="1">
      <c r="F340" s="13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</row>
    <row r="341" spans="6:34" ht="18.75" customHeight="1">
      <c r="F341" s="13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</row>
    <row r="342" spans="6:34" ht="18.75" customHeight="1">
      <c r="F342" s="13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</row>
    <row r="343" spans="6:34" ht="18.75" customHeight="1">
      <c r="F343" s="13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</row>
    <row r="344" spans="6:34" ht="18.75" customHeight="1">
      <c r="F344" s="13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</row>
    <row r="345" spans="6:34" ht="18.75" customHeight="1">
      <c r="F345" s="13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</row>
    <row r="346" spans="6:34" ht="18.75" customHeight="1">
      <c r="F346" s="13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</row>
    <row r="347" spans="6:34" ht="18.75" customHeight="1">
      <c r="F347" s="13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</row>
    <row r="348" spans="6:34" ht="18.75" customHeight="1">
      <c r="F348" s="13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</row>
    <row r="349" spans="6:34" ht="18.75" customHeight="1">
      <c r="F349" s="13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</row>
    <row r="350" spans="6:34" ht="18.75" customHeight="1">
      <c r="F350" s="13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</row>
    <row r="351" spans="6:34" ht="18.75" customHeight="1">
      <c r="F351" s="13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</row>
    <row r="352" spans="6:34" ht="18.75" customHeight="1">
      <c r="F352" s="13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</row>
    <row r="353" spans="6:34" ht="18.75" customHeight="1">
      <c r="F353" s="13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</row>
    <row r="354" spans="6:34" ht="18.75" customHeight="1">
      <c r="F354" s="13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</row>
    <row r="355" spans="6:34" ht="18.75" customHeight="1">
      <c r="F355" s="13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</row>
    <row r="356" spans="6:34" ht="18.75" customHeight="1">
      <c r="F356" s="13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</row>
    <row r="357" spans="6:34" ht="18.75" customHeight="1">
      <c r="F357" s="13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</row>
    <row r="358" spans="6:34" ht="18.75" customHeight="1">
      <c r="F358" s="13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</row>
    <row r="359" spans="6:34" ht="18.75" customHeight="1">
      <c r="F359" s="13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</row>
    <row r="360" spans="6:34" ht="18.75" customHeight="1">
      <c r="F360" s="13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</row>
    <row r="361" spans="6:34" ht="18.75" customHeight="1">
      <c r="F361" s="13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</row>
    <row r="362" spans="6:34" ht="18.75" customHeight="1">
      <c r="F362" s="13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</row>
    <row r="363" spans="6:34" ht="18.75" customHeight="1">
      <c r="F363" s="13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</row>
    <row r="364" spans="6:34" ht="18.75" customHeight="1">
      <c r="F364" s="13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</row>
    <row r="365" spans="6:34" ht="18.75" customHeight="1">
      <c r="F365" s="13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</row>
    <row r="366" spans="6:34" ht="18.75" customHeight="1">
      <c r="F366" s="13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</row>
    <row r="367" spans="6:34" ht="18.75" customHeight="1">
      <c r="F367" s="13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</row>
    <row r="368" spans="6:34" ht="18.75" customHeight="1">
      <c r="F368" s="13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</row>
    <row r="369" spans="6:34" ht="18.75" customHeight="1">
      <c r="F369" s="13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</row>
    <row r="370" spans="6:34" ht="18.75" customHeight="1">
      <c r="F370" s="13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</row>
    <row r="371" spans="6:34" ht="18.75" customHeight="1">
      <c r="F371" s="13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</row>
    <row r="372" spans="6:34" ht="18.75" customHeight="1">
      <c r="F372" s="13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</row>
    <row r="373" spans="6:34" ht="18.75" customHeight="1">
      <c r="F373" s="13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</row>
    <row r="374" spans="6:34" ht="18.75" customHeight="1">
      <c r="F374" s="13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</row>
    <row r="375" spans="6:34" ht="18.75" customHeight="1">
      <c r="F375" s="13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</row>
    <row r="376" spans="6:34" ht="18.75" customHeight="1">
      <c r="F376" s="13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</row>
    <row r="377" spans="6:34" ht="18.75" customHeight="1">
      <c r="F377" s="13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</row>
    <row r="378" spans="6:34" ht="18.75" customHeight="1">
      <c r="F378" s="13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</row>
    <row r="379" spans="6:34" ht="18.75" customHeight="1">
      <c r="F379" s="13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</row>
    <row r="380" spans="6:34" ht="18.75" customHeight="1">
      <c r="F380" s="13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</row>
    <row r="381" spans="6:34" ht="18.75" customHeight="1">
      <c r="F381" s="13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</row>
    <row r="382" spans="6:34" ht="18.75" customHeight="1">
      <c r="F382" s="13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</row>
    <row r="383" spans="6:34" ht="18.75" customHeight="1">
      <c r="F383" s="13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</row>
    <row r="384" spans="6:34" ht="18.75" customHeight="1">
      <c r="F384" s="13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</row>
    <row r="385" spans="6:34" ht="18.75" customHeight="1">
      <c r="F385" s="13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</row>
    <row r="386" spans="6:34" ht="18.75" customHeight="1">
      <c r="F386" s="13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</row>
    <row r="387" spans="6:34" ht="18.75" customHeight="1">
      <c r="F387" s="13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</row>
    <row r="388" spans="6:34" ht="18.75" customHeight="1">
      <c r="F388" s="13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</row>
    <row r="389" spans="6:34" ht="18.75" customHeight="1">
      <c r="F389" s="13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</row>
    <row r="390" spans="6:34" ht="18.75" customHeight="1">
      <c r="F390" s="13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</row>
    <row r="391" spans="6:34" ht="18.75" customHeight="1">
      <c r="F391" s="13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</row>
    <row r="392" spans="6:34" ht="18.75" customHeight="1">
      <c r="F392" s="13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</row>
    <row r="393" spans="6:34" ht="18.75" customHeight="1">
      <c r="F393" s="13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</row>
    <row r="394" spans="6:34" ht="18.75" customHeight="1">
      <c r="F394" s="13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</row>
    <row r="395" spans="6:34" ht="18.75" customHeight="1">
      <c r="F395" s="13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</row>
    <row r="396" spans="6:34" ht="18.75" customHeight="1">
      <c r="F396" s="13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</row>
    <row r="397" spans="6:34" ht="18.75" customHeight="1">
      <c r="F397" s="13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</row>
    <row r="398" spans="6:34" ht="18.75" customHeight="1">
      <c r="F398" s="13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</row>
    <row r="399" spans="6:34" ht="18.75" customHeight="1">
      <c r="F399" s="13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</row>
    <row r="400" spans="6:34" ht="18.75" customHeight="1">
      <c r="F400" s="13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</row>
    <row r="401" spans="6:34" ht="18.75" customHeight="1">
      <c r="F401" s="13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</row>
    <row r="402" spans="6:34" ht="18.75" customHeight="1">
      <c r="F402" s="13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</row>
    <row r="403" spans="6:34" ht="18.75" customHeight="1">
      <c r="F403" s="13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</row>
    <row r="404" spans="6:34" ht="18.75" customHeight="1">
      <c r="F404" s="13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</row>
    <row r="405" spans="6:34" ht="18.75" customHeight="1">
      <c r="F405" s="13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</row>
    <row r="406" spans="6:34" ht="18.75" customHeight="1">
      <c r="F406" s="13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</row>
    <row r="407" spans="6:34" ht="18.75" customHeight="1">
      <c r="F407" s="13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</row>
    <row r="408" spans="6:34" ht="18.75" customHeight="1">
      <c r="F408" s="13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</row>
    <row r="409" spans="6:34" ht="18.75" customHeight="1">
      <c r="F409" s="13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</row>
    <row r="410" spans="6:34" ht="18.75" customHeight="1">
      <c r="F410" s="13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</row>
    <row r="411" spans="6:34" ht="18.75" customHeight="1">
      <c r="F411" s="13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</row>
    <row r="412" spans="6:34" ht="18.75" customHeight="1">
      <c r="F412" s="13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</row>
    <row r="413" spans="6:34" ht="18.75" customHeight="1">
      <c r="F413" s="13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</row>
    <row r="414" spans="6:34" ht="18.75" customHeight="1">
      <c r="F414" s="13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</row>
    <row r="415" spans="6:34" ht="18.75" customHeight="1">
      <c r="F415" s="13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</row>
    <row r="416" spans="6:34" ht="18.75" customHeight="1">
      <c r="F416" s="13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</row>
    <row r="417" spans="6:34" ht="18.75" customHeight="1">
      <c r="F417" s="13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</row>
    <row r="418" spans="6:34" ht="18.75" customHeight="1">
      <c r="F418" s="13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</row>
    <row r="419" spans="6:34" ht="18.75" customHeight="1">
      <c r="F419" s="13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</row>
    <row r="420" spans="6:34" ht="18.75" customHeight="1">
      <c r="F420" s="13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</row>
    <row r="421" spans="6:34" ht="18.75" customHeight="1">
      <c r="F421" s="13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</row>
    <row r="422" spans="6:34" ht="18.75" customHeight="1">
      <c r="F422" s="13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</row>
    <row r="423" spans="6:34" ht="18.75" customHeight="1">
      <c r="F423" s="13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</row>
    <row r="424" spans="6:34" ht="18.75" customHeight="1">
      <c r="F424" s="13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</row>
    <row r="425" spans="6:34" ht="18.75" customHeight="1">
      <c r="F425" s="13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</row>
    <row r="426" spans="6:34" ht="18.75" customHeight="1">
      <c r="F426" s="13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</row>
    <row r="427" spans="6:34" ht="18.75" customHeight="1">
      <c r="F427" s="13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</row>
    <row r="428" spans="6:34" ht="18.75" customHeight="1">
      <c r="F428" s="13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</row>
    <row r="429" spans="6:34" ht="18.75" customHeight="1">
      <c r="F429" s="13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</row>
    <row r="430" spans="6:34" ht="18.75" customHeight="1">
      <c r="F430" s="13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</row>
    <row r="431" spans="6:34" ht="18.75" customHeight="1">
      <c r="F431" s="13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</row>
    <row r="432" spans="6:34" ht="18.75" customHeight="1">
      <c r="F432" s="13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</row>
    <row r="433" spans="6:34" ht="18.75" customHeight="1">
      <c r="F433" s="13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</row>
    <row r="434" spans="6:34" ht="18.75" customHeight="1">
      <c r="F434" s="13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</row>
    <row r="435" spans="6:34" ht="18.75" customHeight="1">
      <c r="F435" s="13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</row>
    <row r="436" spans="6:34" ht="18.75" customHeight="1">
      <c r="F436" s="13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</row>
    <row r="437" spans="6:34" ht="18.75" customHeight="1">
      <c r="F437" s="13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</row>
    <row r="438" spans="6:34" ht="18.75" customHeight="1">
      <c r="F438" s="13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</row>
    <row r="439" spans="6:34" ht="18.75" customHeight="1">
      <c r="F439" s="13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</row>
    <row r="440" spans="6:34" ht="18.75" customHeight="1">
      <c r="F440" s="13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</row>
    <row r="441" spans="6:34" ht="18.75" customHeight="1">
      <c r="F441" s="13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</row>
    <row r="442" spans="6:34" ht="18.75" customHeight="1">
      <c r="F442" s="13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</row>
    <row r="443" spans="6:34" ht="18.75" customHeight="1">
      <c r="F443" s="13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</row>
    <row r="444" spans="6:34" ht="18.75" customHeight="1">
      <c r="F444" s="13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</row>
    <row r="445" spans="6:34" ht="18.75" customHeight="1">
      <c r="F445" s="13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</row>
    <row r="446" spans="6:34" ht="18.75" customHeight="1">
      <c r="F446" s="13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</row>
    <row r="447" spans="6:34" ht="18.75" customHeight="1">
      <c r="F447" s="13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</row>
    <row r="448" spans="6:34" ht="18.75" customHeight="1">
      <c r="F448" s="13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</row>
    <row r="449" spans="6:34" ht="18.75" customHeight="1">
      <c r="F449" s="13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</row>
    <row r="450" spans="6:34" ht="18.75" customHeight="1">
      <c r="F450" s="13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</row>
    <row r="451" spans="6:34" ht="18.75" customHeight="1">
      <c r="F451" s="13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</row>
    <row r="452" spans="6:34" ht="18.75" customHeight="1">
      <c r="F452" s="13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</row>
    <row r="453" spans="6:34" ht="18.75" customHeight="1">
      <c r="F453" s="13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</row>
    <row r="454" spans="6:34" ht="18.75" customHeight="1">
      <c r="F454" s="13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</row>
    <row r="455" spans="6:34" ht="18.75" customHeight="1">
      <c r="F455" s="13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</row>
    <row r="456" spans="6:34" ht="18.75" customHeight="1">
      <c r="F456" s="13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</row>
    <row r="457" spans="6:34" ht="18.75" customHeight="1">
      <c r="F457" s="13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</row>
    <row r="458" spans="6:34" ht="18.75" customHeight="1">
      <c r="F458" s="13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</row>
    <row r="459" spans="6:34" ht="18.75" customHeight="1">
      <c r="F459" s="13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</row>
    <row r="460" spans="6:34" ht="18.75" customHeight="1">
      <c r="F460" s="13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</row>
    <row r="461" spans="6:34" ht="18.75" customHeight="1">
      <c r="F461" s="13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</row>
    <row r="462" spans="6:34" ht="18.75" customHeight="1">
      <c r="F462" s="13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</row>
    <row r="463" spans="6:34" ht="18.75" customHeight="1">
      <c r="F463" s="13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</row>
    <row r="464" spans="6:34" ht="18.75" customHeight="1">
      <c r="F464" s="13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</row>
    <row r="465" spans="6:34" ht="18.75" customHeight="1">
      <c r="F465" s="13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</row>
    <row r="466" spans="6:34" ht="18.75" customHeight="1">
      <c r="F466" s="13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</row>
    <row r="467" spans="6:34" ht="18.75" customHeight="1">
      <c r="F467" s="13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</row>
    <row r="468" spans="6:34" ht="18.75" customHeight="1">
      <c r="F468" s="13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</row>
    <row r="469" spans="6:34" ht="18.75" customHeight="1">
      <c r="F469" s="13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</row>
    <row r="470" spans="6:34" ht="18.75" customHeight="1">
      <c r="F470" s="13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</row>
    <row r="471" spans="6:34" ht="18.75" customHeight="1">
      <c r="F471" s="13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</row>
    <row r="472" spans="6:34" ht="18.75" customHeight="1">
      <c r="F472" s="13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</row>
    <row r="473" spans="6:34" ht="18.75" customHeight="1">
      <c r="F473" s="13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</row>
    <row r="474" spans="6:34" ht="18.75" customHeight="1">
      <c r="F474" s="13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</row>
    <row r="475" spans="6:34" ht="18.75" customHeight="1">
      <c r="F475" s="13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</row>
    <row r="476" spans="6:34" ht="18.75" customHeight="1">
      <c r="F476" s="13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</row>
    <row r="477" spans="6:34" ht="18.75" customHeight="1">
      <c r="F477" s="13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</row>
    <row r="478" spans="6:34" ht="18.75" customHeight="1">
      <c r="F478" s="13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</row>
    <row r="479" spans="6:34" ht="18.75" customHeight="1">
      <c r="F479" s="13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</row>
    <row r="480" spans="6:34" ht="18.75" customHeight="1">
      <c r="F480" s="13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</row>
    <row r="481" spans="6:34" ht="18.75" customHeight="1">
      <c r="F481" s="13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</row>
    <row r="482" spans="6:34" ht="18.75" customHeight="1">
      <c r="F482" s="13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</row>
    <row r="483" spans="6:34" ht="18.75" customHeight="1">
      <c r="F483" s="13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</row>
    <row r="484" spans="6:34" ht="18.75" customHeight="1">
      <c r="F484" s="13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</row>
    <row r="485" spans="6:34" ht="18.75" customHeight="1">
      <c r="F485" s="13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</row>
    <row r="486" spans="6:34" ht="18.75" customHeight="1">
      <c r="F486" s="13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</row>
    <row r="487" spans="6:34" ht="18.75" customHeight="1">
      <c r="F487" s="13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</row>
    <row r="488" spans="6:34" ht="18.75" customHeight="1">
      <c r="F488" s="13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</row>
    <row r="489" spans="6:34" ht="18.75" customHeight="1">
      <c r="F489" s="13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</row>
    <row r="490" spans="6:34" ht="18.75" customHeight="1">
      <c r="F490" s="13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</row>
    <row r="491" spans="6:34" ht="18.75" customHeight="1">
      <c r="F491" s="13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</row>
    <row r="492" spans="6:34" ht="18.75" customHeight="1">
      <c r="F492" s="13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</row>
    <row r="493" spans="6:34" ht="18.75" customHeight="1">
      <c r="F493" s="13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</row>
    <row r="494" spans="6:34" ht="18.75" customHeight="1">
      <c r="F494" s="13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</row>
    <row r="495" spans="6:34" ht="18.75" customHeight="1">
      <c r="F495" s="13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</row>
    <row r="496" spans="6:34" ht="18.75" customHeight="1">
      <c r="F496" s="13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</row>
    <row r="497" spans="6:34" ht="18.75" customHeight="1">
      <c r="F497" s="13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</row>
    <row r="498" spans="6:34" ht="18.75" customHeight="1">
      <c r="F498" s="13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</row>
    <row r="499" spans="6:34" ht="18.75" customHeight="1">
      <c r="F499" s="13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</row>
    <row r="500" spans="6:34" ht="18.75" customHeight="1">
      <c r="F500" s="13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</row>
    <row r="501" spans="6:34" ht="18.75" customHeight="1">
      <c r="F501" s="13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</row>
    <row r="502" spans="6:34" ht="18.75" customHeight="1">
      <c r="F502" s="13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</row>
    <row r="503" spans="6:34" ht="18.75" customHeight="1">
      <c r="F503" s="13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</row>
    <row r="504" spans="6:34" ht="18.75" customHeight="1">
      <c r="F504" s="13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</row>
    <row r="505" spans="6:34" ht="18.75" customHeight="1">
      <c r="F505" s="13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</row>
    <row r="506" spans="6:34" ht="18.75" customHeight="1">
      <c r="F506" s="13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</row>
    <row r="507" spans="6:34" ht="18.75" customHeight="1">
      <c r="F507" s="13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</row>
    <row r="508" spans="6:34" ht="18.75" customHeight="1">
      <c r="F508" s="13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</row>
    <row r="509" spans="6:34" ht="18.75" customHeight="1">
      <c r="F509" s="13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</row>
    <row r="510" spans="6:34" ht="18.75" customHeight="1">
      <c r="F510" s="13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</row>
    <row r="511" spans="6:34" ht="18.75" customHeight="1">
      <c r="F511" s="13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</row>
    <row r="512" spans="6:34" ht="18.75" customHeight="1">
      <c r="F512" s="13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</row>
    <row r="513" spans="6:34" ht="18.75" customHeight="1">
      <c r="F513" s="13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</row>
    <row r="514" spans="6:34" ht="18.75" customHeight="1">
      <c r="F514" s="13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</row>
    <row r="515" spans="6:34" ht="18.75" customHeight="1">
      <c r="F515" s="13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</row>
    <row r="516" spans="6:34" ht="18.75" customHeight="1">
      <c r="F516" s="13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</row>
    <row r="517" spans="6:34" ht="18.75" customHeight="1">
      <c r="F517" s="13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</row>
    <row r="518" spans="6:34" ht="18.75" customHeight="1">
      <c r="F518" s="13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</row>
    <row r="519" spans="6:34" ht="18.75" customHeight="1">
      <c r="F519" s="13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</row>
    <row r="520" spans="6:34" ht="18.75" customHeight="1">
      <c r="F520" s="13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</row>
    <row r="521" spans="6:34" ht="18.75" customHeight="1">
      <c r="F521" s="13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</row>
    <row r="522" spans="6:34" ht="18.75" customHeight="1">
      <c r="F522" s="13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</row>
    <row r="523" spans="6:34" ht="18.75" customHeight="1">
      <c r="F523" s="13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</row>
    <row r="524" spans="6:34" ht="18.75" customHeight="1">
      <c r="F524" s="13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</row>
    <row r="525" spans="6:34" ht="18.75" customHeight="1">
      <c r="F525" s="13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</row>
    <row r="526" spans="6:34" ht="18.75" customHeight="1">
      <c r="F526" s="13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</row>
    <row r="527" spans="6:34" ht="18.75" customHeight="1">
      <c r="F527" s="13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</row>
    <row r="528" spans="6:34" ht="18.75" customHeight="1">
      <c r="F528" s="13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</row>
    <row r="529" spans="6:34" ht="18.75" customHeight="1">
      <c r="F529" s="13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</row>
    <row r="530" spans="6:34" ht="18.75" customHeight="1">
      <c r="F530" s="13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</row>
    <row r="531" spans="6:34" ht="18.75" customHeight="1">
      <c r="F531" s="13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</row>
    <row r="532" spans="6:34" ht="18.75" customHeight="1">
      <c r="F532" s="13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</row>
    <row r="533" spans="6:34" ht="18.75" customHeight="1">
      <c r="F533" s="13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</row>
    <row r="534" spans="6:34" ht="18.75" customHeight="1">
      <c r="F534" s="13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</row>
    <row r="535" spans="6:34" ht="18.75" customHeight="1">
      <c r="F535" s="13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</row>
    <row r="536" spans="6:34" ht="18.75" customHeight="1">
      <c r="F536" s="13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</row>
    <row r="537" spans="6:34" ht="18.75" customHeight="1">
      <c r="F537" s="13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</row>
    <row r="538" spans="6:34" ht="18.75" customHeight="1">
      <c r="F538" s="13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</row>
    <row r="539" spans="6:34" ht="18.75" customHeight="1">
      <c r="F539" s="13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</row>
    <row r="540" spans="6:34" ht="18.75" customHeight="1">
      <c r="F540" s="13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</row>
    <row r="541" spans="6:34" ht="18.75" customHeight="1">
      <c r="F541" s="13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</row>
    <row r="542" spans="6:34" ht="18.75" customHeight="1">
      <c r="F542" s="13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</row>
    <row r="543" spans="6:34" ht="18.75" customHeight="1">
      <c r="F543" s="13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</row>
    <row r="544" spans="6:34" ht="18.75" customHeight="1">
      <c r="F544" s="13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</row>
    <row r="545" spans="6:34" ht="18.75" customHeight="1">
      <c r="F545" s="13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</row>
    <row r="546" spans="6:34" ht="18.75" customHeight="1">
      <c r="F546" s="13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</row>
    <row r="547" spans="6:34" ht="18.75" customHeight="1">
      <c r="F547" s="13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</row>
    <row r="548" spans="6:34" ht="18.75" customHeight="1">
      <c r="F548" s="13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</row>
    <row r="549" spans="6:34" ht="18.75" customHeight="1">
      <c r="F549" s="13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</row>
    <row r="550" spans="6:34" ht="18.75" customHeight="1">
      <c r="F550" s="13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</row>
    <row r="551" spans="6:34" ht="18.75" customHeight="1">
      <c r="F551" s="13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</row>
    <row r="552" spans="6:34" ht="18.75" customHeight="1">
      <c r="F552" s="13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</row>
    <row r="553" spans="6:34" ht="18.75" customHeight="1">
      <c r="F553" s="13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</row>
    <row r="554" spans="6:34" ht="18.75" customHeight="1">
      <c r="F554" s="13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</row>
    <row r="555" spans="6:34" ht="18.75" customHeight="1">
      <c r="F555" s="13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</row>
    <row r="556" spans="6:34" ht="18.75" customHeight="1">
      <c r="F556" s="13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</row>
    <row r="557" spans="6:34" ht="18.75" customHeight="1">
      <c r="F557" s="13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</row>
    <row r="558" spans="6:34" ht="18.75" customHeight="1">
      <c r="F558" s="13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</row>
    <row r="559" spans="6:34" ht="18.75" customHeight="1">
      <c r="F559" s="13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</row>
    <row r="560" spans="6:34" ht="18.75" customHeight="1">
      <c r="F560" s="13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</row>
    <row r="561" spans="6:34" ht="18.75" customHeight="1">
      <c r="F561" s="13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</row>
    <row r="562" spans="6:34" ht="18.75" customHeight="1">
      <c r="F562" s="13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</row>
    <row r="563" spans="6:34" ht="18.75" customHeight="1">
      <c r="F563" s="13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</row>
    <row r="564" spans="6:34" ht="18.75" customHeight="1">
      <c r="F564" s="13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</row>
    <row r="565" spans="6:34" ht="18.75" customHeight="1">
      <c r="F565" s="13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</row>
    <row r="566" spans="6:34" ht="18.75" customHeight="1">
      <c r="F566" s="13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</row>
    <row r="567" spans="6:34" ht="18.75" customHeight="1">
      <c r="F567" s="13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</row>
    <row r="568" spans="6:34" ht="18.75" customHeight="1">
      <c r="F568" s="13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</row>
    <row r="569" spans="6:34" ht="18.75" customHeight="1">
      <c r="F569" s="13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</row>
    <row r="570" spans="6:34" ht="18.75" customHeight="1">
      <c r="F570" s="13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</row>
    <row r="571" spans="6:34" ht="18.75" customHeight="1">
      <c r="F571" s="13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</row>
    <row r="572" spans="6:34" ht="18.75" customHeight="1">
      <c r="F572" s="13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</row>
    <row r="573" spans="6:34" ht="18.75" customHeight="1">
      <c r="F573" s="13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</row>
    <row r="574" spans="6:34" ht="18.75" customHeight="1">
      <c r="F574" s="13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</row>
    <row r="575" spans="6:34" ht="18.75" customHeight="1">
      <c r="F575" s="13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</row>
    <row r="576" spans="6:34" ht="18.75" customHeight="1">
      <c r="F576" s="13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</row>
    <row r="577" spans="6:34" ht="18.75" customHeight="1">
      <c r="F577" s="13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</row>
    <row r="578" spans="6:34" ht="18.75" customHeight="1">
      <c r="F578" s="13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</row>
    <row r="579" spans="6:34" ht="18.75" customHeight="1">
      <c r="F579" s="13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</row>
    <row r="580" spans="6:34" ht="18.75" customHeight="1">
      <c r="F580" s="13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</row>
    <row r="581" spans="6:34" ht="18.75" customHeight="1">
      <c r="F581" s="13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</row>
    <row r="582" spans="6:34" ht="18.75" customHeight="1">
      <c r="F582" s="13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</row>
    <row r="583" spans="6:34" ht="18.75" customHeight="1">
      <c r="F583" s="13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</row>
    <row r="584" spans="6:34" ht="18.75" customHeight="1">
      <c r="F584" s="13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</row>
    <row r="585" spans="6:34" ht="18.75" customHeight="1">
      <c r="F585" s="13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</row>
    <row r="586" spans="6:34" ht="18.75" customHeight="1">
      <c r="F586" s="13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</row>
    <row r="587" spans="6:34" ht="18.75" customHeight="1">
      <c r="F587" s="13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</row>
    <row r="588" spans="6:34" ht="18.75" customHeight="1">
      <c r="F588" s="13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</row>
    <row r="589" spans="6:34" ht="18.75" customHeight="1">
      <c r="F589" s="13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</row>
    <row r="590" spans="6:34" ht="18.75" customHeight="1">
      <c r="F590" s="13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</row>
    <row r="591" spans="6:34" ht="18.75" customHeight="1">
      <c r="F591" s="13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</row>
    <row r="592" spans="6:34" ht="18.75" customHeight="1">
      <c r="F592" s="13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</row>
    <row r="593" spans="6:34" ht="18.75" customHeight="1">
      <c r="F593" s="13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</row>
    <row r="594" spans="6:34" ht="18.75" customHeight="1">
      <c r="F594" s="13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</row>
    <row r="595" spans="6:34" ht="18.75" customHeight="1">
      <c r="F595" s="13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</row>
  </sheetData>
  <mergeCells count="10">
    <mergeCell ref="AB4:AH4"/>
    <mergeCell ref="B6:E6"/>
    <mergeCell ref="A10:A24"/>
    <mergeCell ref="A25:A28"/>
    <mergeCell ref="A29:E31"/>
    <mergeCell ref="B4:E5"/>
    <mergeCell ref="F4:F7"/>
    <mergeCell ref="G4:M4"/>
    <mergeCell ref="N4:T4"/>
    <mergeCell ref="U4:AA4"/>
  </mergeCells>
  <conditionalFormatting sqref="A4:AH22 A23:A28 F23:AH28 A29:AH31">
    <cfRule type="expression" dxfId="757" priority="98">
      <formula>OR(ISNUMBER(SEARCH("PPP 1",A4)),ISNUMBER(SEARCH("PPP 2",A4)))</formula>
    </cfRule>
    <cfRule type="expression" dxfId="756" priority="99">
      <formula>ISNUMBER(SEARCH("FORM",A4))</formula>
    </cfRule>
    <cfRule type="expression" dxfId="755" priority="100">
      <formula>ISNUMBER(SEARCH("ASA",A4))</formula>
    </cfRule>
    <cfRule type="expression" dxfId="754" priority="101">
      <formula>OR(ISNUMBER(SEARCH("ATM",A4)),ISNUMBER(SEARCH("ATA",A4)))</formula>
    </cfRule>
    <cfRule type="expression" dxfId="753" priority="102">
      <formula>ISNUMBER(SEARCH("TP",A4))</formula>
    </cfRule>
    <cfRule type="expression" dxfId="752" priority="103">
      <formula>ISNUMBER(SEARCH("CSE",A4))</formula>
    </cfRule>
    <cfRule type="expression" dxfId="751" priority="104">
      <formula>ISNUMBER(SEARCH("JOK",A4))</formula>
    </cfRule>
  </conditionalFormatting>
  <conditionalFormatting sqref="B8:E22">
    <cfRule type="expression" dxfId="750" priority="197">
      <formula>ISNUMBER(SEARCH("MRP",$B8))</formula>
    </cfRule>
  </conditionalFormatting>
  <conditionalFormatting sqref="B23:E28">
    <cfRule type="expression" dxfId="749" priority="2">
      <formula>ISNUMBER(SEARCH("MRP",$B23))</formula>
    </cfRule>
  </conditionalFormatting>
  <conditionalFormatting sqref="F10:F31">
    <cfRule type="expression" dxfId="748" priority="89">
      <formula>OR(ISNUMBER(SEARCH("CA",F10)),ISNUMBER(SEARCH("RC",F10)))</formula>
    </cfRule>
  </conditionalFormatting>
  <conditionalFormatting sqref="F23:AH28 A29:AH31 A4:AH22 A23:A28">
    <cfRule type="expression" dxfId="747" priority="97">
      <formula>ISNUMBER(SEARCH("JOK",A4))</formula>
    </cfRule>
  </conditionalFormatting>
  <conditionalFormatting sqref="F25:AH31 K6:K7 N6:N22 AB6:AB24 Q7:Q22 O8:P22 R8:R22 F8:M24 S8:AA24 AC8:AH24 N23:R24">
    <cfRule type="expression" dxfId="746" priority="240">
      <formula>ISNUMBER(SEARCH("JOK",F6))</formula>
    </cfRule>
  </conditionalFormatting>
  <conditionalFormatting sqref="G27:K27">
    <cfRule type="expression" dxfId="745" priority="255">
      <formula>OR(ISNUMBER(SEARCH("PPP 1",G27)),ISNUMBER(SEARCH("PPP 2",G27)))</formula>
    </cfRule>
    <cfRule type="expression" dxfId="744" priority="256">
      <formula>ISNUMBER(SEARCH("FORM",G27))</formula>
    </cfRule>
    <cfRule type="expression" dxfId="743" priority="257">
      <formula>ISNUMBER(SEARCH("ASA",G27))</formula>
    </cfRule>
    <cfRule type="expression" dxfId="742" priority="258">
      <formula>OR(ISNUMBER(SEARCH("ATM",G27)),ISNUMBER(SEARCH("ATA",G27)))</formula>
    </cfRule>
    <cfRule type="expression" dxfId="741" priority="259">
      <formula>ISNUMBER(SEARCH("TP",G27))</formula>
    </cfRule>
    <cfRule type="expression" dxfId="740" priority="260">
      <formula>ISNUMBER(SEARCH("CSE",G27))</formula>
    </cfRule>
    <cfRule type="expression" dxfId="739" priority="261">
      <formula>OR(ISNUMBER(SEARCH("CA",G27)),ISNUMBER(SEARCH("RC",G27)))</formula>
    </cfRule>
  </conditionalFormatting>
  <conditionalFormatting sqref="G4:AH28 F29:AH31">
    <cfRule type="expression" dxfId="738" priority="105">
      <formula>OR(ISNUMBER(SEARCH("CA",F4)),ISNUMBER(SEARCH("RC",F4)))</formula>
    </cfRule>
  </conditionalFormatting>
  <conditionalFormatting sqref="G4:AH31">
    <cfRule type="expression" dxfId="737" priority="10">
      <formula>ISNUMBER(SEARCH("CA/RC ?",G4))</formula>
    </cfRule>
  </conditionalFormatting>
  <conditionalFormatting sqref="G40:AH40">
    <cfRule type="iconSet" priority="11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K6:K7 N6:N22 AB6:AB24 Q7:Q22 O8:P22 R8:R22 F8:M24 S8:AA24 AC8:AH24 N23:R24 F25:AH31">
    <cfRule type="expression" dxfId="736" priority="241">
      <formula>OR(ISNUMBER(SEARCH("PPP 1",F6)),ISNUMBER(SEARCH("PPP 2",F6)))</formula>
    </cfRule>
    <cfRule type="expression" dxfId="735" priority="242">
      <formula>ISNUMBER(SEARCH("FORM",F6))</formula>
    </cfRule>
    <cfRule type="expression" dxfId="734" priority="243">
      <formula>ISNUMBER(SEARCH("ASA",F6))</formula>
    </cfRule>
    <cfRule type="expression" dxfId="733" priority="244">
      <formula>OR(ISNUMBER(SEARCH("ATM",F6)),ISNUMBER(SEARCH("ATA",F6)))</formula>
    </cfRule>
    <cfRule type="expression" dxfId="732" priority="245">
      <formula>ISNUMBER(SEARCH("TP",F6))</formula>
    </cfRule>
    <cfRule type="expression" dxfId="731" priority="246">
      <formula>ISNUMBER(SEARCH("CSE",F6))</formula>
    </cfRule>
    <cfRule type="expression" dxfId="730" priority="247">
      <formula>OR(ISNUMBER(SEARCH("CA",F6)),ISNUMBER(SEARCH("RC",F6)))</formula>
    </cfRule>
  </conditionalFormatting>
  <conditionalFormatting sqref="K6:K7 N6:N24 AB6:AB28 Q7:Q22 O8:P22 R8:R22 F8:M24 S8:AA28 AC8:AH28 O23:R28 N24:R24 G25:N28 F25:F31 G29:AH31">
    <cfRule type="expression" dxfId="729" priority="269">
      <formula>ISNUMBER(SEARCH("FORM",F6))</formula>
    </cfRule>
    <cfRule type="expression" dxfId="728" priority="270">
      <formula>ISNUMBER(SEARCH("ASA",F6))</formula>
    </cfRule>
    <cfRule type="expression" dxfId="727" priority="271">
      <formula>OR(ISNUMBER(SEARCH("ATM",F6)),ISNUMBER(SEARCH("ATA",F6)))</formula>
    </cfRule>
    <cfRule type="expression" dxfId="726" priority="272">
      <formula>ISNUMBER(SEARCH("TP",F6))</formula>
    </cfRule>
    <cfRule type="expression" dxfId="725" priority="273">
      <formula>ISNUMBER(SEARCH("CSE",F6))</formula>
    </cfRule>
    <cfRule type="expression" dxfId="724" priority="274">
      <formula>OR(ISNUMBER(SEARCH("CA",F6)),ISNUMBER(SEARCH("RC",F6)))</formula>
    </cfRule>
  </conditionalFormatting>
  <conditionalFormatting sqref="K25 K29">
    <cfRule type="expression" dxfId="723" priority="90">
      <formula>OR(ISNUMBER(SEARCH("PPP 1",K25)),ISNUMBER(SEARCH("PPP 2",K25)))</formula>
    </cfRule>
    <cfRule type="expression" dxfId="722" priority="91">
      <formula>ISNUMBER(SEARCH("FORM",K25))</formula>
    </cfRule>
    <cfRule type="expression" dxfId="721" priority="92">
      <formula>ISNUMBER(SEARCH("ASA",K25))</formula>
    </cfRule>
    <cfRule type="expression" dxfId="720" priority="93">
      <formula>OR(ISNUMBER(SEARCH("ATM",K25)),ISNUMBER(SEARCH("ATA",K25)))</formula>
    </cfRule>
    <cfRule type="expression" dxfId="719" priority="94">
      <formula>ISNUMBER(SEARCH("TP",K25))</formula>
    </cfRule>
    <cfRule type="expression" dxfId="718" priority="95">
      <formula>ISNUMBER(SEARCH("CSE",K25))</formula>
    </cfRule>
    <cfRule type="expression" dxfId="717" priority="96">
      <formula>OR(ISNUMBER(SEARCH("CA",K25)),ISNUMBER(SEARCH("RC",K25)))</formula>
    </cfRule>
  </conditionalFormatting>
  <conditionalFormatting sqref="K25">
    <cfRule type="expression" dxfId="716" priority="3">
      <formula>OR(ISNUMBER(SEARCH("PPP 1",K25)),ISNUMBER(SEARCH("PPP 2",K25)))</formula>
    </cfRule>
    <cfRule type="expression" dxfId="715" priority="4">
      <formula>ISNUMBER(SEARCH("FORM",K25))</formula>
    </cfRule>
    <cfRule type="expression" dxfId="714" priority="5">
      <formula>ISNUMBER(SEARCH("ASA",K25))</formula>
    </cfRule>
    <cfRule type="expression" dxfId="713" priority="6">
      <formula>OR(ISNUMBER(SEARCH("ATM",K25)),ISNUMBER(SEARCH("ATA",K25)))</formula>
    </cfRule>
    <cfRule type="expression" dxfId="712" priority="7">
      <formula>ISNUMBER(SEARCH("TP",K25))</formula>
    </cfRule>
    <cfRule type="expression" dxfId="711" priority="8">
      <formula>ISNUMBER(SEARCH("CSE",K25))</formula>
    </cfRule>
    <cfRule type="expression" dxfId="710" priority="9">
      <formula>OR(ISNUMBER(SEARCH("CA",K25)),ISNUMBER(SEARCH("RC",K25)))</formula>
    </cfRule>
  </conditionalFormatting>
  <conditionalFormatting sqref="L7">
    <cfRule type="expression" dxfId="709" priority="106">
      <formula>OR(ISNUMBER(SEARCH("PPP 1",L7)),ISNUMBER(SEARCH("PPP 2",L7)))</formula>
    </cfRule>
    <cfRule type="expression" dxfId="708" priority="107">
      <formula>ISNUMBER(SEARCH("FORM",L7))</formula>
    </cfRule>
    <cfRule type="expression" dxfId="707" priority="108">
      <formula>ISNUMBER(SEARCH("ASA",L7))</formula>
    </cfRule>
    <cfRule type="expression" dxfId="706" priority="109">
      <formula>OR(ISNUMBER(SEARCH("ATM",L7)),ISNUMBER(SEARCH("ATA",L7)))</formula>
    </cfRule>
    <cfRule type="expression" dxfId="705" priority="110">
      <formula>ISNUMBER(SEARCH("TP",L7))</formula>
    </cfRule>
    <cfRule type="expression" dxfId="704" priority="111">
      <formula>ISNUMBER(SEARCH("CSE",L7))</formula>
    </cfRule>
    <cfRule type="expression" dxfId="703" priority="112">
      <formula>OR(ISNUMBER(SEARCH("CA",L7)),ISNUMBER(SEARCH("RC",L7)))</formula>
    </cfRule>
    <cfRule type="expression" dxfId="702" priority="113">
      <formula>OR(ISNUMBER(SEARCH("PPP 1",L7)),ISNUMBER(SEARCH("PPP 2",L7)))</formula>
    </cfRule>
    <cfRule type="expression" dxfId="701" priority="114">
      <formula>ISNUMBER(SEARCH("FORM",L7))</formula>
    </cfRule>
    <cfRule type="expression" dxfId="700" priority="115">
      <formula>ISNUMBER(SEARCH("ASA",L7))</formula>
    </cfRule>
    <cfRule type="expression" dxfId="699" priority="116">
      <formula>OR(ISNUMBER(SEARCH("ATM",L7)),ISNUMBER(SEARCH("ATA",L7)))</formula>
    </cfRule>
    <cfRule type="expression" dxfId="698" priority="117">
      <formula>ISNUMBER(SEARCH("TP",L7))</formula>
    </cfRule>
    <cfRule type="expression" dxfId="697" priority="118">
      <formula>ISNUMBER(SEARCH("CSE",L7))</formula>
    </cfRule>
    <cfRule type="expression" dxfId="696" priority="119">
      <formula>OR(ISNUMBER(SEARCH("CA",L7)),ISNUMBER(SEARCH("RC",L7)))</formula>
    </cfRule>
  </conditionalFormatting>
  <conditionalFormatting sqref="L25:M25 L29:M29">
    <cfRule type="expression" dxfId="695" priority="127">
      <formula>OR(ISNUMBER(SEARCH("PPP 1",L25)),ISNUMBER(SEARCH("PPP 2",L25)))</formula>
    </cfRule>
    <cfRule type="expression" dxfId="694" priority="128">
      <formula>ISNUMBER(SEARCH("FORM",L25))</formula>
    </cfRule>
    <cfRule type="expression" dxfId="693" priority="129">
      <formula>ISNUMBER(SEARCH("ASA",L25))</formula>
    </cfRule>
    <cfRule type="expression" dxfId="692" priority="130">
      <formula>OR(ISNUMBER(SEARCH("ATM",L25)),ISNUMBER(SEARCH("ATA",L25)))</formula>
    </cfRule>
    <cfRule type="expression" dxfId="691" priority="131">
      <formula>ISNUMBER(SEARCH("TP",L25))</formula>
    </cfRule>
    <cfRule type="expression" dxfId="690" priority="132">
      <formula>ISNUMBER(SEARCH("CSE",L25))</formula>
    </cfRule>
    <cfRule type="expression" dxfId="689" priority="133">
      <formula>OR(ISNUMBER(SEARCH("CA",L25)),ISNUMBER(SEARCH("RC",L25)))</formula>
    </cfRule>
  </conditionalFormatting>
  <conditionalFormatting sqref="L27:M27">
    <cfRule type="expression" dxfId="688" priority="176">
      <formula>OR(ISNUMBER(SEARCH("PPP 1",L27)),ISNUMBER(SEARCH("PPP 2",L27)))</formula>
    </cfRule>
    <cfRule type="expression" dxfId="687" priority="177">
      <formula>ISNUMBER(SEARCH("FORM",L27))</formula>
    </cfRule>
    <cfRule type="expression" dxfId="686" priority="178">
      <formula>ISNUMBER(SEARCH("ASA",L27))</formula>
    </cfRule>
    <cfRule type="expression" dxfId="685" priority="179">
      <formula>OR(ISNUMBER(SEARCH("ATM",L27)),ISNUMBER(SEARCH("ATA",L27)))</formula>
    </cfRule>
    <cfRule type="expression" dxfId="684" priority="180">
      <formula>ISNUMBER(SEARCH("TP",L27))</formula>
    </cfRule>
    <cfRule type="expression" dxfId="683" priority="181">
      <formula>ISNUMBER(SEARCH("CSE",L27))</formula>
    </cfRule>
    <cfRule type="expression" dxfId="682" priority="182">
      <formula>OR(ISNUMBER(SEARCH("CA",L27)),ISNUMBER(SEARCH("RC",L27)))</formula>
    </cfRule>
  </conditionalFormatting>
  <conditionalFormatting sqref="L28:M28">
    <cfRule type="expression" dxfId="681" priority="141">
      <formula>OR(ISNUMBER(SEARCH("PPP 1",L28)),ISNUMBER(SEARCH("PPP 2",L28)))</formula>
    </cfRule>
    <cfRule type="expression" dxfId="680" priority="142">
      <formula>ISNUMBER(SEARCH("FORM",L28))</formula>
    </cfRule>
    <cfRule type="expression" dxfId="679" priority="143">
      <formula>ISNUMBER(SEARCH("ASA",L28))</formula>
    </cfRule>
    <cfRule type="expression" dxfId="678" priority="144">
      <formula>OR(ISNUMBER(SEARCH("ATM",L28)),ISNUMBER(SEARCH("ATA",L28)))</formula>
    </cfRule>
    <cfRule type="expression" dxfId="677" priority="145">
      <formula>ISNUMBER(SEARCH("TP",L28))</formula>
    </cfRule>
    <cfRule type="expression" dxfId="676" priority="146">
      <formula>ISNUMBER(SEARCH("CSE",L28))</formula>
    </cfRule>
    <cfRule type="expression" dxfId="675" priority="147">
      <formula>OR(ISNUMBER(SEARCH("CA",L28)),ISNUMBER(SEARCH("RC",L28)))</formula>
    </cfRule>
  </conditionalFormatting>
  <conditionalFormatting sqref="L25:R25">
    <cfRule type="expression" dxfId="674" priority="233">
      <formula>OR(ISNUMBER(SEARCH("PPP 1",L25)),ISNUMBER(SEARCH("PPP 2",L25)))</formula>
    </cfRule>
    <cfRule type="expression" dxfId="673" priority="234">
      <formula>ISNUMBER(SEARCH("FORM",L25))</formula>
    </cfRule>
    <cfRule type="expression" dxfId="672" priority="235">
      <formula>ISNUMBER(SEARCH("ASA",L25))</formula>
    </cfRule>
    <cfRule type="expression" dxfId="671" priority="236">
      <formula>OR(ISNUMBER(SEARCH("ATM",L25)),ISNUMBER(SEARCH("ATA",L25)))</formula>
    </cfRule>
    <cfRule type="expression" dxfId="670" priority="237">
      <formula>ISNUMBER(SEARCH("TP",L25))</formula>
    </cfRule>
    <cfRule type="expression" dxfId="669" priority="238">
      <formula>ISNUMBER(SEARCH("CSE",L25))</formula>
    </cfRule>
    <cfRule type="expression" dxfId="668" priority="239">
      <formula>OR(ISNUMBER(SEARCH("CA",L25)),ISNUMBER(SEARCH("RC",L25)))</formula>
    </cfRule>
  </conditionalFormatting>
  <conditionalFormatting sqref="M25:M26 M29">
    <cfRule type="expression" dxfId="667" priority="120">
      <formula>OR(ISNUMBER(SEARCH("PPP 1",M25)),ISNUMBER(SEARCH("PPP 2",M25)))</formula>
    </cfRule>
    <cfRule type="expression" dxfId="666" priority="121">
      <formula>ISNUMBER(SEARCH("FORM",M25))</formula>
    </cfRule>
    <cfRule type="expression" dxfId="665" priority="122">
      <formula>ISNUMBER(SEARCH("ASA",M25))</formula>
    </cfRule>
    <cfRule type="expression" dxfId="664" priority="123">
      <formula>OR(ISNUMBER(SEARCH("ATM",M25)),ISNUMBER(SEARCH("ATA",M25)))</formula>
    </cfRule>
    <cfRule type="expression" dxfId="663" priority="124">
      <formula>ISNUMBER(SEARCH("TP",M25))</formula>
    </cfRule>
    <cfRule type="expression" dxfId="662" priority="125">
      <formula>ISNUMBER(SEARCH("CSE",M25))</formula>
    </cfRule>
    <cfRule type="expression" dxfId="661" priority="126">
      <formula>OR(ISNUMBER(SEARCH("CA",M25)),ISNUMBER(SEARCH("RC",M25)))</formula>
    </cfRule>
  </conditionalFormatting>
  <conditionalFormatting sqref="M25:M27">
    <cfRule type="expression" dxfId="660" priority="212">
      <formula>OR(ISNUMBER(SEARCH("PPP 1",M25)),ISNUMBER(SEARCH("PPP 2",M25)))</formula>
    </cfRule>
    <cfRule type="expression" dxfId="659" priority="213">
      <formula>ISNUMBER(SEARCH("FORM",M25))</formula>
    </cfRule>
    <cfRule type="expression" dxfId="658" priority="214">
      <formula>ISNUMBER(SEARCH("ASA",M25))</formula>
    </cfRule>
    <cfRule type="expression" dxfId="657" priority="215">
      <formula>OR(ISNUMBER(SEARCH("ATM",M25)),ISNUMBER(SEARCH("ATA",M25)))</formula>
    </cfRule>
    <cfRule type="expression" dxfId="656" priority="216">
      <formula>ISNUMBER(SEARCH("TP",M25))</formula>
    </cfRule>
    <cfRule type="expression" dxfId="655" priority="217">
      <formula>ISNUMBER(SEARCH("CSE",M25))</formula>
    </cfRule>
    <cfRule type="expression" dxfId="654" priority="218">
      <formula>OR(ISNUMBER(SEARCH("CA",M25)),ISNUMBER(SEARCH("RC",M25)))</formula>
    </cfRule>
  </conditionalFormatting>
  <conditionalFormatting sqref="M27:M28">
    <cfRule type="expression" dxfId="653" priority="169">
      <formula>OR(ISNUMBER(SEARCH("PPP 1",M27)),ISNUMBER(SEARCH("PPP 2",M27)))</formula>
    </cfRule>
    <cfRule type="expression" dxfId="652" priority="170">
      <formula>ISNUMBER(SEARCH("FORM",M27))</formula>
    </cfRule>
    <cfRule type="expression" dxfId="651" priority="171">
      <formula>ISNUMBER(SEARCH("ASA",M27))</formula>
    </cfRule>
    <cfRule type="expression" dxfId="650" priority="172">
      <formula>OR(ISNUMBER(SEARCH("ATM",M27)),ISNUMBER(SEARCH("ATA",M27)))</formula>
    </cfRule>
    <cfRule type="expression" dxfId="649" priority="173">
      <formula>ISNUMBER(SEARCH("TP",M27))</formula>
    </cfRule>
    <cfRule type="expression" dxfId="648" priority="174">
      <formula>ISNUMBER(SEARCH("CSE",M27))</formula>
    </cfRule>
    <cfRule type="expression" dxfId="647" priority="175">
      <formula>OR(ISNUMBER(SEARCH("CA",M27)),ISNUMBER(SEARCH("RC",M27)))</formula>
    </cfRule>
  </conditionalFormatting>
  <conditionalFormatting sqref="M28:M29">
    <cfRule type="expression" dxfId="646" priority="134">
      <formula>OR(ISNUMBER(SEARCH("PPP 1",M28)),ISNUMBER(SEARCH("PPP 2",M28)))</formula>
    </cfRule>
    <cfRule type="expression" dxfId="645" priority="135">
      <formula>ISNUMBER(SEARCH("FORM",M28))</formula>
    </cfRule>
    <cfRule type="expression" dxfId="644" priority="136">
      <formula>ISNUMBER(SEARCH("ASA",M28))</formula>
    </cfRule>
    <cfRule type="expression" dxfId="643" priority="137">
      <formula>OR(ISNUMBER(SEARCH("ATM",M28)),ISNUMBER(SEARCH("ATA",M28)))</formula>
    </cfRule>
    <cfRule type="expression" dxfId="642" priority="138">
      <formula>ISNUMBER(SEARCH("TP",M28))</formula>
    </cfRule>
    <cfRule type="expression" dxfId="641" priority="139">
      <formula>ISNUMBER(SEARCH("CSE",M28))</formula>
    </cfRule>
    <cfRule type="expression" dxfId="640" priority="140">
      <formula>OR(ISNUMBER(SEARCH("CA",M28)),ISNUMBER(SEARCH("RC",M28)))</formula>
    </cfRule>
  </conditionalFormatting>
  <conditionalFormatting sqref="O26">
    <cfRule type="expression" dxfId="639" priority="205">
      <formula>OR(ISNUMBER(SEARCH("PPP 1",O26)),ISNUMBER(SEARCH("PPP 2",O26)))</formula>
    </cfRule>
    <cfRule type="expression" dxfId="638" priority="206">
      <formula>ISNUMBER(SEARCH("FORM",O26))</formula>
    </cfRule>
    <cfRule type="expression" dxfId="637" priority="207">
      <formula>ISNUMBER(SEARCH("ASA",O26))</formula>
    </cfRule>
    <cfRule type="expression" dxfId="636" priority="208">
      <formula>OR(ISNUMBER(SEARCH("ATM",O26)),ISNUMBER(SEARCH("ATA",O26)))</formula>
    </cfRule>
    <cfRule type="expression" dxfId="635" priority="209">
      <formula>ISNUMBER(SEARCH("TP",O26))</formula>
    </cfRule>
    <cfRule type="expression" dxfId="634" priority="210">
      <formula>ISNUMBER(SEARCH("CSE",O26))</formula>
    </cfRule>
    <cfRule type="expression" dxfId="633" priority="211">
      <formula>OR(ISNUMBER(SEARCH("CA",O26)),ISNUMBER(SEARCH("RC",O26)))</formula>
    </cfRule>
  </conditionalFormatting>
  <conditionalFormatting sqref="S27:T27">
    <cfRule type="expression" dxfId="632" priority="190">
      <formula>OR(ISNUMBER(SEARCH("PPP 1",S27)),ISNUMBER(SEARCH("PPP 2",S27)))</formula>
    </cfRule>
    <cfRule type="expression" dxfId="631" priority="191">
      <formula>ISNUMBER(SEARCH("FORM",S27))</formula>
    </cfRule>
    <cfRule type="expression" dxfId="630" priority="192">
      <formula>ISNUMBER(SEARCH("ASA",S27))</formula>
    </cfRule>
    <cfRule type="expression" dxfId="629" priority="193">
      <formula>OR(ISNUMBER(SEARCH("ATM",S27)),ISNUMBER(SEARCH("ATA",S27)))</formula>
    </cfRule>
    <cfRule type="expression" dxfId="628" priority="194">
      <formula>ISNUMBER(SEARCH("TP",S27))</formula>
    </cfRule>
    <cfRule type="expression" dxfId="627" priority="195">
      <formula>ISNUMBER(SEARCH("CSE",S27))</formula>
    </cfRule>
    <cfRule type="expression" dxfId="626" priority="196">
      <formula>OR(ISNUMBER(SEARCH("CA",S27)),ISNUMBER(SEARCH("RC",S27)))</formula>
    </cfRule>
  </conditionalFormatting>
  <conditionalFormatting sqref="S28:T28">
    <cfRule type="expression" dxfId="625" priority="162">
      <formula>OR(ISNUMBER(SEARCH("PPP 1",S28)),ISNUMBER(SEARCH("PPP 2",S28)))</formula>
    </cfRule>
    <cfRule type="expression" dxfId="624" priority="163">
      <formula>ISNUMBER(SEARCH("FORM",S28))</formula>
    </cfRule>
    <cfRule type="expression" dxfId="623" priority="164">
      <formula>ISNUMBER(SEARCH("ASA",S28))</formula>
    </cfRule>
    <cfRule type="expression" dxfId="622" priority="165">
      <formula>OR(ISNUMBER(SEARCH("ATM",S28)),ISNUMBER(SEARCH("ATA",S28)))</formula>
    </cfRule>
    <cfRule type="expression" dxfId="621" priority="166">
      <formula>ISNUMBER(SEARCH("TP",S28))</formula>
    </cfRule>
    <cfRule type="expression" dxfId="620" priority="167">
      <formula>ISNUMBER(SEARCH("CSE",S28))</formula>
    </cfRule>
    <cfRule type="expression" dxfId="619" priority="168">
      <formula>OR(ISNUMBER(SEARCH("CA",S28)),ISNUMBER(SEARCH("RC",S28)))</formula>
    </cfRule>
  </conditionalFormatting>
  <conditionalFormatting sqref="S29:T29">
    <cfRule type="expression" dxfId="618" priority="82">
      <formula>OR(ISNUMBER(SEARCH("PPP 1",S29)),ISNUMBER(SEARCH("PPP 2",S29)))</formula>
    </cfRule>
    <cfRule type="expression" dxfId="617" priority="83">
      <formula>ISNUMBER(SEARCH("FORM",S29))</formula>
    </cfRule>
    <cfRule type="expression" dxfId="616" priority="84">
      <formula>ISNUMBER(SEARCH("ASA",S29))</formula>
    </cfRule>
    <cfRule type="expression" dxfId="615" priority="85">
      <formula>OR(ISNUMBER(SEARCH("ATM",S29)),ISNUMBER(SEARCH("ATA",S29)))</formula>
    </cfRule>
    <cfRule type="expression" dxfId="614" priority="86">
      <formula>ISNUMBER(SEARCH("TP",S29))</formula>
    </cfRule>
    <cfRule type="expression" dxfId="613" priority="87">
      <formula>ISNUMBER(SEARCH("CSE",S29))</formula>
    </cfRule>
    <cfRule type="expression" dxfId="612" priority="88">
      <formula>OR(ISNUMBER(SEARCH("CA",S29)),ISNUMBER(SEARCH("RC",S29)))</formula>
    </cfRule>
  </conditionalFormatting>
  <conditionalFormatting sqref="T25">
    <cfRule type="expression" dxfId="611" priority="155">
      <formula>OR(ISNUMBER(SEARCH("PPP 1",T25)),ISNUMBER(SEARCH("PPP 2",T25)))</formula>
    </cfRule>
    <cfRule type="expression" dxfId="610" priority="156">
      <formula>ISNUMBER(SEARCH("FORM",T25))</formula>
    </cfRule>
    <cfRule type="expression" dxfId="609" priority="157">
      <formula>ISNUMBER(SEARCH("ASA",T25))</formula>
    </cfRule>
    <cfRule type="expression" dxfId="608" priority="158">
      <formula>OR(ISNUMBER(SEARCH("ATM",T25)),ISNUMBER(SEARCH("ATA",T25)))</formula>
    </cfRule>
    <cfRule type="expression" dxfId="607" priority="159">
      <formula>ISNUMBER(SEARCH("TP",T25))</formula>
    </cfRule>
    <cfRule type="expression" dxfId="606" priority="160">
      <formula>ISNUMBER(SEARCH("CSE",T25))</formula>
    </cfRule>
    <cfRule type="expression" dxfId="605" priority="161">
      <formula>OR(ISNUMBER(SEARCH("CA",T25)),ISNUMBER(SEARCH("RC",T25)))</formula>
    </cfRule>
  </conditionalFormatting>
  <conditionalFormatting sqref="T27:T28">
    <cfRule type="expression" dxfId="604" priority="183">
      <formula>OR(ISNUMBER(SEARCH("PPP 1",T27)),ISNUMBER(SEARCH("PPP 2",T27)))</formula>
    </cfRule>
    <cfRule type="expression" dxfId="603" priority="184">
      <formula>ISNUMBER(SEARCH("FORM",T27))</formula>
    </cfRule>
    <cfRule type="expression" dxfId="602" priority="185">
      <formula>ISNUMBER(SEARCH("ASA",T27))</formula>
    </cfRule>
    <cfRule type="expression" dxfId="601" priority="186">
      <formula>OR(ISNUMBER(SEARCH("ATM",T27)),ISNUMBER(SEARCH("ATA",T27)))</formula>
    </cfRule>
    <cfRule type="expression" dxfId="600" priority="187">
      <formula>ISNUMBER(SEARCH("TP",T27))</formula>
    </cfRule>
    <cfRule type="expression" dxfId="599" priority="188">
      <formula>ISNUMBER(SEARCH("CSE",T27))</formula>
    </cfRule>
    <cfRule type="expression" dxfId="598" priority="189">
      <formula>OR(ISNUMBER(SEARCH("CA",T27)),ISNUMBER(SEARCH("RC",T27)))</formula>
    </cfRule>
  </conditionalFormatting>
  <conditionalFormatting sqref="T28:T29">
    <cfRule type="expression" dxfId="597" priority="148">
      <formula>OR(ISNUMBER(SEARCH("PPP 1",T28)),ISNUMBER(SEARCH("PPP 2",T28)))</formula>
    </cfRule>
    <cfRule type="expression" dxfId="596" priority="149">
      <formula>ISNUMBER(SEARCH("FORM",T28))</formula>
    </cfRule>
    <cfRule type="expression" dxfId="595" priority="150">
      <formula>ISNUMBER(SEARCH("ASA",T28))</formula>
    </cfRule>
    <cfRule type="expression" dxfId="594" priority="151">
      <formula>OR(ISNUMBER(SEARCH("ATM",T28)),ISNUMBER(SEARCH("ATA",T28)))</formula>
    </cfRule>
    <cfRule type="expression" dxfId="593" priority="152">
      <formula>ISNUMBER(SEARCH("TP",T28))</formula>
    </cfRule>
    <cfRule type="expression" dxfId="592" priority="153">
      <formula>ISNUMBER(SEARCH("CSE",T28))</formula>
    </cfRule>
    <cfRule type="expression" dxfId="591" priority="154">
      <formula>OR(ISNUMBER(SEARCH("CA",T28)),ISNUMBER(SEARCH("RC",T28)))</formula>
    </cfRule>
  </conditionalFormatting>
  <conditionalFormatting sqref="T29">
    <cfRule type="expression" dxfId="590" priority="68">
      <formula>OR(ISNUMBER(SEARCH("PPP 1",T29)),ISNUMBER(SEARCH("PPP 2",T29)))</formula>
    </cfRule>
    <cfRule type="expression" dxfId="589" priority="69">
      <formula>ISNUMBER(SEARCH("FORM",T29))</formula>
    </cfRule>
    <cfRule type="expression" dxfId="588" priority="70">
      <formula>ISNUMBER(SEARCH("ASA",T29))</formula>
    </cfRule>
    <cfRule type="expression" dxfId="587" priority="71">
      <formula>OR(ISNUMBER(SEARCH("ATM",T29)),ISNUMBER(SEARCH("ATA",T29)))</formula>
    </cfRule>
    <cfRule type="expression" dxfId="586" priority="72">
      <formula>ISNUMBER(SEARCH("TP",T29))</formula>
    </cfRule>
    <cfRule type="expression" dxfId="585" priority="73">
      <formula>ISNUMBER(SEARCH("CSE",T29))</formula>
    </cfRule>
    <cfRule type="expression" dxfId="584" priority="74">
      <formula>OR(ISNUMBER(SEARCH("CA",T29)),ISNUMBER(SEARCH("RC",T29)))</formula>
    </cfRule>
    <cfRule type="expression" dxfId="583" priority="75">
      <formula>OR(ISNUMBER(SEARCH("PPP 1",T29)),ISNUMBER(SEARCH("PPP 2",T29)))</formula>
    </cfRule>
    <cfRule type="expression" dxfId="582" priority="76">
      <formula>ISNUMBER(SEARCH("FORM",T29))</formula>
    </cfRule>
    <cfRule type="expression" dxfId="581" priority="77">
      <formula>ISNUMBER(SEARCH("ASA",T29))</formula>
    </cfRule>
    <cfRule type="expression" dxfId="580" priority="78">
      <formula>OR(ISNUMBER(SEARCH("ATM",T29)),ISNUMBER(SEARCH("ATA",T29)))</formula>
    </cfRule>
    <cfRule type="expression" dxfId="579" priority="79">
      <formula>ISNUMBER(SEARCH("TP",T29))</formula>
    </cfRule>
    <cfRule type="expression" dxfId="578" priority="80">
      <formula>ISNUMBER(SEARCH("CSE",T29))</formula>
    </cfRule>
    <cfRule type="expression" dxfId="577" priority="81">
      <formula>OR(ISNUMBER(SEARCH("CA",T29)),ISNUMBER(SEARCH("RC",T29)))</formula>
    </cfRule>
  </conditionalFormatting>
  <conditionalFormatting sqref="Z25:AA25">
    <cfRule type="expression" dxfId="576" priority="226">
      <formula>OR(ISNUMBER(SEARCH("PPP 1",Z25)),ISNUMBER(SEARCH("PPP 2",Z25)))</formula>
    </cfRule>
    <cfRule type="expression" dxfId="575" priority="227">
      <formula>ISNUMBER(SEARCH("FORM",Z25))</formula>
    </cfRule>
    <cfRule type="expression" dxfId="574" priority="228">
      <formula>ISNUMBER(SEARCH("ASA",Z25))</formula>
    </cfRule>
    <cfRule type="expression" dxfId="573" priority="229">
      <formula>OR(ISNUMBER(SEARCH("ATM",Z25)),ISNUMBER(SEARCH("ATA",Z25)))</formula>
    </cfRule>
    <cfRule type="expression" dxfId="572" priority="230">
      <formula>ISNUMBER(SEARCH("TP",Z25))</formula>
    </cfRule>
    <cfRule type="expression" dxfId="571" priority="231">
      <formula>ISNUMBER(SEARCH("CSE",Z25))</formula>
    </cfRule>
    <cfRule type="expression" dxfId="570" priority="232">
      <formula>OR(ISNUMBER(SEARCH("CA",Z25)),ISNUMBER(SEARCH("RC",Z25)))</formula>
    </cfRule>
  </conditionalFormatting>
  <conditionalFormatting sqref="Z29:AA29">
    <cfRule type="expression" dxfId="569" priority="61">
      <formula>OR(ISNUMBER(SEARCH("PPP 1",Z29)),ISNUMBER(SEARCH("PPP 2",Z29)))</formula>
    </cfRule>
    <cfRule type="expression" dxfId="568" priority="62">
      <formula>ISNUMBER(SEARCH("FORM",Z29))</formula>
    </cfRule>
    <cfRule type="expression" dxfId="567" priority="63">
      <formula>ISNUMBER(SEARCH("ASA",Z29))</formula>
    </cfRule>
    <cfRule type="expression" dxfId="566" priority="64">
      <formula>OR(ISNUMBER(SEARCH("ATM",Z29)),ISNUMBER(SEARCH("ATA",Z29)))</formula>
    </cfRule>
    <cfRule type="expression" dxfId="565" priority="65">
      <formula>ISNUMBER(SEARCH("TP",Z29))</formula>
    </cfRule>
    <cfRule type="expression" dxfId="564" priority="66">
      <formula>ISNUMBER(SEARCH("CSE",Z29))</formula>
    </cfRule>
    <cfRule type="expression" dxfId="563" priority="67">
      <formula>OR(ISNUMBER(SEARCH("CA",Z29)),ISNUMBER(SEARCH("RC",Z29)))</formula>
    </cfRule>
  </conditionalFormatting>
  <conditionalFormatting sqref="AA25:AA26">
    <cfRule type="expression" dxfId="562" priority="219">
      <formula>OR(ISNUMBER(SEARCH("PPP 1",AA25)),ISNUMBER(SEARCH("PPP 2",AA25)))</formula>
    </cfRule>
    <cfRule type="expression" dxfId="561" priority="220">
      <formula>ISNUMBER(SEARCH("FORM",AA25))</formula>
    </cfRule>
    <cfRule type="expression" dxfId="560" priority="221">
      <formula>ISNUMBER(SEARCH("ASA",AA25))</formula>
    </cfRule>
    <cfRule type="expression" dxfId="559" priority="222">
      <formula>OR(ISNUMBER(SEARCH("ATM",AA25)),ISNUMBER(SEARCH("ATA",AA25)))</formula>
    </cfRule>
    <cfRule type="expression" dxfId="558" priority="223">
      <formula>ISNUMBER(SEARCH("TP",AA25))</formula>
    </cfRule>
    <cfRule type="expression" dxfId="557" priority="224">
      <formula>ISNUMBER(SEARCH("CSE",AA25))</formula>
    </cfRule>
    <cfRule type="expression" dxfId="556" priority="225">
      <formula>OR(ISNUMBER(SEARCH("CA",AA25)),ISNUMBER(SEARCH("RC",AA25)))</formula>
    </cfRule>
  </conditionalFormatting>
  <conditionalFormatting sqref="AA29">
    <cfRule type="expression" dxfId="555" priority="40">
      <formula>OR(ISNUMBER(SEARCH("PPP 1",AA29)),ISNUMBER(SEARCH("PPP 2",AA29)))</formula>
    </cfRule>
    <cfRule type="expression" dxfId="554" priority="41">
      <formula>ISNUMBER(SEARCH("FORM",AA29))</formula>
    </cfRule>
    <cfRule type="expression" dxfId="553" priority="42">
      <formula>ISNUMBER(SEARCH("ASA",AA29))</formula>
    </cfRule>
    <cfRule type="expression" dxfId="552" priority="43">
      <formula>OR(ISNUMBER(SEARCH("ATM",AA29)),ISNUMBER(SEARCH("ATA",AA29)))</formula>
    </cfRule>
    <cfRule type="expression" dxfId="551" priority="44">
      <formula>ISNUMBER(SEARCH("TP",AA29))</formula>
    </cfRule>
    <cfRule type="expression" dxfId="550" priority="45">
      <formula>ISNUMBER(SEARCH("CSE",AA29))</formula>
    </cfRule>
    <cfRule type="expression" dxfId="549" priority="46">
      <formula>OR(ISNUMBER(SEARCH("CA",AA29)),ISNUMBER(SEARCH("RC",AA29)))</formula>
    </cfRule>
    <cfRule type="expression" dxfId="548" priority="47">
      <formula>OR(ISNUMBER(SEARCH("PPP 1",AA29)),ISNUMBER(SEARCH("PPP 2",AA29)))</formula>
    </cfRule>
    <cfRule type="expression" dxfId="547" priority="48">
      <formula>ISNUMBER(SEARCH("FORM",AA29))</formula>
    </cfRule>
    <cfRule type="expression" dxfId="546" priority="49">
      <formula>ISNUMBER(SEARCH("ASA",AA29))</formula>
    </cfRule>
    <cfRule type="expression" dxfId="545" priority="50">
      <formula>OR(ISNUMBER(SEARCH("ATM",AA29)),ISNUMBER(SEARCH("ATA",AA29)))</formula>
    </cfRule>
    <cfRule type="expression" dxfId="544" priority="51">
      <formula>ISNUMBER(SEARCH("TP",AA29))</formula>
    </cfRule>
    <cfRule type="expression" dxfId="543" priority="52">
      <formula>ISNUMBER(SEARCH("CSE",AA29))</formula>
    </cfRule>
    <cfRule type="expression" dxfId="542" priority="53">
      <formula>OR(ISNUMBER(SEARCH("CA",AA29)),ISNUMBER(SEARCH("RC",AA29)))</formula>
    </cfRule>
    <cfRule type="expression" dxfId="541" priority="54">
      <formula>OR(ISNUMBER(SEARCH("PPP 1",AA29)),ISNUMBER(SEARCH("PPP 2",AA29)))</formula>
    </cfRule>
    <cfRule type="expression" dxfId="540" priority="55">
      <formula>ISNUMBER(SEARCH("FORM",AA29))</formula>
    </cfRule>
    <cfRule type="expression" dxfId="539" priority="56">
      <formula>ISNUMBER(SEARCH("ASA",AA29))</formula>
    </cfRule>
    <cfRule type="expression" dxfId="538" priority="57">
      <formula>OR(ISNUMBER(SEARCH("ATM",AA29)),ISNUMBER(SEARCH("ATA",AA29)))</formula>
    </cfRule>
    <cfRule type="expression" dxfId="537" priority="58">
      <formula>ISNUMBER(SEARCH("TP",AA29))</formula>
    </cfRule>
    <cfRule type="expression" dxfId="536" priority="59">
      <formula>ISNUMBER(SEARCH("CSE",AA29))</formula>
    </cfRule>
    <cfRule type="expression" dxfId="535" priority="60">
      <formula>OR(ISNUMBER(SEARCH("CA",AA29)),ISNUMBER(SEARCH("RC",AA29)))</formula>
    </cfRule>
  </conditionalFormatting>
  <conditionalFormatting sqref="AB6:AB28 AC8:AH28 G25:N28 K6:K7 N6:N24 Q7:Q22 O8:P22 R8:R22 F8:M24 S8:AA28 O23:R28 N24:R24 F25:F31 G29:AH31">
    <cfRule type="expression" dxfId="534" priority="268">
      <formula>OR(ISNUMBER(SEARCH("PPP 1",F6)),ISNUMBER(SEARCH("PPP 2",F6)))</formula>
    </cfRule>
  </conditionalFormatting>
  <conditionalFormatting sqref="AB25:AC25">
    <cfRule type="expression" dxfId="533" priority="262">
      <formula>OR(ISNUMBER(SEARCH("PPP 1",AB25)),ISNUMBER(SEARCH("PPP 2",AB25)))</formula>
    </cfRule>
    <cfRule type="expression" dxfId="532" priority="263">
      <formula>ISNUMBER(SEARCH("ASA",AB25))</formula>
    </cfRule>
    <cfRule type="expression" dxfId="531" priority="264">
      <formula>OR(ISNUMBER(SEARCH("ATM",AB25)),ISNUMBER(SEARCH("ATA",AB25)))</formula>
    </cfRule>
    <cfRule type="expression" dxfId="530" priority="265">
      <formula>ISNUMBER(SEARCH("TP",AB25))</formula>
    </cfRule>
    <cfRule type="expression" dxfId="529" priority="266">
      <formula>ISNUMBER(SEARCH("CSE",AB25))</formula>
    </cfRule>
    <cfRule type="expression" dxfId="528" priority="267">
      <formula>OR(ISNUMBER(SEARCH("CA",AB25)),ISNUMBER(SEARCH("RC",AB25)))</formula>
    </cfRule>
  </conditionalFormatting>
  <conditionalFormatting sqref="AB27:AC27">
    <cfRule type="expression" dxfId="527" priority="198">
      <formula>OR(ISNUMBER(SEARCH("PPP 1",AB27)),ISNUMBER(SEARCH("PPP 2",AB27)))</formula>
    </cfRule>
    <cfRule type="expression" dxfId="526" priority="199">
      <formula>ISNUMBER(SEARCH("FORM",AB27))</formula>
    </cfRule>
    <cfRule type="expression" dxfId="525" priority="200">
      <formula>ISNUMBER(SEARCH("ASA",AB27))</formula>
    </cfRule>
    <cfRule type="expression" dxfId="524" priority="201">
      <formula>OR(ISNUMBER(SEARCH("ATM",AB27)),ISNUMBER(SEARCH("ATA",AB27)))</formula>
    </cfRule>
    <cfRule type="expression" dxfId="523" priority="202">
      <formula>ISNUMBER(SEARCH("TP",AB27))</formula>
    </cfRule>
    <cfRule type="expression" dxfId="522" priority="203">
      <formula>ISNUMBER(SEARCH("CSE",AB27))</formula>
    </cfRule>
    <cfRule type="expression" dxfId="521" priority="204">
      <formula>OR(ISNUMBER(SEARCH("CA",AB27)),ISNUMBER(SEARCH("RC",AB27)))</formula>
    </cfRule>
  </conditionalFormatting>
  <conditionalFormatting sqref="AD27:AF27">
    <cfRule type="expression" dxfId="520" priority="248">
      <formula>OR(ISNUMBER(SEARCH("PPP 1",AD27)),ISNUMBER(SEARCH("PPP 2",AD27)))</formula>
    </cfRule>
    <cfRule type="expression" dxfId="519" priority="249">
      <formula>ISNUMBER(SEARCH("FORM",AD27))</formula>
    </cfRule>
    <cfRule type="expression" dxfId="518" priority="250">
      <formula>ISNUMBER(SEARCH("ASA",AD27))</formula>
    </cfRule>
    <cfRule type="expression" dxfId="517" priority="251">
      <formula>OR(ISNUMBER(SEARCH("ATM",AD27)),ISNUMBER(SEARCH("ATA",AD27)))</formula>
    </cfRule>
    <cfRule type="expression" dxfId="516" priority="252">
      <formula>ISNUMBER(SEARCH("TP",AD27))</formula>
    </cfRule>
    <cfRule type="expression" dxfId="515" priority="253">
      <formula>ISNUMBER(SEARCH("CSE",AD27))</formula>
    </cfRule>
    <cfRule type="expression" dxfId="514" priority="254">
      <formula>OR(ISNUMBER(SEARCH("CA",AD27)),ISNUMBER(SEARCH("RC",AD27)))</formula>
    </cfRule>
  </conditionalFormatting>
  <conditionalFormatting sqref="AG29:AH29">
    <cfRule type="expression" dxfId="513" priority="33">
      <formula>OR(ISNUMBER(SEARCH("PPP 1",AG29)),ISNUMBER(SEARCH("PPP 2",AG29)))</formula>
    </cfRule>
    <cfRule type="expression" dxfId="512" priority="34">
      <formula>ISNUMBER(SEARCH("FORM",AG29))</formula>
    </cfRule>
    <cfRule type="expression" dxfId="511" priority="35">
      <formula>ISNUMBER(SEARCH("ASA",AG29))</formula>
    </cfRule>
    <cfRule type="expression" dxfId="510" priority="36">
      <formula>OR(ISNUMBER(SEARCH("ATM",AG29)),ISNUMBER(SEARCH("ATA",AG29)))</formula>
    </cfRule>
    <cfRule type="expression" dxfId="509" priority="37">
      <formula>ISNUMBER(SEARCH("TP",AG29))</formula>
    </cfRule>
    <cfRule type="expression" dxfId="508" priority="38">
      <formula>ISNUMBER(SEARCH("CSE",AG29))</formula>
    </cfRule>
    <cfRule type="expression" dxfId="507" priority="39">
      <formula>OR(ISNUMBER(SEARCH("CA",AG29)),ISNUMBER(SEARCH("RC",AG29)))</formula>
    </cfRule>
  </conditionalFormatting>
  <conditionalFormatting sqref="AH29">
    <cfRule type="expression" dxfId="506" priority="12">
      <formula>OR(ISNUMBER(SEARCH("PPP 1",AH29)),ISNUMBER(SEARCH("PPP 2",AH29)))</formula>
    </cfRule>
    <cfRule type="expression" dxfId="505" priority="13">
      <formula>ISNUMBER(SEARCH("FORM",AH29))</formula>
    </cfRule>
    <cfRule type="expression" dxfId="504" priority="14">
      <formula>ISNUMBER(SEARCH("ASA",AH29))</formula>
    </cfRule>
    <cfRule type="expression" dxfId="503" priority="15">
      <formula>OR(ISNUMBER(SEARCH("ATM",AH29)),ISNUMBER(SEARCH("ATA",AH29)))</formula>
    </cfRule>
    <cfRule type="expression" dxfId="502" priority="16">
      <formula>ISNUMBER(SEARCH("TP",AH29))</formula>
    </cfRule>
    <cfRule type="expression" dxfId="501" priority="17">
      <formula>ISNUMBER(SEARCH("CSE",AH29))</formula>
    </cfRule>
    <cfRule type="expression" dxfId="500" priority="18">
      <formula>OR(ISNUMBER(SEARCH("CA",AH29)),ISNUMBER(SEARCH("RC",AH29)))</formula>
    </cfRule>
    <cfRule type="expression" dxfId="499" priority="19">
      <formula>OR(ISNUMBER(SEARCH("PPP 1",AH29)),ISNUMBER(SEARCH("PPP 2",AH29)))</formula>
    </cfRule>
    <cfRule type="expression" dxfId="498" priority="20">
      <formula>ISNUMBER(SEARCH("FORM",AH29))</formula>
    </cfRule>
    <cfRule type="expression" dxfId="497" priority="21">
      <formula>ISNUMBER(SEARCH("ASA",AH29))</formula>
    </cfRule>
    <cfRule type="expression" dxfId="496" priority="22">
      <formula>OR(ISNUMBER(SEARCH("ATM",AH29)),ISNUMBER(SEARCH("ATA",AH29)))</formula>
    </cfRule>
    <cfRule type="expression" dxfId="495" priority="23">
      <formula>ISNUMBER(SEARCH("TP",AH29))</formula>
    </cfRule>
    <cfRule type="expression" dxfId="494" priority="24">
      <formula>ISNUMBER(SEARCH("CSE",AH29))</formula>
    </cfRule>
    <cfRule type="expression" dxfId="493" priority="25">
      <formula>OR(ISNUMBER(SEARCH("CA",AH29)),ISNUMBER(SEARCH("RC",AH29)))</formula>
    </cfRule>
    <cfRule type="expression" dxfId="492" priority="26">
      <formula>OR(ISNUMBER(SEARCH("PPP 1",AH29)),ISNUMBER(SEARCH("PPP 2",AH29)))</formula>
    </cfRule>
    <cfRule type="expression" dxfId="491" priority="27">
      <formula>ISNUMBER(SEARCH("FORM",AH29))</formula>
    </cfRule>
    <cfRule type="expression" dxfId="490" priority="28">
      <formula>ISNUMBER(SEARCH("ASA",AH29))</formula>
    </cfRule>
    <cfRule type="expression" dxfId="489" priority="29">
      <formula>OR(ISNUMBER(SEARCH("ATM",AH29)),ISNUMBER(SEARCH("ATA",AH29)))</formula>
    </cfRule>
    <cfRule type="expression" dxfId="488" priority="30">
      <formula>ISNUMBER(SEARCH("TP",AH29))</formula>
    </cfRule>
    <cfRule type="expression" dxfId="487" priority="31">
      <formula>ISNUMBER(SEARCH("CSE",AH29))</formula>
    </cfRule>
    <cfRule type="expression" dxfId="486" priority="32">
      <formula>OR(ISNUMBER(SEARCH("CA",AH29)),ISNUMBER(SEARCH("RC",AH29)))</formula>
    </cfRule>
  </conditionalFormatting>
  <dataValidations count="1">
    <dataValidation allowBlank="1" showInputMessage="1" showErrorMessage="1" sqref="G9" xr:uid="{00000000-0002-0000-0A00-000000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CCFF"/>
  </sheetPr>
  <dimension ref="A1:AI595"/>
  <sheetViews>
    <sheetView topLeftCell="A22" zoomScaleNormal="100" workbookViewId="0">
      <pane xSplit="6" topLeftCell="G1" activePane="topRight" state="frozen"/>
      <selection pane="topRight" activeCell="G22" sqref="G22"/>
      <selection activeCell="A22" sqref="A22"/>
    </sheetView>
  </sheetViews>
  <sheetFormatPr defaultColWidth="12" defaultRowHeight="15"/>
  <cols>
    <col min="1" max="1" width="12.42578125" customWidth="1"/>
    <col min="2" max="2" width="21.28515625" customWidth="1"/>
    <col min="3" max="3" width="20" customWidth="1"/>
    <col min="4" max="4" width="21.42578125" customWidth="1"/>
    <col min="5" max="5" width="19.28515625" customWidth="1"/>
    <col min="6" max="6" width="13.7109375" customWidth="1"/>
    <col min="7" max="11" width="10.85546875" customWidth="1"/>
    <col min="12" max="12" width="6.7109375" customWidth="1"/>
    <col min="13" max="13" width="6.28515625" customWidth="1"/>
    <col min="14" max="15" width="10.85546875" customWidth="1"/>
    <col min="16" max="16" width="6.42578125" customWidth="1"/>
    <col min="17" max="18" width="10.85546875" customWidth="1"/>
    <col min="19" max="19" width="8.28515625" customWidth="1"/>
    <col min="20" max="20" width="6.28515625" customWidth="1"/>
    <col min="21" max="25" width="7.7109375" customWidth="1"/>
    <col min="26" max="26" width="8.28515625" customWidth="1"/>
    <col min="27" max="27" width="6.28515625" customWidth="1"/>
    <col min="28" max="32" width="10.85546875" customWidth="1"/>
    <col min="33" max="33" width="6.7109375" customWidth="1"/>
    <col min="34" max="34" width="6.28515625" customWidth="1"/>
  </cols>
  <sheetData>
    <row r="1" spans="1:35" ht="18.75" customHeight="1">
      <c r="F1" s="13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5" ht="18.75" customHeight="1">
      <c r="F2" s="13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</row>
    <row r="3" spans="1:35" ht="34.5" customHeight="1">
      <c r="A3" s="15"/>
      <c r="B3" s="16"/>
      <c r="C3" s="16"/>
      <c r="D3" s="16"/>
      <c r="E3" s="16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4" spans="1:35" ht="18.75" customHeight="1">
      <c r="A4" s="18" t="s">
        <v>23</v>
      </c>
      <c r="B4" s="422" t="s">
        <v>345</v>
      </c>
      <c r="C4" s="422"/>
      <c r="D4" s="422"/>
      <c r="E4" s="422"/>
      <c r="F4" s="442"/>
      <c r="G4" s="410" t="s">
        <v>346</v>
      </c>
      <c r="H4" s="410"/>
      <c r="I4" s="410"/>
      <c r="J4" s="410"/>
      <c r="K4" s="410"/>
      <c r="L4" s="410"/>
      <c r="M4" s="410"/>
      <c r="N4" s="411" t="s">
        <v>347</v>
      </c>
      <c r="O4" s="411"/>
      <c r="P4" s="411"/>
      <c r="Q4" s="411"/>
      <c r="R4" s="411"/>
      <c r="S4" s="411"/>
      <c r="T4" s="411"/>
      <c r="U4" s="411" t="s">
        <v>348</v>
      </c>
      <c r="V4" s="411"/>
      <c r="W4" s="411"/>
      <c r="X4" s="411"/>
      <c r="Y4" s="411"/>
      <c r="Z4" s="411"/>
      <c r="AA4" s="411"/>
      <c r="AB4" s="411" t="s">
        <v>349</v>
      </c>
      <c r="AC4" s="411"/>
      <c r="AD4" s="411"/>
      <c r="AE4" s="411"/>
      <c r="AF4" s="411"/>
      <c r="AG4" s="411"/>
      <c r="AH4" s="411"/>
    </row>
    <row r="5" spans="1:35" ht="21" customHeight="1">
      <c r="A5" s="152" t="s">
        <v>24</v>
      </c>
      <c r="B5" s="422"/>
      <c r="C5" s="422"/>
      <c r="D5" s="422"/>
      <c r="E5" s="422"/>
      <c r="F5" s="442"/>
      <c r="G5" s="22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168"/>
    </row>
    <row r="6" spans="1:35" ht="19.5" customHeight="1">
      <c r="A6" s="27" t="s">
        <v>25</v>
      </c>
      <c r="B6" s="421" t="s">
        <v>60</v>
      </c>
      <c r="C6" s="421"/>
      <c r="D6" s="421"/>
      <c r="E6" s="421"/>
      <c r="F6" s="442"/>
      <c r="G6" s="169" t="s">
        <v>61</v>
      </c>
      <c r="H6" s="170" t="s">
        <v>62</v>
      </c>
      <c r="I6" s="170" t="s">
        <v>63</v>
      </c>
      <c r="J6" s="170" t="s">
        <v>64</v>
      </c>
      <c r="K6" s="170" t="s">
        <v>65</v>
      </c>
      <c r="L6" s="171" t="s">
        <v>66</v>
      </c>
      <c r="M6" s="171" t="s">
        <v>67</v>
      </c>
      <c r="N6" s="170" t="s">
        <v>68</v>
      </c>
      <c r="O6" s="170" t="s">
        <v>62</v>
      </c>
      <c r="P6" s="171" t="s">
        <v>63</v>
      </c>
      <c r="Q6" s="170" t="s">
        <v>64</v>
      </c>
      <c r="R6" s="170" t="s">
        <v>65</v>
      </c>
      <c r="S6" s="171" t="s">
        <v>66</v>
      </c>
      <c r="T6" s="171" t="s">
        <v>67</v>
      </c>
      <c r="U6" s="170" t="s">
        <v>68</v>
      </c>
      <c r="V6" s="170" t="s">
        <v>62</v>
      </c>
      <c r="W6" s="170" t="s">
        <v>63</v>
      </c>
      <c r="X6" s="170" t="s">
        <v>64</v>
      </c>
      <c r="Y6" s="170" t="s">
        <v>65</v>
      </c>
      <c r="Z6" s="171" t="s">
        <v>66</v>
      </c>
      <c r="AA6" s="171" t="s">
        <v>67</v>
      </c>
      <c r="AB6" s="170" t="s">
        <v>68</v>
      </c>
      <c r="AC6" s="170" t="s">
        <v>62</v>
      </c>
      <c r="AD6" s="170" t="s">
        <v>63</v>
      </c>
      <c r="AE6" s="170" t="s">
        <v>64</v>
      </c>
      <c r="AF6" s="170" t="s">
        <v>65</v>
      </c>
      <c r="AG6" s="171" t="s">
        <v>66</v>
      </c>
      <c r="AH6" s="172" t="s">
        <v>67</v>
      </c>
    </row>
    <row r="7" spans="1:35" ht="36" customHeight="1">
      <c r="A7" s="274" t="s">
        <v>26</v>
      </c>
      <c r="B7" s="275" t="s">
        <v>69</v>
      </c>
      <c r="C7" s="35" t="s">
        <v>70</v>
      </c>
      <c r="D7" s="276" t="s">
        <v>71</v>
      </c>
      <c r="E7" s="277" t="s">
        <v>72</v>
      </c>
      <c r="F7" s="442"/>
      <c r="G7" s="278">
        <v>2</v>
      </c>
      <c r="H7" s="279">
        <v>3</v>
      </c>
      <c r="I7" s="279">
        <v>4</v>
      </c>
      <c r="J7" s="279">
        <v>5</v>
      </c>
      <c r="K7" s="279">
        <v>6</v>
      </c>
      <c r="L7" s="281">
        <v>7</v>
      </c>
      <c r="M7" s="281">
        <v>8</v>
      </c>
      <c r="N7" s="279">
        <v>9</v>
      </c>
      <c r="O7" s="279">
        <v>10</v>
      </c>
      <c r="P7" s="281">
        <v>11</v>
      </c>
      <c r="Q7" s="279">
        <v>12</v>
      </c>
      <c r="R7" s="279">
        <v>13</v>
      </c>
      <c r="S7" s="281">
        <v>14</v>
      </c>
      <c r="T7" s="281">
        <v>14</v>
      </c>
      <c r="U7" s="279">
        <v>16</v>
      </c>
      <c r="V7" s="279">
        <v>17</v>
      </c>
      <c r="W7" s="279">
        <v>18</v>
      </c>
      <c r="X7" s="279">
        <v>19</v>
      </c>
      <c r="Y7" s="279">
        <v>20</v>
      </c>
      <c r="Z7" s="281">
        <v>21</v>
      </c>
      <c r="AA7" s="281">
        <v>22</v>
      </c>
      <c r="AB7" s="279">
        <v>23</v>
      </c>
      <c r="AC7" s="279">
        <v>24</v>
      </c>
      <c r="AD7" s="279">
        <v>25</v>
      </c>
      <c r="AE7" s="279">
        <v>26</v>
      </c>
      <c r="AF7" s="279">
        <v>27</v>
      </c>
      <c r="AG7" s="281">
        <v>28</v>
      </c>
      <c r="AH7" s="282">
        <v>29</v>
      </c>
    </row>
    <row r="8" spans="1:35" ht="54" customHeight="1">
      <c r="A8" s="283" t="s">
        <v>27</v>
      </c>
      <c r="B8" s="54" t="s">
        <v>73</v>
      </c>
      <c r="C8" s="44" t="s">
        <v>73</v>
      </c>
      <c r="D8" s="185" t="s">
        <v>74</v>
      </c>
      <c r="E8" s="177" t="s">
        <v>75</v>
      </c>
      <c r="F8" s="374">
        <v>1</v>
      </c>
      <c r="G8" s="48"/>
      <c r="H8" s="49"/>
      <c r="I8" s="49"/>
      <c r="J8" s="371" t="s">
        <v>350</v>
      </c>
      <c r="K8" s="49"/>
      <c r="L8" s="50"/>
      <c r="M8" s="50"/>
      <c r="N8" s="49"/>
      <c r="O8" s="49"/>
      <c r="P8" s="50"/>
      <c r="Q8" s="49"/>
      <c r="R8" s="49"/>
      <c r="S8" s="50"/>
      <c r="T8" s="50"/>
      <c r="U8" s="49"/>
      <c r="V8" s="49"/>
      <c r="W8" s="49"/>
      <c r="X8" s="49"/>
      <c r="Y8" s="49"/>
      <c r="Z8" s="50"/>
      <c r="AA8" s="50"/>
      <c r="AB8" s="49"/>
      <c r="AC8" s="49" t="s">
        <v>76</v>
      </c>
      <c r="AD8" s="49"/>
      <c r="AE8" s="49"/>
      <c r="AF8" s="49"/>
      <c r="AG8" s="50"/>
      <c r="AH8" s="52"/>
    </row>
    <row r="9" spans="1:35" ht="71.25" customHeight="1">
      <c r="A9" s="292" t="s">
        <v>28</v>
      </c>
      <c r="B9" s="293" t="s">
        <v>77</v>
      </c>
      <c r="C9" s="294" t="s">
        <v>78</v>
      </c>
      <c r="D9" s="295" t="s">
        <v>79</v>
      </c>
      <c r="E9" s="296" t="s">
        <v>80</v>
      </c>
      <c r="F9" s="228">
        <v>1</v>
      </c>
      <c r="G9" s="57"/>
      <c r="H9" s="58"/>
      <c r="I9" s="58"/>
      <c r="J9" s="58"/>
      <c r="K9" s="58"/>
      <c r="L9" s="59"/>
      <c r="M9" s="59"/>
      <c r="N9" s="58" t="s">
        <v>351</v>
      </c>
      <c r="O9" s="58" t="s">
        <v>351</v>
      </c>
      <c r="P9" s="59"/>
      <c r="Q9" s="58"/>
      <c r="R9" s="58"/>
      <c r="S9" s="59"/>
      <c r="T9" s="59"/>
      <c r="U9" s="58"/>
      <c r="V9" s="58"/>
      <c r="W9" s="58"/>
      <c r="X9" s="58"/>
      <c r="Y9" s="58"/>
      <c r="Z9" s="59"/>
      <c r="AA9" s="59"/>
      <c r="AB9" s="299" t="s">
        <v>25</v>
      </c>
      <c r="AC9" s="299" t="s">
        <v>25</v>
      </c>
      <c r="AD9" s="299" t="s">
        <v>25</v>
      </c>
      <c r="AE9" s="375" t="s">
        <v>25</v>
      </c>
      <c r="AF9" s="375" t="s">
        <v>25</v>
      </c>
      <c r="AG9" s="59"/>
      <c r="AH9" s="63"/>
    </row>
    <row r="10" spans="1:35" ht="18.75" customHeight="1">
      <c r="A10" s="417" t="s">
        <v>88</v>
      </c>
      <c r="B10" s="64" t="s">
        <v>89</v>
      </c>
      <c r="C10" s="65" t="s">
        <v>90</v>
      </c>
      <c r="D10" s="186" t="s">
        <v>91</v>
      </c>
      <c r="E10" s="187" t="s">
        <v>92</v>
      </c>
      <c r="F10" s="373">
        <v>0.5</v>
      </c>
      <c r="G10" s="69"/>
      <c r="H10" s="61"/>
      <c r="I10" s="61"/>
      <c r="J10" s="61"/>
      <c r="K10" s="61"/>
      <c r="L10" s="70"/>
      <c r="M10" s="70"/>
      <c r="N10" s="188" t="s">
        <v>23</v>
      </c>
      <c r="O10" s="188" t="s">
        <v>23</v>
      </c>
      <c r="P10" s="70"/>
      <c r="Q10" s="188" t="s">
        <v>23</v>
      </c>
      <c r="R10" s="188" t="s">
        <v>23</v>
      </c>
      <c r="S10" s="70"/>
      <c r="T10" s="70"/>
      <c r="U10" s="61"/>
      <c r="V10" s="61"/>
      <c r="W10" s="61"/>
      <c r="X10" s="61"/>
      <c r="Y10" s="61"/>
      <c r="Z10" s="70"/>
      <c r="AA10" s="70"/>
      <c r="AB10" s="61"/>
      <c r="AC10" s="61"/>
      <c r="AD10" s="61"/>
      <c r="AE10" s="61"/>
      <c r="AF10" s="61"/>
      <c r="AG10" s="70"/>
      <c r="AH10" s="72"/>
    </row>
    <row r="11" spans="1:35" ht="18.75" customHeight="1">
      <c r="A11" s="417"/>
      <c r="B11" s="64" t="s">
        <v>94</v>
      </c>
      <c r="C11" s="65" t="s">
        <v>95</v>
      </c>
      <c r="D11" s="191" t="s">
        <v>96</v>
      </c>
      <c r="E11" s="192" t="s">
        <v>97</v>
      </c>
      <c r="F11" s="354">
        <v>1</v>
      </c>
      <c r="G11" s="76"/>
      <c r="H11" s="58"/>
      <c r="I11" s="58"/>
      <c r="J11" s="58"/>
      <c r="K11" s="58"/>
      <c r="L11" s="59"/>
      <c r="M11" s="59"/>
      <c r="N11" s="58" t="s">
        <v>296</v>
      </c>
      <c r="O11" s="58" t="s">
        <v>296</v>
      </c>
      <c r="P11" s="59"/>
      <c r="Q11" s="58"/>
      <c r="R11" s="58"/>
      <c r="S11" s="59"/>
      <c r="T11" s="59"/>
      <c r="U11" s="58"/>
      <c r="V11" s="58"/>
      <c r="W11" s="58"/>
      <c r="X11" s="58"/>
      <c r="Y11" s="58"/>
      <c r="Z11" s="59"/>
      <c r="AA11" s="59"/>
      <c r="AB11" s="61"/>
      <c r="AC11" s="61"/>
      <c r="AD11" s="61"/>
      <c r="AE11" s="61"/>
      <c r="AF11" s="61"/>
      <c r="AG11" s="59"/>
      <c r="AH11" s="63"/>
      <c r="AI11" t="s">
        <v>352</v>
      </c>
    </row>
    <row r="12" spans="1:35" ht="18.75" customHeight="1">
      <c r="A12" s="417"/>
      <c r="B12" s="64" t="s">
        <v>98</v>
      </c>
      <c r="C12" s="65" t="s">
        <v>99</v>
      </c>
      <c r="D12" s="193" t="s">
        <v>100</v>
      </c>
      <c r="E12" s="194" t="s">
        <v>101</v>
      </c>
      <c r="F12" s="354">
        <v>1</v>
      </c>
      <c r="G12" s="69"/>
      <c r="H12" s="61"/>
      <c r="I12" s="61"/>
      <c r="J12" s="61"/>
      <c r="K12" s="61"/>
      <c r="L12" s="70"/>
      <c r="M12" s="70"/>
      <c r="N12" s="61"/>
      <c r="O12" s="61"/>
      <c r="P12" s="70"/>
      <c r="Q12" s="58"/>
      <c r="R12" s="58"/>
      <c r="S12" s="59"/>
      <c r="T12" s="59"/>
      <c r="U12" s="61"/>
      <c r="V12" s="61"/>
      <c r="W12" s="58"/>
      <c r="X12" s="58"/>
      <c r="Y12" s="61"/>
      <c r="Z12" s="59"/>
      <c r="AA12" s="70"/>
      <c r="AB12" s="61"/>
      <c r="AC12" s="58"/>
      <c r="AD12" s="61"/>
      <c r="AE12" s="61"/>
      <c r="AF12" s="61"/>
      <c r="AG12" s="59"/>
      <c r="AH12" s="72"/>
    </row>
    <row r="13" spans="1:35" ht="18.75" customHeight="1">
      <c r="A13" s="417"/>
      <c r="B13" s="64" t="s">
        <v>102</v>
      </c>
      <c r="C13" s="65" t="s">
        <v>103</v>
      </c>
      <c r="D13" s="193" t="s">
        <v>104</v>
      </c>
      <c r="E13" s="194" t="s">
        <v>105</v>
      </c>
      <c r="F13" s="354">
        <v>0.8</v>
      </c>
      <c r="G13" s="195" t="s">
        <v>23</v>
      </c>
      <c r="H13" s="188" t="s">
        <v>23</v>
      </c>
      <c r="I13" s="188" t="s">
        <v>23</v>
      </c>
      <c r="J13" s="188" t="s">
        <v>23</v>
      </c>
      <c r="K13" s="188" t="s">
        <v>23</v>
      </c>
      <c r="L13" s="59"/>
      <c r="M13" s="70"/>
      <c r="N13" s="61"/>
      <c r="O13" s="61"/>
      <c r="P13" s="59"/>
      <c r="Q13" s="61"/>
      <c r="R13" s="58"/>
      <c r="S13" s="59"/>
      <c r="T13" s="59"/>
      <c r="U13" s="61"/>
      <c r="V13" s="61"/>
      <c r="W13" s="61"/>
      <c r="X13" s="62" t="s">
        <v>106</v>
      </c>
      <c r="Y13" s="62" t="s">
        <v>106</v>
      </c>
      <c r="Z13" s="59"/>
      <c r="AA13" s="70"/>
      <c r="AB13" s="303" t="s">
        <v>25</v>
      </c>
      <c r="AC13" s="303" t="s">
        <v>25</v>
      </c>
      <c r="AD13" s="303" t="s">
        <v>25</v>
      </c>
      <c r="AE13" s="303" t="s">
        <v>25</v>
      </c>
      <c r="AF13" s="303" t="s">
        <v>25</v>
      </c>
      <c r="AG13" s="59"/>
      <c r="AH13" s="72"/>
    </row>
    <row r="14" spans="1:35" ht="18.75" customHeight="1">
      <c r="A14" s="417"/>
      <c r="B14" s="64" t="s">
        <v>107</v>
      </c>
      <c r="C14" s="65" t="s">
        <v>108</v>
      </c>
      <c r="D14" s="193" t="s">
        <v>109</v>
      </c>
      <c r="E14" s="194" t="s">
        <v>110</v>
      </c>
      <c r="F14" s="354">
        <v>1</v>
      </c>
      <c r="G14" s="69"/>
      <c r="H14" s="61"/>
      <c r="I14" s="58"/>
      <c r="J14" s="61"/>
      <c r="K14" s="61"/>
      <c r="L14" s="70"/>
      <c r="M14" s="70"/>
      <c r="N14" s="61"/>
      <c r="O14" s="61"/>
      <c r="P14" s="70"/>
      <c r="Q14" s="58"/>
      <c r="R14" s="58"/>
      <c r="S14" s="59"/>
      <c r="T14" s="59"/>
      <c r="U14" s="61"/>
      <c r="V14" s="61"/>
      <c r="W14" s="61"/>
      <c r="X14" s="58"/>
      <c r="Y14" s="61"/>
      <c r="Z14" s="59"/>
      <c r="AA14" s="70"/>
      <c r="AB14" s="61"/>
      <c r="AC14" s="61"/>
      <c r="AD14" s="58"/>
      <c r="AE14" s="61"/>
      <c r="AF14" s="61"/>
      <c r="AG14" s="59"/>
      <c r="AH14" s="72"/>
    </row>
    <row r="15" spans="1:35" ht="18.75" customHeight="1">
      <c r="A15" s="417"/>
      <c r="B15" s="64" t="s">
        <v>111</v>
      </c>
      <c r="C15" s="65" t="s">
        <v>112</v>
      </c>
      <c r="D15" s="193" t="s">
        <v>113</v>
      </c>
      <c r="E15" s="194" t="s">
        <v>114</v>
      </c>
      <c r="F15" s="354">
        <v>1</v>
      </c>
      <c r="G15" s="69"/>
      <c r="H15" s="61"/>
      <c r="I15" s="61"/>
      <c r="J15" s="61"/>
      <c r="K15" s="61"/>
      <c r="L15" s="59"/>
      <c r="M15" s="70"/>
      <c r="N15" s="61"/>
      <c r="O15" s="61"/>
      <c r="P15" s="70"/>
      <c r="Q15" s="58"/>
      <c r="R15" s="58"/>
      <c r="S15" s="59"/>
      <c r="T15" s="59"/>
      <c r="U15" s="61"/>
      <c r="V15" s="61"/>
      <c r="W15" s="61"/>
      <c r="X15" s="61"/>
      <c r="Y15" s="61"/>
      <c r="Z15" s="59"/>
      <c r="AA15" s="70"/>
      <c r="AB15" s="61"/>
      <c r="AC15" s="61"/>
      <c r="AD15" s="61"/>
      <c r="AE15" s="61"/>
      <c r="AF15" s="58"/>
      <c r="AG15" s="59"/>
      <c r="AH15" s="72"/>
    </row>
    <row r="16" spans="1:35" ht="18.75" customHeight="1">
      <c r="A16" s="417"/>
      <c r="B16" s="64" t="s">
        <v>116</v>
      </c>
      <c r="C16" s="65" t="s">
        <v>117</v>
      </c>
      <c r="D16" s="193" t="s">
        <v>118</v>
      </c>
      <c r="E16" s="194" t="s">
        <v>119</v>
      </c>
      <c r="F16" s="354">
        <v>1</v>
      </c>
      <c r="G16" s="69"/>
      <c r="H16" s="61"/>
      <c r="I16" s="61"/>
      <c r="J16" s="58"/>
      <c r="K16" s="61"/>
      <c r="L16" s="70"/>
      <c r="M16" s="70"/>
      <c r="N16" s="376" t="s">
        <v>285</v>
      </c>
      <c r="O16" s="61" t="s">
        <v>353</v>
      </c>
      <c r="P16" s="70"/>
      <c r="Q16" s="58"/>
      <c r="R16" s="58"/>
      <c r="S16" s="59"/>
      <c r="T16" s="59"/>
      <c r="U16" s="61"/>
      <c r="V16" s="61"/>
      <c r="W16" s="61"/>
      <c r="X16" s="61"/>
      <c r="Y16" s="58"/>
      <c r="Z16" s="59"/>
      <c r="AA16" s="70"/>
      <c r="AB16" s="61"/>
      <c r="AC16" s="61"/>
      <c r="AD16" s="61"/>
      <c r="AE16" s="58"/>
      <c r="AF16" s="61"/>
      <c r="AG16" s="59"/>
      <c r="AH16" s="72"/>
    </row>
    <row r="17" spans="1:34" ht="18.75" customHeight="1">
      <c r="A17" s="417"/>
      <c r="B17" s="64" t="s">
        <v>120</v>
      </c>
      <c r="C17" s="65" t="s">
        <v>121</v>
      </c>
      <c r="D17" s="193" t="s">
        <v>122</v>
      </c>
      <c r="E17" s="194" t="s">
        <v>123</v>
      </c>
      <c r="F17" s="354">
        <v>1</v>
      </c>
      <c r="G17" s="355" t="s">
        <v>25</v>
      </c>
      <c r="H17" s="303" t="s">
        <v>25</v>
      </c>
      <c r="I17" s="303" t="s">
        <v>25</v>
      </c>
      <c r="J17" s="303" t="s">
        <v>25</v>
      </c>
      <c r="K17" s="303" t="s">
        <v>25</v>
      </c>
      <c r="L17" s="59"/>
      <c r="M17" s="70"/>
      <c r="N17" s="303" t="s">
        <v>25</v>
      </c>
      <c r="O17" s="303" t="s">
        <v>25</v>
      </c>
      <c r="P17" s="70"/>
      <c r="Q17" s="58"/>
      <c r="R17" s="58"/>
      <c r="S17" s="59"/>
      <c r="T17" s="59"/>
      <c r="U17" s="61"/>
      <c r="V17" s="61"/>
      <c r="W17" s="61"/>
      <c r="X17" s="58"/>
      <c r="Y17" s="61"/>
      <c r="Z17" s="59"/>
      <c r="AA17" s="70"/>
      <c r="AB17" s="58"/>
      <c r="AC17" s="61"/>
      <c r="AD17" s="61"/>
      <c r="AE17" s="61"/>
      <c r="AF17" s="61"/>
      <c r="AG17" s="59"/>
      <c r="AH17" s="72"/>
    </row>
    <row r="18" spans="1:34" ht="18.75" customHeight="1">
      <c r="A18" s="417"/>
      <c r="B18" s="64" t="s">
        <v>124</v>
      </c>
      <c r="C18" s="65" t="s">
        <v>125</v>
      </c>
      <c r="D18" s="193" t="s">
        <v>126</v>
      </c>
      <c r="E18" s="194" t="s">
        <v>127</v>
      </c>
      <c r="F18" s="354">
        <v>1</v>
      </c>
      <c r="G18" s="69"/>
      <c r="H18" s="61"/>
      <c r="I18" s="61"/>
      <c r="J18" s="61"/>
      <c r="K18" s="58"/>
      <c r="L18" s="70"/>
      <c r="M18" s="70"/>
      <c r="N18" s="61"/>
      <c r="O18" s="61"/>
      <c r="P18" s="70"/>
      <c r="Q18" s="58"/>
      <c r="R18" s="58"/>
      <c r="S18" s="59"/>
      <c r="T18" s="59"/>
      <c r="U18" s="58"/>
      <c r="V18" s="61" t="s">
        <v>115</v>
      </c>
      <c r="W18" s="61"/>
      <c r="X18" s="61"/>
      <c r="Y18" s="61"/>
      <c r="Z18" s="59"/>
      <c r="AA18" s="70"/>
      <c r="AB18" s="303" t="s">
        <v>25</v>
      </c>
      <c r="AC18" s="303" t="s">
        <v>25</v>
      </c>
      <c r="AD18" s="303" t="s">
        <v>25</v>
      </c>
      <c r="AE18" s="303" t="s">
        <v>25</v>
      </c>
      <c r="AF18" s="303" t="s">
        <v>25</v>
      </c>
      <c r="AG18" s="59"/>
      <c r="AH18" s="72"/>
    </row>
    <row r="19" spans="1:34" ht="18.75" customHeight="1">
      <c r="A19" s="417"/>
      <c r="B19" s="64" t="s">
        <v>129</v>
      </c>
      <c r="C19" s="65" t="s">
        <v>130</v>
      </c>
      <c r="D19" s="196" t="s">
        <v>131</v>
      </c>
      <c r="E19" s="197" t="s">
        <v>132</v>
      </c>
      <c r="F19" s="354">
        <v>1</v>
      </c>
      <c r="G19" s="91"/>
      <c r="H19" s="88"/>
      <c r="I19" s="88"/>
      <c r="J19" s="88"/>
      <c r="K19" s="58"/>
      <c r="L19" s="87"/>
      <c r="M19" s="87"/>
      <c r="N19" s="88"/>
      <c r="O19" s="88"/>
      <c r="P19" s="87"/>
      <c r="Q19" s="58"/>
      <c r="R19" s="58"/>
      <c r="S19" s="59"/>
      <c r="T19" s="59"/>
      <c r="U19" s="188" t="s">
        <v>23</v>
      </c>
      <c r="V19" s="188" t="s">
        <v>23</v>
      </c>
      <c r="W19" s="188" t="s">
        <v>23</v>
      </c>
      <c r="X19" s="188" t="s">
        <v>23</v>
      </c>
      <c r="Y19" s="188" t="s">
        <v>23</v>
      </c>
      <c r="Z19" s="59"/>
      <c r="AA19" s="70"/>
      <c r="AB19" s="61"/>
      <c r="AC19" s="61"/>
      <c r="AD19" s="61"/>
      <c r="AE19" s="61"/>
      <c r="AF19" s="58"/>
      <c r="AG19" s="59"/>
      <c r="AH19" s="90"/>
    </row>
    <row r="20" spans="1:34" ht="18.75" customHeight="1">
      <c r="A20" s="417"/>
      <c r="B20" s="64" t="s">
        <v>133</v>
      </c>
      <c r="C20" s="65" t="s">
        <v>134</v>
      </c>
      <c r="D20" s="196" t="s">
        <v>135</v>
      </c>
      <c r="E20" s="197" t="s">
        <v>136</v>
      </c>
      <c r="F20" s="354">
        <v>1</v>
      </c>
      <c r="G20" s="91"/>
      <c r="H20" s="88"/>
      <c r="I20" s="88"/>
      <c r="J20" s="88"/>
      <c r="K20" s="58"/>
      <c r="L20" s="87"/>
      <c r="M20" s="87"/>
      <c r="N20" s="88"/>
      <c r="O20" s="88"/>
      <c r="P20" s="87"/>
      <c r="Q20" s="58"/>
      <c r="R20" s="58"/>
      <c r="S20" s="59"/>
      <c r="T20" s="59"/>
      <c r="U20" s="58"/>
      <c r="V20" s="61"/>
      <c r="W20" s="61"/>
      <c r="X20" s="61"/>
      <c r="Y20" s="61"/>
      <c r="Z20" s="59"/>
      <c r="AA20" s="70"/>
      <c r="AB20" s="61"/>
      <c r="AC20" s="61"/>
      <c r="AD20" s="61"/>
      <c r="AE20" s="61"/>
      <c r="AF20" s="58"/>
      <c r="AG20" s="59"/>
      <c r="AH20" s="90"/>
    </row>
    <row r="21" spans="1:34" ht="18.75" customHeight="1">
      <c r="A21" s="417"/>
      <c r="B21" s="64" t="s">
        <v>137</v>
      </c>
      <c r="C21" s="65" t="s">
        <v>138</v>
      </c>
      <c r="D21" s="196" t="s">
        <v>139</v>
      </c>
      <c r="E21" s="197" t="s">
        <v>140</v>
      </c>
      <c r="F21" s="354">
        <v>1</v>
      </c>
      <c r="G21" s="91"/>
      <c r="H21" s="88"/>
      <c r="I21" s="88"/>
      <c r="J21" s="88"/>
      <c r="K21" s="58"/>
      <c r="L21" s="87"/>
      <c r="M21" s="87"/>
      <c r="N21" s="88"/>
      <c r="O21" s="88"/>
      <c r="P21" s="87"/>
      <c r="Q21" s="58"/>
      <c r="R21" s="58"/>
      <c r="S21" s="59"/>
      <c r="T21" s="59"/>
      <c r="U21" s="58"/>
      <c r="V21" s="61"/>
      <c r="W21" s="61"/>
      <c r="X21" s="61"/>
      <c r="Y21" s="61"/>
      <c r="Z21" s="59"/>
      <c r="AA21" s="70"/>
      <c r="AB21" s="61"/>
      <c r="AC21" s="61"/>
      <c r="AD21" s="61"/>
      <c r="AE21" s="61"/>
      <c r="AF21" s="58"/>
      <c r="AG21" s="59"/>
      <c r="AH21" s="90"/>
    </row>
    <row r="22" spans="1:34" ht="18.75" customHeight="1">
      <c r="A22" s="417"/>
      <c r="B22" s="64" t="s">
        <v>141</v>
      </c>
      <c r="C22" s="65" t="s">
        <v>142</v>
      </c>
      <c r="D22" s="196" t="s">
        <v>143</v>
      </c>
      <c r="E22" s="197" t="s">
        <v>144</v>
      </c>
      <c r="F22" s="354">
        <v>1</v>
      </c>
      <c r="G22" s="91"/>
      <c r="H22" s="91"/>
      <c r="I22" s="88"/>
      <c r="J22" s="88"/>
      <c r="K22" s="92"/>
      <c r="L22" s="87"/>
      <c r="M22" s="87"/>
      <c r="N22" s="88"/>
      <c r="O22" s="88"/>
      <c r="P22" s="87"/>
      <c r="Q22" s="92"/>
      <c r="R22" s="92"/>
      <c r="S22" s="94"/>
      <c r="T22" s="94"/>
      <c r="U22" s="92"/>
      <c r="V22" s="88"/>
      <c r="W22" s="88"/>
      <c r="X22" s="88"/>
      <c r="Y22" s="88"/>
      <c r="Z22" s="94"/>
      <c r="AA22" s="87"/>
      <c r="AB22" s="88"/>
      <c r="AC22" s="88"/>
      <c r="AD22" s="88"/>
      <c r="AE22" s="88"/>
      <c r="AF22" s="92"/>
      <c r="AG22" s="94"/>
      <c r="AH22" s="90"/>
    </row>
    <row r="23" spans="1:34" ht="18.75" customHeight="1">
      <c r="A23" s="417"/>
      <c r="B23" s="64" t="s">
        <v>146</v>
      </c>
      <c r="C23" s="65"/>
      <c r="D23" s="95" t="s">
        <v>147</v>
      </c>
      <c r="E23" s="85" t="s">
        <v>148</v>
      </c>
      <c r="F23" s="354">
        <v>1</v>
      </c>
      <c r="G23" s="91"/>
      <c r="H23" s="58" t="s">
        <v>296</v>
      </c>
      <c r="I23" s="99"/>
      <c r="J23" s="99"/>
      <c r="K23" s="99"/>
      <c r="L23" s="98"/>
      <c r="M23" s="98"/>
      <c r="N23" s="99">
        <v>8011</v>
      </c>
      <c r="O23" s="99">
        <v>8011</v>
      </c>
      <c r="P23" s="98"/>
      <c r="Q23" s="99"/>
      <c r="R23" s="99"/>
      <c r="S23" s="98"/>
      <c r="T23" s="98"/>
      <c r="U23" s="99"/>
      <c r="V23" s="99"/>
      <c r="W23" s="99"/>
      <c r="X23" s="99"/>
      <c r="Y23" s="99"/>
      <c r="Z23" s="98"/>
      <c r="AA23" s="98"/>
      <c r="AB23" s="99"/>
      <c r="AC23" s="99"/>
      <c r="AD23" s="99"/>
      <c r="AE23" s="99"/>
      <c r="AF23" s="99"/>
      <c r="AG23" s="98"/>
      <c r="AH23" s="100"/>
    </row>
    <row r="24" spans="1:34" ht="18.75" customHeight="1">
      <c r="A24" s="417"/>
      <c r="B24" s="101" t="s">
        <v>150</v>
      </c>
      <c r="C24" s="65"/>
      <c r="D24" s="84" t="s">
        <v>151</v>
      </c>
      <c r="E24" s="85" t="s">
        <v>152</v>
      </c>
      <c r="F24" s="356">
        <v>1</v>
      </c>
      <c r="G24" s="139" t="s">
        <v>262</v>
      </c>
      <c r="H24" s="140" t="s">
        <v>262</v>
      </c>
      <c r="I24" s="140" t="s">
        <v>262</v>
      </c>
      <c r="J24" s="140" t="s">
        <v>262</v>
      </c>
      <c r="K24" s="140" t="s">
        <v>262</v>
      </c>
      <c r="L24" s="141"/>
      <c r="M24" s="141"/>
      <c r="N24" s="140" t="s">
        <v>262</v>
      </c>
      <c r="O24" s="140" t="s">
        <v>262</v>
      </c>
      <c r="P24" s="141"/>
      <c r="Q24" s="331" t="s">
        <v>285</v>
      </c>
      <c r="R24" s="340" t="s">
        <v>25</v>
      </c>
      <c r="S24" s="141"/>
      <c r="T24" s="141"/>
      <c r="U24" s="140"/>
      <c r="V24" s="140"/>
      <c r="W24" s="140"/>
      <c r="X24" s="140"/>
      <c r="Y24" s="140"/>
      <c r="Z24" s="141"/>
      <c r="AA24" s="141"/>
      <c r="AB24" s="140" t="s">
        <v>149</v>
      </c>
      <c r="AC24" s="140" t="s">
        <v>149</v>
      </c>
      <c r="AD24" s="140" t="s">
        <v>149</v>
      </c>
      <c r="AE24" s="140" t="s">
        <v>149</v>
      </c>
      <c r="AF24" s="140" t="s">
        <v>149</v>
      </c>
      <c r="AG24" s="141"/>
      <c r="AH24" s="142"/>
    </row>
    <row r="25" spans="1:34" ht="18.75" customHeight="1">
      <c r="A25" s="430" t="s">
        <v>156</v>
      </c>
      <c r="B25" s="108" t="s">
        <v>157</v>
      </c>
      <c r="C25" s="109" t="s">
        <v>158</v>
      </c>
      <c r="D25" s="110" t="s">
        <v>159</v>
      </c>
      <c r="E25" s="111" t="s">
        <v>160</v>
      </c>
      <c r="F25" s="357">
        <v>1</v>
      </c>
      <c r="G25" s="57" t="s">
        <v>157</v>
      </c>
      <c r="H25" s="58" t="s">
        <v>157</v>
      </c>
      <c r="I25" s="58" t="s">
        <v>157</v>
      </c>
      <c r="J25" s="58" t="s">
        <v>157</v>
      </c>
      <c r="K25" s="58" t="s">
        <v>157</v>
      </c>
      <c r="L25" s="377"/>
      <c r="M25" s="59"/>
      <c r="N25" s="300" t="s">
        <v>285</v>
      </c>
      <c r="O25" s="300" t="s">
        <v>285</v>
      </c>
      <c r="P25" s="59"/>
      <c r="Q25" s="58" t="s">
        <v>157</v>
      </c>
      <c r="R25" s="58" t="s">
        <v>157</v>
      </c>
      <c r="S25" s="59"/>
      <c r="T25" s="59"/>
      <c r="U25" s="58" t="s">
        <v>157</v>
      </c>
      <c r="V25" s="58" t="s">
        <v>157</v>
      </c>
      <c r="W25" s="58" t="s">
        <v>157</v>
      </c>
      <c r="X25" s="58" t="s">
        <v>157</v>
      </c>
      <c r="Y25" s="58" t="s">
        <v>157</v>
      </c>
      <c r="Z25" s="377"/>
      <c r="AA25" s="59"/>
      <c r="AB25" s="58" t="s">
        <v>157</v>
      </c>
      <c r="AC25" s="58" t="s">
        <v>157</v>
      </c>
      <c r="AD25" s="58" t="s">
        <v>157</v>
      </c>
      <c r="AE25" s="58" t="s">
        <v>157</v>
      </c>
      <c r="AF25" s="58" t="s">
        <v>157</v>
      </c>
      <c r="AG25" s="59"/>
      <c r="AH25" s="63"/>
    </row>
    <row r="26" spans="1:34" ht="18.75" customHeight="1">
      <c r="A26" s="430"/>
      <c r="B26" s="118" t="s">
        <v>161</v>
      </c>
      <c r="C26" s="119" t="s">
        <v>158</v>
      </c>
      <c r="D26" s="120" t="s">
        <v>162</v>
      </c>
      <c r="E26" s="121" t="s">
        <v>163</v>
      </c>
      <c r="F26" s="354">
        <v>1</v>
      </c>
      <c r="G26" s="91" t="s">
        <v>161</v>
      </c>
      <c r="H26" s="88" t="s">
        <v>161</v>
      </c>
      <c r="I26" s="88" t="s">
        <v>161</v>
      </c>
      <c r="J26" s="88" t="s">
        <v>161</v>
      </c>
      <c r="K26" s="88" t="s">
        <v>161</v>
      </c>
      <c r="L26" s="70"/>
      <c r="M26" s="94"/>
      <c r="N26" s="88" t="s">
        <v>161</v>
      </c>
      <c r="O26" s="88" t="s">
        <v>161</v>
      </c>
      <c r="P26" s="94"/>
      <c r="Q26" s="88" t="s">
        <v>161</v>
      </c>
      <c r="R26" s="88" t="s">
        <v>161</v>
      </c>
      <c r="S26" s="70"/>
      <c r="T26" s="94"/>
      <c r="U26" s="88" t="s">
        <v>161</v>
      </c>
      <c r="V26" s="88" t="s">
        <v>161</v>
      </c>
      <c r="W26" s="88" t="s">
        <v>161</v>
      </c>
      <c r="X26" s="88" t="s">
        <v>161</v>
      </c>
      <c r="Y26" s="88" t="s">
        <v>161</v>
      </c>
      <c r="Z26" s="70"/>
      <c r="AA26" s="94"/>
      <c r="AB26" s="88" t="s">
        <v>161</v>
      </c>
      <c r="AC26" s="88" t="s">
        <v>161</v>
      </c>
      <c r="AD26" s="88" t="s">
        <v>161</v>
      </c>
      <c r="AE26" s="88" t="s">
        <v>161</v>
      </c>
      <c r="AF26" s="88" t="s">
        <v>161</v>
      </c>
      <c r="AG26" s="70"/>
      <c r="AH26" s="124"/>
    </row>
    <row r="27" spans="1:34" ht="18.75" customHeight="1">
      <c r="A27" s="430"/>
      <c r="B27" s="118" t="s">
        <v>164</v>
      </c>
      <c r="C27" s="119" t="s">
        <v>158</v>
      </c>
      <c r="D27" s="119" t="s">
        <v>165</v>
      </c>
      <c r="E27" s="125" t="s">
        <v>105</v>
      </c>
      <c r="F27" s="354">
        <v>1</v>
      </c>
      <c r="G27" s="91" t="s">
        <v>271</v>
      </c>
      <c r="H27" s="88" t="s">
        <v>271</v>
      </c>
      <c r="I27" s="88" t="s">
        <v>271</v>
      </c>
      <c r="J27" s="88" t="s">
        <v>271</v>
      </c>
      <c r="K27" s="88" t="s">
        <v>271</v>
      </c>
      <c r="L27" s="70"/>
      <c r="M27" s="87"/>
      <c r="N27" s="88" t="s">
        <v>157</v>
      </c>
      <c r="O27" s="88" t="s">
        <v>157</v>
      </c>
      <c r="P27" s="87"/>
      <c r="Q27" s="88" t="s">
        <v>271</v>
      </c>
      <c r="R27" s="88" t="s">
        <v>271</v>
      </c>
      <c r="S27" s="70"/>
      <c r="T27" s="87"/>
      <c r="U27" s="88" t="s">
        <v>271</v>
      </c>
      <c r="V27" s="88" t="s">
        <v>271</v>
      </c>
      <c r="W27" s="88" t="s">
        <v>271</v>
      </c>
      <c r="X27" s="88" t="s">
        <v>271</v>
      </c>
      <c r="Y27" s="88" t="s">
        <v>271</v>
      </c>
      <c r="Z27" s="70"/>
      <c r="AA27" s="87"/>
      <c r="AB27" s="88" t="s">
        <v>271</v>
      </c>
      <c r="AC27" s="88" t="s">
        <v>271</v>
      </c>
      <c r="AD27" s="88" t="s">
        <v>271</v>
      </c>
      <c r="AE27" s="88" t="s">
        <v>271</v>
      </c>
      <c r="AF27" s="88" t="s">
        <v>271</v>
      </c>
      <c r="AG27" s="70"/>
      <c r="AH27" s="90"/>
    </row>
    <row r="28" spans="1:34" ht="18.75" customHeight="1">
      <c r="A28" s="430"/>
      <c r="B28" s="127" t="s">
        <v>170</v>
      </c>
      <c r="C28" s="128" t="s">
        <v>158</v>
      </c>
      <c r="D28" s="128" t="s">
        <v>171</v>
      </c>
      <c r="E28" s="129" t="s">
        <v>172</v>
      </c>
      <c r="F28" s="359">
        <v>1</v>
      </c>
      <c r="G28" s="91" t="s">
        <v>149</v>
      </c>
      <c r="H28" s="88" t="s">
        <v>149</v>
      </c>
      <c r="I28" s="88" t="s">
        <v>149</v>
      </c>
      <c r="J28" s="88" t="s">
        <v>149</v>
      </c>
      <c r="K28" s="88" t="s">
        <v>149</v>
      </c>
      <c r="L28" s="87"/>
      <c r="M28" s="87"/>
      <c r="N28" s="88" t="s">
        <v>154</v>
      </c>
      <c r="O28" s="88" t="s">
        <v>154</v>
      </c>
      <c r="P28" s="87"/>
      <c r="Q28" s="88" t="s">
        <v>154</v>
      </c>
      <c r="R28" s="88" t="s">
        <v>154</v>
      </c>
      <c r="S28" s="87"/>
      <c r="T28" s="87"/>
      <c r="U28" s="88"/>
      <c r="V28" s="88"/>
      <c r="W28" s="88"/>
      <c r="X28" s="88"/>
      <c r="Y28" s="88"/>
      <c r="Z28" s="87"/>
      <c r="AA28" s="87"/>
      <c r="AB28" s="88" t="s">
        <v>196</v>
      </c>
      <c r="AC28" s="88" t="s">
        <v>196</v>
      </c>
      <c r="AD28" s="88" t="s">
        <v>196</v>
      </c>
      <c r="AE28" s="88" t="s">
        <v>196</v>
      </c>
      <c r="AF28" s="88" t="s">
        <v>196</v>
      </c>
      <c r="AG28" s="87"/>
      <c r="AH28" s="90"/>
    </row>
    <row r="29" spans="1:34" ht="18.75" customHeight="1">
      <c r="A29" s="431" t="s">
        <v>174</v>
      </c>
      <c r="B29" s="431"/>
      <c r="C29" s="431"/>
      <c r="D29" s="431"/>
      <c r="E29" s="431"/>
      <c r="F29" s="373">
        <v>1</v>
      </c>
      <c r="G29" s="378"/>
      <c r="H29" s="379"/>
      <c r="I29" s="379"/>
      <c r="J29" s="379"/>
      <c r="K29" s="379"/>
      <c r="L29" s="116"/>
      <c r="M29" s="116"/>
      <c r="N29" s="379"/>
      <c r="O29" s="379"/>
      <c r="P29" s="201"/>
      <c r="Q29" s="379"/>
      <c r="R29" s="379"/>
      <c r="S29" s="116"/>
      <c r="T29" s="116"/>
      <c r="U29" s="379"/>
      <c r="V29" s="379"/>
      <c r="W29" s="379"/>
      <c r="X29" s="379"/>
      <c r="Y29" s="379"/>
      <c r="Z29" s="116"/>
      <c r="AA29" s="116"/>
      <c r="AB29" s="379"/>
      <c r="AC29" s="379"/>
      <c r="AD29" s="379"/>
      <c r="AE29" s="379"/>
      <c r="AF29" s="379"/>
      <c r="AG29" s="116"/>
      <c r="AH29" s="117"/>
    </row>
    <row r="30" spans="1:34" ht="18.75" customHeight="1">
      <c r="A30" s="431"/>
      <c r="B30" s="431"/>
      <c r="C30" s="431"/>
      <c r="D30" s="431"/>
      <c r="E30" s="431"/>
      <c r="F30" s="354">
        <v>1</v>
      </c>
      <c r="G30" s="91"/>
      <c r="H30" s="88"/>
      <c r="I30" s="88"/>
      <c r="J30" s="88"/>
      <c r="K30" s="88"/>
      <c r="L30" s="70"/>
      <c r="M30" s="70"/>
      <c r="N30" s="88"/>
      <c r="O30" s="88"/>
      <c r="P30" s="87"/>
      <c r="Q30" s="88"/>
      <c r="R30" s="88"/>
      <c r="S30" s="70"/>
      <c r="T30" s="70"/>
      <c r="U30" s="88"/>
      <c r="V30" s="88"/>
      <c r="W30" s="88"/>
      <c r="X30" s="88"/>
      <c r="Y30" s="88"/>
      <c r="Z30" s="70"/>
      <c r="AA30" s="70"/>
      <c r="AB30" s="88"/>
      <c r="AC30" s="88"/>
      <c r="AD30" s="88"/>
      <c r="AE30" s="88"/>
      <c r="AF30" s="88"/>
      <c r="AG30" s="70"/>
      <c r="AH30" s="72"/>
    </row>
    <row r="31" spans="1:34" ht="18.75" customHeight="1">
      <c r="A31" s="431"/>
      <c r="B31" s="431"/>
      <c r="C31" s="431"/>
      <c r="D31" s="431"/>
      <c r="E31" s="431"/>
      <c r="F31" s="359">
        <v>1</v>
      </c>
      <c r="G31" s="139"/>
      <c r="H31" s="140"/>
      <c r="I31" s="140"/>
      <c r="J31" s="140"/>
      <c r="K31" s="140"/>
      <c r="L31" s="141"/>
      <c r="M31" s="141"/>
      <c r="N31" s="140"/>
      <c r="O31" s="140"/>
      <c r="P31" s="141"/>
      <c r="Q31" s="140"/>
      <c r="R31" s="140"/>
      <c r="S31" s="141"/>
      <c r="T31" s="141"/>
      <c r="U31" s="140"/>
      <c r="V31" s="140"/>
      <c r="W31" s="140"/>
      <c r="X31" s="140"/>
      <c r="Y31" s="140"/>
      <c r="Z31" s="141"/>
      <c r="AA31" s="141"/>
      <c r="AB31" s="140"/>
      <c r="AC31" s="140"/>
      <c r="AD31" s="140"/>
      <c r="AE31" s="140"/>
      <c r="AF31" s="140"/>
      <c r="AG31" s="141"/>
      <c r="AH31" s="142"/>
    </row>
    <row r="32" spans="1:34" ht="24" customHeight="1">
      <c r="F32" s="21"/>
      <c r="G32" s="144">
        <f>COUNTA(G29:G31)</f>
        <v>0</v>
      </c>
      <c r="H32" s="144">
        <f>COUNTA(H29:H31)</f>
        <v>0</v>
      </c>
      <c r="I32" s="144">
        <f>COUNTA(I29:I31)</f>
        <v>0</v>
      </c>
      <c r="J32" s="144">
        <f>COUNTA(J29:J31)</f>
        <v>0</v>
      </c>
      <c r="K32" s="144">
        <f>COUNTA(K29:K31)</f>
        <v>0</v>
      </c>
      <c r="L32" s="145"/>
      <c r="M32" s="145"/>
      <c r="N32" s="144">
        <f>COUNTA(N29:N31)</f>
        <v>0</v>
      </c>
      <c r="O32" s="144">
        <f>COUNTA(O29:O31)</f>
        <v>0</v>
      </c>
      <c r="P32" s="150">
        <f>COUNTA(P29:P31)</f>
        <v>0</v>
      </c>
      <c r="Q32" s="144">
        <f>COUNTA(Q29:Q31)</f>
        <v>0</v>
      </c>
      <c r="R32" s="144">
        <f>COUNTA(R29:R31)</f>
        <v>0</v>
      </c>
      <c r="S32" s="146"/>
      <c r="T32" s="146"/>
      <c r="U32" s="144">
        <f>COUNTA(U29:U31)</f>
        <v>0</v>
      </c>
      <c r="V32" s="144">
        <f>COUNTA(V29:V31)</f>
        <v>0</v>
      </c>
      <c r="W32" s="144">
        <f>COUNTA(W29:W31)</f>
        <v>0</v>
      </c>
      <c r="X32" s="144">
        <f>COUNTA(X29:X31)</f>
        <v>0</v>
      </c>
      <c r="Y32" s="144">
        <f>COUNTA(Y29:Y31)</f>
        <v>0</v>
      </c>
      <c r="Z32" s="146"/>
      <c r="AA32" s="146"/>
      <c r="AB32" s="144">
        <f>COUNTA(AB29:AB31)</f>
        <v>0</v>
      </c>
      <c r="AC32" s="144">
        <f>COUNTA(AC29:AC31)</f>
        <v>0</v>
      </c>
      <c r="AD32" s="144">
        <f>COUNTA(AD29:AD31)</f>
        <v>0</v>
      </c>
      <c r="AE32" s="144">
        <f>COUNTA(AE29:AE31)</f>
        <v>0</v>
      </c>
      <c r="AF32" s="144">
        <f>COUNTA(AF29:AF31)</f>
        <v>0</v>
      </c>
      <c r="AG32" s="146"/>
      <c r="AH32" s="147"/>
    </row>
    <row r="33" spans="4:34" ht="24" customHeight="1">
      <c r="D33" s="86" t="s">
        <v>176</v>
      </c>
      <c r="E33" s="86">
        <f t="shared" ref="E33:E38" si="0">SUM(L33,S33,Z33,AG33,AN33)</f>
        <v>14</v>
      </c>
      <c r="F33" s="86" t="s">
        <v>23</v>
      </c>
      <c r="G33" s="148">
        <f>COUNTIF(G8:G31,"TP")</f>
        <v>1</v>
      </c>
      <c r="H33" s="148">
        <f>COUNTIF(H8:H31,"TP")</f>
        <v>1</v>
      </c>
      <c r="I33" s="148">
        <f>COUNTIF(I8:I31,"TP")</f>
        <v>1</v>
      </c>
      <c r="J33" s="148">
        <f>COUNTIF(J8:J31,"TP")</f>
        <v>1</v>
      </c>
      <c r="K33" s="148">
        <f>COUNTIF(K8:K31,"TP")</f>
        <v>1</v>
      </c>
      <c r="L33" s="149">
        <f t="shared" ref="L33:L38" si="1">SUM(G33:K33)</f>
        <v>5</v>
      </c>
      <c r="M33" s="149"/>
      <c r="N33" s="148">
        <f>COUNTIF(N8:N31,"TP")</f>
        <v>1</v>
      </c>
      <c r="O33" s="148">
        <f>COUNTIF(O8:O31,"TP")</f>
        <v>1</v>
      </c>
      <c r="P33" s="150">
        <f>COUNTIF(P8:P31,"TP")</f>
        <v>0</v>
      </c>
      <c r="Q33" s="148">
        <f>COUNTIF(Q8:Q31,"TP")</f>
        <v>1</v>
      </c>
      <c r="R33" s="148">
        <f>COUNTIF(R8:R31,"TP")</f>
        <v>1</v>
      </c>
      <c r="S33" s="150">
        <f t="shared" ref="S33:S38" si="2">SUM(N33:R33)</f>
        <v>4</v>
      </c>
      <c r="T33" s="150"/>
      <c r="U33" s="148">
        <f>COUNTIF(U8:U31,"TP")</f>
        <v>1</v>
      </c>
      <c r="V33" s="148">
        <f>COUNTIF(V8:V31,"TP")</f>
        <v>1</v>
      </c>
      <c r="W33" s="148">
        <f>COUNTIF(W8:W31,"TP")</f>
        <v>1</v>
      </c>
      <c r="X33" s="148">
        <f>COUNTIF(X8:X31,"TP")</f>
        <v>1</v>
      </c>
      <c r="Y33" s="148">
        <f>COUNTIF(Y8:Y31,"TP")</f>
        <v>1</v>
      </c>
      <c r="Z33" s="150">
        <f t="shared" ref="Z33:Z38" si="3">SUM(U33:Y33)</f>
        <v>5</v>
      </c>
      <c r="AA33" s="150"/>
      <c r="AB33" s="148">
        <f>COUNTIF(AB8:AB31,"TP")</f>
        <v>0</v>
      </c>
      <c r="AC33" s="148">
        <f>COUNTIF(AC8:AC31,"TP")</f>
        <v>0</v>
      </c>
      <c r="AD33" s="148">
        <f>COUNTIF(AD8:AD31,"TP")</f>
        <v>0</v>
      </c>
      <c r="AE33" s="148">
        <f>COUNTIF(AE8:AE31,"TP")</f>
        <v>0</v>
      </c>
      <c r="AF33" s="148">
        <f>COUNTIF(AF8:AF31,"TP")</f>
        <v>0</v>
      </c>
      <c r="AG33" s="150">
        <f t="shared" ref="AG33:AG38" si="4">SUM(AB33:AF33)</f>
        <v>0</v>
      </c>
      <c r="AH33" s="151"/>
    </row>
    <row r="34" spans="4:34" ht="24" customHeight="1">
      <c r="D34" s="152" t="s">
        <v>176</v>
      </c>
      <c r="E34" s="152">
        <f t="shared" si="0"/>
        <v>2</v>
      </c>
      <c r="F34" s="152" t="s">
        <v>24</v>
      </c>
      <c r="G34" s="148">
        <f>COUNTIF(G8:G31,"CSE") + COUNTIF(G8:G31,"RPX")</f>
        <v>0</v>
      </c>
      <c r="H34" s="148">
        <f>COUNTIF(H8:H31,"CSE") + COUNTIF(H8:H31,"RPX")</f>
        <v>0</v>
      </c>
      <c r="I34" s="148">
        <f>COUNTIF(I8:I31,"CSE") + COUNTIF(I8:I31,"RPX")</f>
        <v>0</v>
      </c>
      <c r="J34" s="148">
        <f>COUNTIF(J8:J31,"CSE") + COUNTIF(J8:J31,"RPX")</f>
        <v>0</v>
      </c>
      <c r="K34" s="148">
        <f>COUNTIF(K8:K31,"CSE") + COUNTIF(K8:K31,"RPX")</f>
        <v>0</v>
      </c>
      <c r="L34" s="149">
        <f t="shared" si="1"/>
        <v>0</v>
      </c>
      <c r="M34" s="149"/>
      <c r="N34" s="148">
        <f>COUNTIF(N8:N31,"CSE") + COUNTIF(N8:N31,"RPX")</f>
        <v>0</v>
      </c>
      <c r="O34" s="148">
        <f>COUNTIF(O8:O31,"CSE") + COUNTIF(O8:O31,"RPX")</f>
        <v>0</v>
      </c>
      <c r="P34" s="150">
        <f>COUNTIF(P8:P31,"CSE") + COUNTIF(P8:P31,"RPX")</f>
        <v>0</v>
      </c>
      <c r="Q34" s="148">
        <f>COUNTIF(Q8:Q31,"CSE") + COUNTIF(Q8:Q31,"RPX")</f>
        <v>0</v>
      </c>
      <c r="R34" s="148">
        <f>COUNTIF(R8:R31,"CSE") + COUNTIF(R8:R31,"RPX")</f>
        <v>0</v>
      </c>
      <c r="S34" s="150">
        <f t="shared" si="2"/>
        <v>0</v>
      </c>
      <c r="T34" s="150"/>
      <c r="U34" s="148">
        <f>COUNTIF(U9:U31,"CSE") + COUNTIF(U9:U31,"RPX")</f>
        <v>0</v>
      </c>
      <c r="V34" s="148">
        <f>COUNTIF(V9:V31,"CSE") + COUNTIF(V9:V31,"RPX")</f>
        <v>0</v>
      </c>
      <c r="W34" s="148">
        <f>COUNTIF(W9:W31,"CSE") + COUNTIF(W9:W31,"RPX")</f>
        <v>0</v>
      </c>
      <c r="X34" s="148">
        <f>COUNTIF(X9:X31,"CSE") + COUNTIF(X9:X31,"RPX")</f>
        <v>1</v>
      </c>
      <c r="Y34" s="148">
        <f>COUNTIF(Y9:Y31,"CSE") + COUNTIF(Y9:Y31,"RPX")</f>
        <v>1</v>
      </c>
      <c r="Z34" s="150">
        <f t="shared" si="3"/>
        <v>2</v>
      </c>
      <c r="AA34" s="150"/>
      <c r="AB34" s="148">
        <f>COUNTIF(AB8:AB31,"CSE") + COUNTIF(AB8:AB31,"RPX")</f>
        <v>0</v>
      </c>
      <c r="AC34" s="148">
        <f>COUNTIF(AC8:AC31,"CSE") + COUNTIF(AC8:AC31,"RPX")</f>
        <v>0</v>
      </c>
      <c r="AD34" s="148">
        <f>COUNTIF(AD8:AD31,"CSE") + COUNTIF(AD8:AD31,"RPX")</f>
        <v>0</v>
      </c>
      <c r="AE34" s="148">
        <f>COUNTIF(AE8:AE31,"CSE") + COUNTIF(AE8:AE31,"RPX")</f>
        <v>0</v>
      </c>
      <c r="AF34" s="148">
        <f>COUNTIF(AF8:AF31,"CSE") + COUNTIF(AF8:AF31,"RPX")</f>
        <v>0</v>
      </c>
      <c r="AG34" s="150">
        <f t="shared" si="4"/>
        <v>0</v>
      </c>
      <c r="AH34" s="151"/>
    </row>
    <row r="35" spans="4:34" ht="24" customHeight="1">
      <c r="D35" s="153" t="s">
        <v>176</v>
      </c>
      <c r="E35" s="153">
        <f t="shared" si="0"/>
        <v>23</v>
      </c>
      <c r="F35" s="153" t="s">
        <v>25</v>
      </c>
      <c r="G35" s="148">
        <f>COUNTIF(G8:G31,"CA/RC")</f>
        <v>1</v>
      </c>
      <c r="H35" s="148">
        <f>COUNTIF(H8:H31,"CA/RC")</f>
        <v>1</v>
      </c>
      <c r="I35" s="148">
        <f>COUNTIF(I8:I31,"CA/RC")</f>
        <v>1</v>
      </c>
      <c r="J35" s="148">
        <f>COUNTIF(J8:J31,"CA/RC")</f>
        <v>1</v>
      </c>
      <c r="K35" s="148">
        <f>COUNTIF(K8:K31,"CA/RC")</f>
        <v>1</v>
      </c>
      <c r="L35" s="149">
        <f t="shared" si="1"/>
        <v>5</v>
      </c>
      <c r="M35" s="149"/>
      <c r="N35" s="148">
        <f>COUNTIF(N8:N31,"CA/RC")</f>
        <v>1</v>
      </c>
      <c r="O35" s="148">
        <f>COUNTIF(O8:O31,"CA/RC")</f>
        <v>1</v>
      </c>
      <c r="P35" s="150">
        <f>COUNTIF(P8:P31,"CA/RC")</f>
        <v>0</v>
      </c>
      <c r="Q35" s="148">
        <f>COUNTIF(Q8:Q31,"CA/RC")</f>
        <v>0</v>
      </c>
      <c r="R35" s="148">
        <f>COUNTIF(R8:R31,"CA/RC")</f>
        <v>1</v>
      </c>
      <c r="S35" s="150">
        <f t="shared" si="2"/>
        <v>3</v>
      </c>
      <c r="T35" s="150"/>
      <c r="U35" s="148">
        <f>COUNTIF(U8:U31,"CA/RC")</f>
        <v>0</v>
      </c>
      <c r="V35" s="148">
        <f>COUNTIF(V8:V31,"CA/RC")</f>
        <v>0</v>
      </c>
      <c r="W35" s="148">
        <f>COUNTIF(W8:W31,"CA/RC")</f>
        <v>0</v>
      </c>
      <c r="X35" s="148">
        <f>COUNTIF(X8:X31,"CA/RC")</f>
        <v>0</v>
      </c>
      <c r="Y35" s="148">
        <f>COUNTIF(Y8:Y31,"CA/RC")</f>
        <v>0</v>
      </c>
      <c r="Z35" s="150">
        <f t="shared" si="3"/>
        <v>0</v>
      </c>
      <c r="AA35" s="150"/>
      <c r="AB35" s="148">
        <f>COUNTIF(AB8:AB31,"CA/RC")</f>
        <v>3</v>
      </c>
      <c r="AC35" s="148">
        <f>COUNTIF(AC8:AC31,"CA/RC")</f>
        <v>3</v>
      </c>
      <c r="AD35" s="148">
        <f>COUNTIF(AD8:AD31,"CA/RC")</f>
        <v>3</v>
      </c>
      <c r="AE35" s="148">
        <f>COUNTIF(AE8:AE31,"CA/RC")</f>
        <v>3</v>
      </c>
      <c r="AF35" s="148">
        <f>COUNTIF(AF8:AF31,"CA/RC")</f>
        <v>3</v>
      </c>
      <c r="AG35" s="150">
        <f t="shared" si="4"/>
        <v>15</v>
      </c>
      <c r="AH35" s="151"/>
    </row>
    <row r="36" spans="4:34" ht="24" customHeight="1">
      <c r="D36" s="154" t="s">
        <v>176</v>
      </c>
      <c r="E36" s="154">
        <f t="shared" si="0"/>
        <v>0</v>
      </c>
      <c r="F36" s="154" t="s">
        <v>26</v>
      </c>
      <c r="G36" s="148">
        <f>COUNTIF(G8:G31,"ATM/ATA")</f>
        <v>0</v>
      </c>
      <c r="H36" s="148">
        <f>COUNTIF(H8:H31,"ATM/ATA")</f>
        <v>0</v>
      </c>
      <c r="I36" s="148">
        <f>COUNTIF(I8:I31,"ATM/ATA")</f>
        <v>0</v>
      </c>
      <c r="J36" s="148">
        <f>COUNTIF(J8:J31,"ATM/ATA")</f>
        <v>0</v>
      </c>
      <c r="K36" s="148">
        <f>COUNTIF(K8:K31,"ATM/ATA")</f>
        <v>0</v>
      </c>
      <c r="L36" s="149">
        <f t="shared" si="1"/>
        <v>0</v>
      </c>
      <c r="M36" s="149"/>
      <c r="N36" s="148">
        <f>COUNTIF(N8:N31,"ATM/ATA")</f>
        <v>0</v>
      </c>
      <c r="O36" s="148">
        <f>COUNTIF(O8:O31,"ATM/ATA")</f>
        <v>0</v>
      </c>
      <c r="P36" s="150">
        <f>COUNTIF(P8:P31,"ATM/ATA")</f>
        <v>0</v>
      </c>
      <c r="Q36" s="148">
        <f>COUNTIF(Q8:Q31,"ATM/ATA")</f>
        <v>0</v>
      </c>
      <c r="R36" s="148">
        <f>COUNTIF(R8:R31,"ATM/ATA")</f>
        <v>0</v>
      </c>
      <c r="S36" s="150">
        <f t="shared" si="2"/>
        <v>0</v>
      </c>
      <c r="T36" s="150"/>
      <c r="U36" s="148">
        <f>COUNTIF(U8:U31,"ATM/ATA")</f>
        <v>0</v>
      </c>
      <c r="V36" s="148">
        <f>COUNTIF(V8:V31,"ATM/ATA")</f>
        <v>0</v>
      </c>
      <c r="W36" s="148">
        <f>COUNTIF(W8:W31,"ATM/ATA")</f>
        <v>0</v>
      </c>
      <c r="X36" s="148">
        <f>COUNTIF(X8:X31,"ATM/ATA")</f>
        <v>0</v>
      </c>
      <c r="Y36" s="148">
        <f>COUNTIF(Y8:Y31,"ATM/ATA")</f>
        <v>0</v>
      </c>
      <c r="Z36" s="150">
        <f t="shared" si="3"/>
        <v>0</v>
      </c>
      <c r="AA36" s="150"/>
      <c r="AB36" s="148">
        <f>COUNTIF(AB8:AB31,"ATM/ATA")</f>
        <v>0</v>
      </c>
      <c r="AC36" s="148">
        <f>COUNTIF(AC8:AC31,"ATM/ATA")</f>
        <v>0</v>
      </c>
      <c r="AD36" s="148">
        <f>COUNTIF(AD8:AD31,"ATM/ATA")</f>
        <v>0</v>
      </c>
      <c r="AE36" s="148">
        <f>COUNTIF(AE8:AE31,"ATM/ATA")</f>
        <v>0</v>
      </c>
      <c r="AF36" s="148">
        <f>COUNTIF(AF8:AF31,"ATM/ATA")</f>
        <v>0</v>
      </c>
      <c r="AG36" s="150">
        <f t="shared" si="4"/>
        <v>0</v>
      </c>
      <c r="AH36" s="151"/>
    </row>
    <row r="37" spans="4:34" ht="24" customHeight="1">
      <c r="D37" s="122" t="s">
        <v>176</v>
      </c>
      <c r="E37" s="122">
        <f t="shared" si="0"/>
        <v>0</v>
      </c>
      <c r="F37" s="122" t="s">
        <v>27</v>
      </c>
      <c r="G37" s="148">
        <f>COUNTIF(G8:G31,"ASA")</f>
        <v>0</v>
      </c>
      <c r="H37" s="148">
        <f>COUNTIF(H8:H31,"ASA")</f>
        <v>0</v>
      </c>
      <c r="I37" s="148">
        <f>COUNTIF(I8:I31,"ASA")</f>
        <v>0</v>
      </c>
      <c r="J37" s="148">
        <f>COUNTIF(J8:J31,"ASA")</f>
        <v>0</v>
      </c>
      <c r="K37" s="148">
        <f>COUNTIF(K8:K31,"ASA")</f>
        <v>0</v>
      </c>
      <c r="L37" s="149">
        <f t="shared" si="1"/>
        <v>0</v>
      </c>
      <c r="M37" s="149"/>
      <c r="N37" s="148">
        <f>COUNTIF(N8:N31,"ASA")</f>
        <v>0</v>
      </c>
      <c r="O37" s="148">
        <f>COUNTIF(O8:O31,"ASA")</f>
        <v>0</v>
      </c>
      <c r="P37" s="150">
        <f>COUNTIF(P8:P31,"ASA")</f>
        <v>0</v>
      </c>
      <c r="Q37" s="148">
        <f>COUNTIF(Q8:Q31,"ASA")</f>
        <v>0</v>
      </c>
      <c r="R37" s="148">
        <f>COUNTIF(R8:R31,"ASA")</f>
        <v>0</v>
      </c>
      <c r="S37" s="150">
        <f t="shared" si="2"/>
        <v>0</v>
      </c>
      <c r="T37" s="150"/>
      <c r="U37" s="148">
        <f>COUNTIF(U8:U31,"ASA")</f>
        <v>0</v>
      </c>
      <c r="V37" s="148">
        <f>COUNTIF(V8:V31,"ASA")</f>
        <v>0</v>
      </c>
      <c r="W37" s="148">
        <f>COUNTIF(W8:W31,"ASA")</f>
        <v>0</v>
      </c>
      <c r="X37" s="148">
        <f>COUNTIF(X8:X31,"ASA")</f>
        <v>0</v>
      </c>
      <c r="Y37" s="148">
        <f>COUNTIF(Y8:Y31,"ASA")</f>
        <v>0</v>
      </c>
      <c r="Z37" s="150">
        <f t="shared" si="3"/>
        <v>0</v>
      </c>
      <c r="AA37" s="150"/>
      <c r="AB37" s="148">
        <f>COUNTIF(AB8:AB31,"ASA")</f>
        <v>0</v>
      </c>
      <c r="AC37" s="148">
        <f>COUNTIF(AC8:AC31,"ASA")</f>
        <v>0</v>
      </c>
      <c r="AD37" s="148">
        <f>COUNTIF(AD8:AD31,"ASA")</f>
        <v>0</v>
      </c>
      <c r="AE37" s="148">
        <f>COUNTIF(AE8:AE31,"ASA")</f>
        <v>0</v>
      </c>
      <c r="AF37" s="148">
        <f>COUNTIF(AF8:AF31,"ASA")</f>
        <v>0</v>
      </c>
      <c r="AG37" s="150">
        <f t="shared" si="4"/>
        <v>0</v>
      </c>
      <c r="AH37" s="151"/>
    </row>
    <row r="38" spans="4:34" ht="24" customHeight="1">
      <c r="D38" s="155" t="s">
        <v>176</v>
      </c>
      <c r="E38" s="155">
        <f t="shared" si="0"/>
        <v>0</v>
      </c>
      <c r="F38" s="155" t="s">
        <v>28</v>
      </c>
      <c r="G38" s="148">
        <f>COUNTIF(G8:G31,"FORM")</f>
        <v>0</v>
      </c>
      <c r="H38" s="148">
        <f>COUNTIF(H8:H31,"FORM")</f>
        <v>0</v>
      </c>
      <c r="I38" s="148">
        <f>COUNTIF(I8:I31,"FORM")</f>
        <v>0</v>
      </c>
      <c r="J38" s="148">
        <f>COUNTIF(J8:J31,"FORM")</f>
        <v>0</v>
      </c>
      <c r="K38" s="148">
        <f>COUNTIF(K8:K31,"FORM")</f>
        <v>0</v>
      </c>
      <c r="L38" s="149">
        <f t="shared" si="1"/>
        <v>0</v>
      </c>
      <c r="M38" s="149"/>
      <c r="N38" s="148">
        <f>COUNTIF(N8:N31,"FORM")</f>
        <v>0</v>
      </c>
      <c r="O38" s="148">
        <f>COUNTIF(O8:O31,"FORM")</f>
        <v>0</v>
      </c>
      <c r="P38" s="150">
        <f>COUNTIF(P8:P31,"FORM")</f>
        <v>0</v>
      </c>
      <c r="Q38" s="148">
        <f>COUNTIF(Q8:Q31,"FORM")</f>
        <v>0</v>
      </c>
      <c r="R38" s="148">
        <f>COUNTIF(R8:R31,"FORM")</f>
        <v>0</v>
      </c>
      <c r="S38" s="150">
        <f t="shared" si="2"/>
        <v>0</v>
      </c>
      <c r="T38" s="150"/>
      <c r="U38" s="148">
        <f>COUNTIF(U8:U31,"FORM")</f>
        <v>0</v>
      </c>
      <c r="V38" s="148">
        <f>COUNTIF(V8:V31,"FORM")</f>
        <v>0</v>
      </c>
      <c r="W38" s="148">
        <f>COUNTIF(W8:W31,"FORM")</f>
        <v>0</v>
      </c>
      <c r="X38" s="148">
        <f>COUNTIF(X8:X31,"FORM")</f>
        <v>0</v>
      </c>
      <c r="Y38" s="148">
        <f>COUNTIF(Y8:Y31,"FORM")</f>
        <v>0</v>
      </c>
      <c r="Z38" s="150">
        <f t="shared" si="3"/>
        <v>0</v>
      </c>
      <c r="AA38" s="150"/>
      <c r="AB38" s="148">
        <f>COUNTIF(AB8:AB31,"FORM")</f>
        <v>0</v>
      </c>
      <c r="AC38" s="148">
        <f>COUNTIF(AC8:AC31,"FORM")</f>
        <v>0</v>
      </c>
      <c r="AD38" s="148">
        <f>COUNTIF(AD8:AD31,"FORM")</f>
        <v>0</v>
      </c>
      <c r="AE38" s="148">
        <f>COUNTIF(AE8:AE31,"FORM")</f>
        <v>0</v>
      </c>
      <c r="AF38" s="148">
        <f>COUNTIF(AF8:AF31,"FORM")</f>
        <v>0</v>
      </c>
      <c r="AG38" s="150">
        <f t="shared" si="4"/>
        <v>0</v>
      </c>
      <c r="AH38" s="151"/>
    </row>
    <row r="39" spans="4:34" ht="24" customHeight="1">
      <c r="D39" s="156" t="s">
        <v>177</v>
      </c>
      <c r="E39" s="156">
        <f>AVERAGE(G39:AM39)</f>
        <v>1.95</v>
      </c>
      <c r="F39" s="215" t="s">
        <v>178</v>
      </c>
      <c r="G39" s="158">
        <f>SUM(G33:G38)</f>
        <v>2</v>
      </c>
      <c r="H39" s="158">
        <f>SUM(H33:H38)</f>
        <v>2</v>
      </c>
      <c r="I39" s="158">
        <f>SUM(I33:I38)</f>
        <v>2</v>
      </c>
      <c r="J39" s="158">
        <f>SUM(J33:J38)</f>
        <v>2</v>
      </c>
      <c r="K39" s="158">
        <f>SUM(K33:K38)</f>
        <v>2</v>
      </c>
      <c r="L39" s="158"/>
      <c r="M39" s="158"/>
      <c r="N39" s="158">
        <f>SUM(N33:N38)</f>
        <v>2</v>
      </c>
      <c r="O39" s="158">
        <f>SUM(O33:O38)</f>
        <v>2</v>
      </c>
      <c r="P39" s="158">
        <f>SUM(P33:P38)</f>
        <v>0</v>
      </c>
      <c r="Q39" s="158">
        <f>SUM(Q33:Q38)</f>
        <v>1</v>
      </c>
      <c r="R39" s="158">
        <f>SUM(R33:R38)</f>
        <v>2</v>
      </c>
      <c r="S39" s="158"/>
      <c r="T39" s="158"/>
      <c r="U39" s="158">
        <f>SUM(U33:U38)</f>
        <v>1</v>
      </c>
      <c r="V39" s="158">
        <f>SUM(V33:V38)</f>
        <v>1</v>
      </c>
      <c r="W39" s="158">
        <f>SUM(W33:W38)</f>
        <v>1</v>
      </c>
      <c r="X39" s="158">
        <f>SUM(X33:X38)</f>
        <v>2</v>
      </c>
      <c r="Y39" s="158">
        <f>SUM(Y33:Y38)</f>
        <v>2</v>
      </c>
      <c r="Z39" s="158"/>
      <c r="AA39" s="158"/>
      <c r="AB39" s="158">
        <f>SUM(AB33:AB38)</f>
        <v>3</v>
      </c>
      <c r="AC39" s="158">
        <f>SUM(AC33:AC38)</f>
        <v>3</v>
      </c>
      <c r="AD39" s="158">
        <f>SUM(AD33:AD38)</f>
        <v>3</v>
      </c>
      <c r="AE39" s="158">
        <f>SUM(AE33:AE38)</f>
        <v>3</v>
      </c>
      <c r="AF39" s="158">
        <f>SUM(AF33:AF38)</f>
        <v>3</v>
      </c>
      <c r="AG39" s="158"/>
      <c r="AH39" s="159"/>
    </row>
    <row r="40" spans="4:34" ht="24" customHeight="1">
      <c r="D40" s="156" t="s">
        <v>177</v>
      </c>
      <c r="E40" s="156">
        <f>AVERAGE(G40:AM40)</f>
        <v>18.05</v>
      </c>
      <c r="F40" s="215" t="s">
        <v>179</v>
      </c>
      <c r="G40" s="158">
        <f>(20+G32)-G39</f>
        <v>18</v>
      </c>
      <c r="H40" s="158">
        <f>(20+H32)-H39</f>
        <v>18</v>
      </c>
      <c r="I40" s="158">
        <f>(20+I32)-I39</f>
        <v>18</v>
      </c>
      <c r="J40" s="158">
        <f>(20+J32)-J39</f>
        <v>18</v>
      </c>
      <c r="K40" s="158">
        <f>(20+K32)-K39</f>
        <v>18</v>
      </c>
      <c r="L40" s="158"/>
      <c r="M40" s="158"/>
      <c r="N40" s="158">
        <f>(20+N32)-N39</f>
        <v>18</v>
      </c>
      <c r="O40" s="158">
        <f>(20+O32)-O39</f>
        <v>18</v>
      </c>
      <c r="P40" s="158">
        <f>(20+P32)-P39</f>
        <v>20</v>
      </c>
      <c r="Q40" s="158">
        <f>(20+Q32)-Q39</f>
        <v>19</v>
      </c>
      <c r="R40" s="158">
        <f>(20+R32)-R39</f>
        <v>18</v>
      </c>
      <c r="S40" s="158"/>
      <c r="T40" s="158"/>
      <c r="U40" s="158">
        <f>(20+U32)-U39</f>
        <v>19</v>
      </c>
      <c r="V40" s="158">
        <f>(20+V32)-V39</f>
        <v>19</v>
      </c>
      <c r="W40" s="158">
        <f>(20+W32)-W39</f>
        <v>19</v>
      </c>
      <c r="X40" s="158">
        <f>(20+X32)-X39</f>
        <v>18</v>
      </c>
      <c r="Y40" s="158">
        <f>(20+Y32)-Y39</f>
        <v>18</v>
      </c>
      <c r="Z40" s="158"/>
      <c r="AA40" s="158"/>
      <c r="AB40" s="158">
        <f>(20+AB32)-AB39</f>
        <v>17</v>
      </c>
      <c r="AC40" s="158">
        <f>(20+AC32)-AC39</f>
        <v>17</v>
      </c>
      <c r="AD40" s="158">
        <f>(20+AD32)-AD39</f>
        <v>17</v>
      </c>
      <c r="AE40" s="158">
        <f>(20+AE32)-AE39</f>
        <v>17</v>
      </c>
      <c r="AF40" s="158">
        <f>(20+AF32)-AF39</f>
        <v>17</v>
      </c>
      <c r="AG40" s="158"/>
      <c r="AH40" s="159"/>
    </row>
    <row r="41" spans="4:34" ht="24" customHeight="1">
      <c r="D41" s="156" t="s">
        <v>177</v>
      </c>
      <c r="E41" s="156">
        <f>AVERAGE(G41:AM41)</f>
        <v>16</v>
      </c>
      <c r="F41" s="216" t="s">
        <v>180</v>
      </c>
      <c r="G41" s="161">
        <v>16</v>
      </c>
      <c r="H41" s="161">
        <v>16</v>
      </c>
      <c r="I41" s="161">
        <v>16</v>
      </c>
      <c r="J41" s="161">
        <v>16</v>
      </c>
      <c r="K41" s="161">
        <v>16</v>
      </c>
      <c r="L41" s="161"/>
      <c r="M41" s="161"/>
      <c r="N41" s="161">
        <v>16</v>
      </c>
      <c r="O41" s="161">
        <v>16</v>
      </c>
      <c r="P41" s="161">
        <v>16</v>
      </c>
      <c r="Q41" s="161">
        <v>16</v>
      </c>
      <c r="R41" s="161">
        <v>16</v>
      </c>
      <c r="S41" s="162"/>
      <c r="T41" s="162"/>
      <c r="U41" s="161">
        <v>16</v>
      </c>
      <c r="V41" s="161">
        <v>16</v>
      </c>
      <c r="W41" s="161">
        <v>16</v>
      </c>
      <c r="X41" s="161">
        <v>16</v>
      </c>
      <c r="Y41" s="161">
        <v>16</v>
      </c>
      <c r="Z41" s="162"/>
      <c r="AA41" s="162"/>
      <c r="AB41" s="161">
        <v>16</v>
      </c>
      <c r="AC41" s="161">
        <v>16</v>
      </c>
      <c r="AD41" s="161">
        <v>16</v>
      </c>
      <c r="AE41" s="161">
        <v>16</v>
      </c>
      <c r="AF41" s="161">
        <v>16</v>
      </c>
      <c r="AG41" s="162"/>
      <c r="AH41" s="163"/>
    </row>
    <row r="42" spans="4:34" ht="24" customHeight="1">
      <c r="D42" s="156" t="s">
        <v>177</v>
      </c>
      <c r="E42" s="156">
        <f>AVERAGE(G42:AM42)</f>
        <v>2.0499999999999998</v>
      </c>
      <c r="F42" s="217" t="s">
        <v>181</v>
      </c>
      <c r="G42" s="166">
        <f>G40-G41</f>
        <v>2</v>
      </c>
      <c r="H42" s="166">
        <f>H40-H41</f>
        <v>2</v>
      </c>
      <c r="I42" s="166">
        <f>I40-I41</f>
        <v>2</v>
      </c>
      <c r="J42" s="166">
        <f>J40-J41</f>
        <v>2</v>
      </c>
      <c r="K42" s="166">
        <f>K40-K41</f>
        <v>2</v>
      </c>
      <c r="L42" s="166"/>
      <c r="M42" s="166"/>
      <c r="N42" s="166">
        <f>N40-N41</f>
        <v>2</v>
      </c>
      <c r="O42" s="166">
        <f>O40-O41</f>
        <v>2</v>
      </c>
      <c r="P42" s="166">
        <f>P40-P41</f>
        <v>4</v>
      </c>
      <c r="Q42" s="166">
        <f>Q40-Q41</f>
        <v>3</v>
      </c>
      <c r="R42" s="166">
        <f>R40-R41</f>
        <v>2</v>
      </c>
      <c r="S42" s="166"/>
      <c r="T42" s="166"/>
      <c r="U42" s="166">
        <f>U40-U41</f>
        <v>3</v>
      </c>
      <c r="V42" s="166">
        <f>V40-V41</f>
        <v>3</v>
      </c>
      <c r="W42" s="166">
        <f>W40-W41</f>
        <v>3</v>
      </c>
      <c r="X42" s="166">
        <f>X40-X41</f>
        <v>2</v>
      </c>
      <c r="Y42" s="166">
        <f>Y40-Y41</f>
        <v>2</v>
      </c>
      <c r="Z42" s="166"/>
      <c r="AA42" s="166"/>
      <c r="AB42" s="166">
        <f>AB40-AB41</f>
        <v>1</v>
      </c>
      <c r="AC42" s="166">
        <f>AC40-AC41</f>
        <v>1</v>
      </c>
      <c r="AD42" s="166">
        <f>AD40-AD41</f>
        <v>1</v>
      </c>
      <c r="AE42" s="166">
        <f>AE40-AE41</f>
        <v>1</v>
      </c>
      <c r="AF42" s="166">
        <f>AF40-AF41</f>
        <v>1</v>
      </c>
      <c r="AG42" s="166"/>
      <c r="AH42" s="167"/>
    </row>
    <row r="43" spans="4:34" ht="18.75" customHeight="1">
      <c r="F43" s="13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4:34" ht="18.75" customHeight="1">
      <c r="F44" s="13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4:34" ht="18.75" customHeight="1">
      <c r="F45" s="13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4:34" ht="18.75" customHeight="1">
      <c r="F46" s="13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4:34" ht="18.75" customHeight="1">
      <c r="F47" s="13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4:34" ht="18.75" customHeight="1">
      <c r="F48" s="13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6:34" ht="18.75" customHeight="1">
      <c r="F49" s="13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  <row r="50" spans="6:34" ht="18.75" customHeight="1">
      <c r="F50" s="13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</row>
    <row r="51" spans="6:34" ht="18.75" customHeight="1">
      <c r="F51" s="13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</row>
    <row r="52" spans="6:34" ht="18.75" customHeight="1">
      <c r="F52" s="13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</row>
    <row r="53" spans="6:34" ht="18.75" customHeight="1">
      <c r="F53" s="13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</row>
    <row r="54" spans="6:34" ht="18.75" customHeight="1">
      <c r="F54" s="13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</row>
    <row r="55" spans="6:34" ht="18.75" customHeight="1">
      <c r="F55" s="13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</row>
    <row r="56" spans="6:34" ht="18.75" customHeight="1">
      <c r="F56" s="13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</row>
    <row r="57" spans="6:34" ht="18.75" customHeight="1">
      <c r="F57" s="13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</row>
    <row r="58" spans="6:34" ht="18.75" customHeight="1">
      <c r="F58" s="13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</row>
    <row r="59" spans="6:34" ht="18.75" customHeight="1">
      <c r="F59" s="13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</row>
    <row r="60" spans="6:34" ht="18.75" customHeight="1">
      <c r="F60" s="13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</row>
    <row r="61" spans="6:34" ht="18.75" customHeight="1">
      <c r="F61" s="13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</row>
    <row r="62" spans="6:34" ht="18.75" customHeight="1">
      <c r="F62" s="13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</row>
    <row r="63" spans="6:34" ht="18.75" customHeight="1">
      <c r="F63" s="13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</row>
    <row r="64" spans="6:34" ht="18.75" customHeight="1">
      <c r="F64" s="13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</row>
    <row r="65" spans="6:34" ht="18.75" customHeight="1">
      <c r="F65" s="13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</row>
    <row r="66" spans="6:34" ht="18.75" customHeight="1">
      <c r="F66" s="13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</row>
    <row r="67" spans="6:34" ht="18.75" customHeight="1">
      <c r="F67" s="13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</row>
    <row r="68" spans="6:34" ht="18.75" customHeight="1">
      <c r="F68" s="13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</row>
    <row r="69" spans="6:34" ht="18.75" customHeight="1">
      <c r="F69" s="13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</row>
    <row r="70" spans="6:34" ht="18.75" customHeight="1">
      <c r="F70" s="13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</row>
    <row r="71" spans="6:34" ht="18.75" customHeight="1">
      <c r="F71" s="13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</row>
    <row r="72" spans="6:34" ht="18.75" customHeight="1">
      <c r="F72" s="13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</row>
    <row r="73" spans="6:34" ht="18.75" customHeight="1">
      <c r="F73" s="13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</row>
    <row r="74" spans="6:34" ht="18.75" customHeight="1">
      <c r="F74" s="13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</row>
    <row r="75" spans="6:34" ht="18.75" customHeight="1">
      <c r="F75" s="13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</row>
    <row r="76" spans="6:34" ht="18.75" customHeight="1">
      <c r="F76" s="13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</row>
    <row r="77" spans="6:34" ht="18.75" customHeight="1">
      <c r="F77" s="13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</row>
    <row r="78" spans="6:34" ht="18.75" customHeight="1">
      <c r="F78" s="13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</row>
    <row r="79" spans="6:34" ht="18.75" customHeight="1">
      <c r="F79" s="13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</row>
    <row r="80" spans="6:34" ht="18.75" customHeight="1">
      <c r="F80" s="13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</row>
    <row r="81" spans="6:34" ht="18.75" customHeight="1">
      <c r="F81" s="13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</row>
    <row r="82" spans="6:34" ht="18.75" customHeight="1">
      <c r="F82" s="13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</row>
    <row r="83" spans="6:34" ht="18.75" customHeight="1">
      <c r="F83" s="13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</row>
    <row r="84" spans="6:34" ht="18.75" customHeight="1">
      <c r="F84" s="13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</row>
    <row r="85" spans="6:34" ht="18.75" customHeight="1">
      <c r="F85" s="13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</row>
    <row r="86" spans="6:34" ht="18.75" customHeight="1">
      <c r="F86" s="13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</row>
    <row r="87" spans="6:34" ht="18.75" customHeight="1">
      <c r="F87" s="13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</row>
    <row r="88" spans="6:34" ht="18.75" customHeight="1">
      <c r="F88" s="13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</row>
    <row r="89" spans="6:34" ht="18.75" customHeight="1">
      <c r="F89" s="13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</row>
    <row r="90" spans="6:34" ht="18.75" customHeight="1">
      <c r="F90" s="13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</row>
    <row r="91" spans="6:34" ht="18.75" customHeight="1">
      <c r="F91" s="13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</row>
    <row r="92" spans="6:34" ht="18.75" customHeight="1">
      <c r="F92" s="13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</row>
    <row r="93" spans="6:34" ht="18.75" customHeight="1">
      <c r="F93" s="13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</row>
    <row r="94" spans="6:34" ht="18.75" customHeight="1">
      <c r="F94" s="13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</row>
    <row r="95" spans="6:34" ht="18.75" customHeight="1">
      <c r="F95" s="13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</row>
    <row r="96" spans="6:34" ht="18.75" customHeight="1">
      <c r="F96" s="13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</row>
    <row r="97" spans="6:34" ht="18.75" customHeight="1">
      <c r="F97" s="13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</row>
    <row r="98" spans="6:34" ht="18.75" customHeight="1">
      <c r="F98" s="13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</row>
    <row r="99" spans="6:34" ht="18.75" customHeight="1">
      <c r="F99" s="13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</row>
    <row r="100" spans="6:34" ht="18.75" customHeight="1">
      <c r="F100" s="13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</row>
    <row r="101" spans="6:34" ht="18.75" customHeight="1">
      <c r="F101" s="13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</row>
    <row r="102" spans="6:34" ht="18.75" customHeight="1">
      <c r="F102" s="13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</row>
    <row r="103" spans="6:34" ht="18.75" customHeight="1">
      <c r="F103" s="13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</row>
    <row r="104" spans="6:34" ht="18.75" customHeight="1">
      <c r="F104" s="13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</row>
    <row r="105" spans="6:34" ht="18.75" customHeight="1">
      <c r="F105" s="13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</row>
    <row r="106" spans="6:34" ht="18.75" customHeight="1">
      <c r="F106" s="13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</row>
    <row r="107" spans="6:34" ht="18.75" customHeight="1">
      <c r="F107" s="13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</row>
    <row r="108" spans="6:34" ht="18.75" customHeight="1">
      <c r="F108" s="13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</row>
    <row r="109" spans="6:34" ht="18.75" customHeight="1">
      <c r="F109" s="13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</row>
    <row r="110" spans="6:34" ht="18.75" customHeight="1">
      <c r="F110" s="13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</row>
    <row r="111" spans="6:34" ht="18.75" customHeight="1">
      <c r="F111" s="13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</row>
    <row r="112" spans="6:34" ht="18.75" customHeight="1">
      <c r="F112" s="13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</row>
    <row r="113" spans="6:34" ht="18.75" customHeight="1">
      <c r="F113" s="13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</row>
    <row r="114" spans="6:34" ht="18.75" customHeight="1">
      <c r="F114" s="13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</row>
    <row r="115" spans="6:34" ht="18.75" customHeight="1">
      <c r="F115" s="13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</row>
    <row r="116" spans="6:34" ht="18.75" customHeight="1">
      <c r="F116" s="13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</row>
    <row r="117" spans="6:34" ht="18.75" customHeight="1">
      <c r="F117" s="13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</row>
    <row r="118" spans="6:34" ht="18.75" customHeight="1">
      <c r="F118" s="13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</row>
    <row r="119" spans="6:34" ht="18.75" customHeight="1">
      <c r="F119" s="13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</row>
    <row r="120" spans="6:34" ht="18.75" customHeight="1">
      <c r="F120" s="13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</row>
    <row r="121" spans="6:34" ht="18.75" customHeight="1">
      <c r="F121" s="13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</row>
    <row r="122" spans="6:34" ht="18.75" customHeight="1">
      <c r="F122" s="13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</row>
    <row r="123" spans="6:34" ht="18.75" customHeight="1">
      <c r="F123" s="13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</row>
    <row r="124" spans="6:34" ht="18.75" customHeight="1">
      <c r="F124" s="13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</row>
    <row r="125" spans="6:34" ht="18.75" customHeight="1">
      <c r="F125" s="13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</row>
    <row r="126" spans="6:34" ht="18.75" customHeight="1">
      <c r="F126" s="13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</row>
    <row r="127" spans="6:34" ht="18.75" customHeight="1">
      <c r="F127" s="13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</row>
    <row r="128" spans="6:34" ht="18.75" customHeight="1">
      <c r="F128" s="13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</row>
    <row r="129" spans="6:34" ht="18.75" customHeight="1">
      <c r="F129" s="13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</row>
    <row r="130" spans="6:34" ht="18.75" customHeight="1">
      <c r="F130" s="13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</row>
    <row r="131" spans="6:34" ht="18.75" customHeight="1">
      <c r="F131" s="13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</row>
    <row r="132" spans="6:34" ht="18.75" customHeight="1">
      <c r="F132" s="13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</row>
    <row r="133" spans="6:34" ht="18.75" customHeight="1">
      <c r="F133" s="13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</row>
    <row r="134" spans="6:34" ht="18.75" customHeight="1">
      <c r="F134" s="13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</row>
    <row r="135" spans="6:34" ht="18.75" customHeight="1">
      <c r="F135" s="13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</row>
    <row r="136" spans="6:34" ht="18.75" customHeight="1">
      <c r="F136" s="13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</row>
    <row r="137" spans="6:34" ht="18.75" customHeight="1">
      <c r="F137" s="13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</row>
    <row r="138" spans="6:34" ht="18.75" customHeight="1">
      <c r="F138" s="13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</row>
    <row r="139" spans="6:34" ht="18.75" customHeight="1">
      <c r="F139" s="13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</row>
    <row r="140" spans="6:34" ht="18.75" customHeight="1">
      <c r="F140" s="13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</row>
    <row r="141" spans="6:34" ht="18.75" customHeight="1">
      <c r="F141" s="13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</row>
    <row r="142" spans="6:34" ht="18.75" customHeight="1">
      <c r="F142" s="13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</row>
    <row r="143" spans="6:34" ht="18.75" customHeight="1">
      <c r="F143" s="13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</row>
    <row r="144" spans="6:34" ht="18.75" customHeight="1">
      <c r="F144" s="13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</row>
    <row r="145" spans="6:34" ht="18.75" customHeight="1">
      <c r="F145" s="13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</row>
    <row r="146" spans="6:34" ht="18.75" customHeight="1">
      <c r="F146" s="13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</row>
    <row r="147" spans="6:34" ht="18.75" customHeight="1">
      <c r="F147" s="13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</row>
    <row r="148" spans="6:34" ht="18.75" customHeight="1">
      <c r="F148" s="13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</row>
    <row r="149" spans="6:34" ht="18.75" customHeight="1">
      <c r="F149" s="13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</row>
    <row r="150" spans="6:34" ht="18.75" customHeight="1">
      <c r="F150" s="13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</row>
    <row r="151" spans="6:34" ht="18.75" customHeight="1">
      <c r="F151" s="13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</row>
    <row r="152" spans="6:34" ht="18.75" customHeight="1">
      <c r="F152" s="13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</row>
    <row r="153" spans="6:34" ht="18.75" customHeight="1">
      <c r="F153" s="13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</row>
    <row r="154" spans="6:34" ht="18.75" customHeight="1">
      <c r="F154" s="13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</row>
    <row r="155" spans="6:34" ht="18.75" customHeight="1">
      <c r="F155" s="13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</row>
    <row r="156" spans="6:34" ht="18.75" customHeight="1">
      <c r="F156" s="13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</row>
    <row r="157" spans="6:34" ht="18.75" customHeight="1">
      <c r="F157" s="13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</row>
    <row r="158" spans="6:34" ht="18.75" customHeight="1">
      <c r="F158" s="13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</row>
    <row r="159" spans="6:34" ht="18.75" customHeight="1">
      <c r="F159" s="13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</row>
    <row r="160" spans="6:34" ht="18.75" customHeight="1">
      <c r="F160" s="13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</row>
    <row r="161" spans="6:34" ht="18.75" customHeight="1">
      <c r="F161" s="13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</row>
    <row r="162" spans="6:34" ht="18.75" customHeight="1">
      <c r="F162" s="13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</row>
    <row r="163" spans="6:34" ht="18.75" customHeight="1">
      <c r="F163" s="13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</row>
    <row r="164" spans="6:34" ht="18.75" customHeight="1">
      <c r="F164" s="13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</row>
    <row r="165" spans="6:34" ht="18.75" customHeight="1">
      <c r="F165" s="13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</row>
    <row r="166" spans="6:34" ht="18.75" customHeight="1">
      <c r="F166" s="13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</row>
    <row r="167" spans="6:34" ht="18.75" customHeight="1">
      <c r="F167" s="13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</row>
    <row r="168" spans="6:34" ht="18.75" customHeight="1">
      <c r="F168" s="13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</row>
    <row r="169" spans="6:34" ht="18.75" customHeight="1">
      <c r="F169" s="13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</row>
    <row r="170" spans="6:34" ht="18.75" customHeight="1">
      <c r="F170" s="13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</row>
    <row r="171" spans="6:34" ht="18.75" customHeight="1">
      <c r="F171" s="13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</row>
    <row r="172" spans="6:34" ht="18.75" customHeight="1">
      <c r="F172" s="13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</row>
    <row r="173" spans="6:34" ht="18.75" customHeight="1">
      <c r="F173" s="13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</row>
    <row r="174" spans="6:34" ht="18.75" customHeight="1">
      <c r="F174" s="13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</row>
    <row r="175" spans="6:34" ht="18.75" customHeight="1">
      <c r="F175" s="13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</row>
    <row r="176" spans="6:34" ht="18.75" customHeight="1">
      <c r="F176" s="13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</row>
    <row r="177" spans="6:34" ht="18.75" customHeight="1">
      <c r="F177" s="13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</row>
    <row r="178" spans="6:34" ht="18.75" customHeight="1">
      <c r="F178" s="13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</row>
    <row r="179" spans="6:34" ht="18.75" customHeight="1">
      <c r="F179" s="13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</row>
    <row r="180" spans="6:34" ht="18.75" customHeight="1">
      <c r="F180" s="13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</row>
    <row r="181" spans="6:34" ht="18.75" customHeight="1">
      <c r="F181" s="13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</row>
    <row r="182" spans="6:34" ht="18.75" customHeight="1">
      <c r="F182" s="13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</row>
    <row r="183" spans="6:34" ht="18.75" customHeight="1">
      <c r="F183" s="13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</row>
    <row r="184" spans="6:34" ht="18.75" customHeight="1">
      <c r="F184" s="13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</row>
    <row r="185" spans="6:34" ht="18.75" customHeight="1">
      <c r="F185" s="13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</row>
    <row r="186" spans="6:34" ht="18.75" customHeight="1">
      <c r="F186" s="13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</row>
    <row r="187" spans="6:34" ht="18.75" customHeight="1">
      <c r="F187" s="13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</row>
    <row r="188" spans="6:34" ht="18.75" customHeight="1">
      <c r="F188" s="13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</row>
    <row r="189" spans="6:34" ht="18.75" customHeight="1">
      <c r="F189" s="13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</row>
    <row r="190" spans="6:34" ht="18.75" customHeight="1">
      <c r="F190" s="13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</row>
    <row r="191" spans="6:34" ht="18.75" customHeight="1">
      <c r="F191" s="13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</row>
    <row r="192" spans="6:34" ht="18.75" customHeight="1">
      <c r="F192" s="13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</row>
    <row r="193" spans="6:34" ht="18.75" customHeight="1">
      <c r="F193" s="13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</row>
    <row r="194" spans="6:34" ht="18.75" customHeight="1">
      <c r="F194" s="13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</row>
    <row r="195" spans="6:34" ht="18.75" customHeight="1">
      <c r="F195" s="13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</row>
    <row r="196" spans="6:34" ht="18.75" customHeight="1">
      <c r="F196" s="13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</row>
    <row r="197" spans="6:34" ht="18.75" customHeight="1">
      <c r="F197" s="13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</row>
    <row r="198" spans="6:34" ht="18.75" customHeight="1">
      <c r="F198" s="13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</row>
    <row r="199" spans="6:34" ht="18.75" customHeight="1">
      <c r="F199" s="13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</row>
    <row r="200" spans="6:34" ht="18.75" customHeight="1">
      <c r="F200" s="13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</row>
    <row r="201" spans="6:34" ht="18.75" customHeight="1">
      <c r="F201" s="13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</row>
    <row r="202" spans="6:34" ht="18.75" customHeight="1">
      <c r="F202" s="13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</row>
    <row r="203" spans="6:34" ht="18.75" customHeight="1">
      <c r="F203" s="13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</row>
    <row r="204" spans="6:34" ht="18.75" customHeight="1">
      <c r="F204" s="13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</row>
    <row r="205" spans="6:34" ht="18.75" customHeight="1">
      <c r="F205" s="13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</row>
    <row r="206" spans="6:34" ht="18.75" customHeight="1">
      <c r="F206" s="13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</row>
    <row r="207" spans="6:34" ht="18.75" customHeight="1">
      <c r="F207" s="13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</row>
    <row r="208" spans="6:34" ht="18.75" customHeight="1">
      <c r="F208" s="13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</row>
    <row r="209" spans="6:34" ht="18.75" customHeight="1">
      <c r="F209" s="13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</row>
    <row r="210" spans="6:34" ht="18.75" customHeight="1">
      <c r="F210" s="13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</row>
    <row r="211" spans="6:34" ht="18.75" customHeight="1">
      <c r="F211" s="13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</row>
    <row r="212" spans="6:34" ht="18.75" customHeight="1">
      <c r="F212" s="13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</row>
    <row r="213" spans="6:34" ht="18.75" customHeight="1">
      <c r="F213" s="13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</row>
    <row r="214" spans="6:34" ht="18.75" customHeight="1">
      <c r="F214" s="13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</row>
    <row r="215" spans="6:34" ht="18.75" customHeight="1">
      <c r="F215" s="13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</row>
    <row r="216" spans="6:34" ht="18.75" customHeight="1">
      <c r="F216" s="13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</row>
    <row r="217" spans="6:34" ht="18.75" customHeight="1">
      <c r="F217" s="13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</row>
    <row r="218" spans="6:34" ht="18.75" customHeight="1">
      <c r="F218" s="13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</row>
    <row r="219" spans="6:34" ht="18.75" customHeight="1">
      <c r="F219" s="13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</row>
    <row r="220" spans="6:34" ht="18.75" customHeight="1">
      <c r="F220" s="13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</row>
    <row r="221" spans="6:34" ht="18.75" customHeight="1">
      <c r="F221" s="13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</row>
    <row r="222" spans="6:34" ht="18.75" customHeight="1">
      <c r="F222" s="13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</row>
    <row r="223" spans="6:34" ht="18.75" customHeight="1">
      <c r="F223" s="13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</row>
    <row r="224" spans="6:34" ht="18.75" customHeight="1">
      <c r="F224" s="13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</row>
    <row r="225" spans="6:34" ht="18.75" customHeight="1">
      <c r="F225" s="13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</row>
    <row r="226" spans="6:34" ht="18.75" customHeight="1">
      <c r="F226" s="13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</row>
    <row r="227" spans="6:34" ht="18.75" customHeight="1">
      <c r="F227" s="13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</row>
    <row r="228" spans="6:34" ht="18.75" customHeight="1">
      <c r="F228" s="13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</row>
    <row r="229" spans="6:34" ht="18.75" customHeight="1">
      <c r="F229" s="13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</row>
    <row r="230" spans="6:34" ht="18.75" customHeight="1">
      <c r="F230" s="13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</row>
    <row r="231" spans="6:34" ht="18.75" customHeight="1">
      <c r="F231" s="13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</row>
    <row r="232" spans="6:34" ht="18.75" customHeight="1">
      <c r="F232" s="13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</row>
    <row r="233" spans="6:34" ht="18.75" customHeight="1">
      <c r="F233" s="13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</row>
    <row r="234" spans="6:34" ht="18.75" customHeight="1">
      <c r="F234" s="13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</row>
    <row r="235" spans="6:34" ht="18.75" customHeight="1">
      <c r="F235" s="13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</row>
    <row r="236" spans="6:34" ht="18.75" customHeight="1">
      <c r="F236" s="13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</row>
    <row r="237" spans="6:34" ht="18.75" customHeight="1">
      <c r="F237" s="13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</row>
    <row r="238" spans="6:34" ht="18.75" customHeight="1">
      <c r="F238" s="13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</row>
    <row r="239" spans="6:34" ht="18.75" customHeight="1">
      <c r="F239" s="13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</row>
    <row r="240" spans="6:34" ht="18.75" customHeight="1">
      <c r="F240" s="13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</row>
    <row r="241" spans="6:34" ht="18.75" customHeight="1">
      <c r="F241" s="13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</row>
    <row r="242" spans="6:34" ht="18.75" customHeight="1">
      <c r="F242" s="13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</row>
    <row r="243" spans="6:34" ht="18.75" customHeight="1">
      <c r="F243" s="13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</row>
    <row r="244" spans="6:34" ht="18.75" customHeight="1">
      <c r="F244" s="13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</row>
    <row r="245" spans="6:34" ht="18.75" customHeight="1">
      <c r="F245" s="13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</row>
    <row r="246" spans="6:34" ht="18.75" customHeight="1">
      <c r="F246" s="13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</row>
    <row r="247" spans="6:34" ht="18.75" customHeight="1">
      <c r="F247" s="13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</row>
    <row r="248" spans="6:34" ht="18.75" customHeight="1">
      <c r="F248" s="13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</row>
    <row r="249" spans="6:34" ht="18.75" customHeight="1">
      <c r="F249" s="13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</row>
    <row r="250" spans="6:34" ht="18.75" customHeight="1">
      <c r="F250" s="13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</row>
    <row r="251" spans="6:34" ht="18.75" customHeight="1">
      <c r="F251" s="13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</row>
    <row r="252" spans="6:34" ht="18.75" customHeight="1">
      <c r="F252" s="13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</row>
    <row r="253" spans="6:34" ht="18.75" customHeight="1">
      <c r="F253" s="13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</row>
    <row r="254" spans="6:34" ht="18.75" customHeight="1">
      <c r="F254" s="13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</row>
    <row r="255" spans="6:34" ht="18.75" customHeight="1">
      <c r="F255" s="13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</row>
    <row r="256" spans="6:34" ht="18.75" customHeight="1">
      <c r="F256" s="13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</row>
    <row r="257" spans="6:34" ht="18.75" customHeight="1">
      <c r="F257" s="13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</row>
    <row r="258" spans="6:34" ht="18.75" customHeight="1">
      <c r="F258" s="13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</row>
    <row r="259" spans="6:34" ht="18.75" customHeight="1">
      <c r="F259" s="13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</row>
    <row r="260" spans="6:34" ht="18.75" customHeight="1">
      <c r="F260" s="13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</row>
    <row r="261" spans="6:34" ht="18.75" customHeight="1">
      <c r="F261" s="13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</row>
    <row r="262" spans="6:34" ht="18.75" customHeight="1">
      <c r="F262" s="13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</row>
    <row r="263" spans="6:34" ht="18.75" customHeight="1">
      <c r="F263" s="13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</row>
    <row r="264" spans="6:34" ht="18.75" customHeight="1">
      <c r="F264" s="13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</row>
    <row r="265" spans="6:34" ht="18.75" customHeight="1">
      <c r="F265" s="13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</row>
    <row r="266" spans="6:34" ht="18.75" customHeight="1">
      <c r="F266" s="13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</row>
    <row r="267" spans="6:34" ht="18.75" customHeight="1">
      <c r="F267" s="13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</row>
    <row r="268" spans="6:34" ht="18.75" customHeight="1">
      <c r="F268" s="13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</row>
    <row r="269" spans="6:34" ht="18.75" customHeight="1">
      <c r="F269" s="13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</row>
    <row r="270" spans="6:34" ht="18.75" customHeight="1">
      <c r="F270" s="13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</row>
    <row r="271" spans="6:34" ht="18.75" customHeight="1">
      <c r="F271" s="13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</row>
    <row r="272" spans="6:34" ht="18.75" customHeight="1">
      <c r="F272" s="13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</row>
    <row r="273" spans="6:34" ht="18.75" customHeight="1">
      <c r="F273" s="13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</row>
    <row r="274" spans="6:34" ht="18.75" customHeight="1">
      <c r="F274" s="13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</row>
    <row r="275" spans="6:34" ht="18.75" customHeight="1">
      <c r="F275" s="13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</row>
    <row r="276" spans="6:34" ht="18.75" customHeight="1">
      <c r="F276" s="13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</row>
    <row r="277" spans="6:34" ht="18.75" customHeight="1">
      <c r="F277" s="13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</row>
    <row r="278" spans="6:34" ht="18.75" customHeight="1">
      <c r="F278" s="13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</row>
    <row r="279" spans="6:34" ht="18.75" customHeight="1">
      <c r="F279" s="13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</row>
    <row r="280" spans="6:34" ht="18.75" customHeight="1">
      <c r="F280" s="13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</row>
    <row r="281" spans="6:34" ht="18.75" customHeight="1">
      <c r="F281" s="13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</row>
    <row r="282" spans="6:34" ht="18.75" customHeight="1">
      <c r="F282" s="13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</row>
    <row r="283" spans="6:34" ht="18.75" customHeight="1">
      <c r="F283" s="13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</row>
    <row r="284" spans="6:34" ht="18.75" customHeight="1">
      <c r="F284" s="13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</row>
    <row r="285" spans="6:34" ht="18.75" customHeight="1">
      <c r="F285" s="13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</row>
    <row r="286" spans="6:34" ht="18.75" customHeight="1">
      <c r="F286" s="13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</row>
    <row r="287" spans="6:34" ht="18.75" customHeight="1">
      <c r="F287" s="13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</row>
    <row r="288" spans="6:34" ht="18.75" customHeight="1">
      <c r="F288" s="13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</row>
    <row r="289" spans="6:34" ht="18.75" customHeight="1">
      <c r="F289" s="13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</row>
    <row r="290" spans="6:34" ht="18.75" customHeight="1">
      <c r="F290" s="13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</row>
    <row r="291" spans="6:34" ht="18.75" customHeight="1">
      <c r="F291" s="13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</row>
    <row r="292" spans="6:34" ht="18.75" customHeight="1">
      <c r="F292" s="13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</row>
    <row r="293" spans="6:34" ht="18.75" customHeight="1">
      <c r="F293" s="13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</row>
    <row r="294" spans="6:34" ht="18.75" customHeight="1">
      <c r="F294" s="13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</row>
    <row r="295" spans="6:34" ht="18.75" customHeight="1">
      <c r="F295" s="13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</row>
    <row r="296" spans="6:34" ht="18.75" customHeight="1">
      <c r="F296" s="13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</row>
    <row r="297" spans="6:34" ht="18.75" customHeight="1">
      <c r="F297" s="13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</row>
    <row r="298" spans="6:34" ht="18.75" customHeight="1">
      <c r="F298" s="13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</row>
    <row r="299" spans="6:34" ht="18.75" customHeight="1">
      <c r="F299" s="13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</row>
    <row r="300" spans="6:34" ht="18.75" customHeight="1">
      <c r="F300" s="13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</row>
    <row r="301" spans="6:34" ht="18.75" customHeight="1">
      <c r="F301" s="13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</row>
    <row r="302" spans="6:34" ht="18.75" customHeight="1">
      <c r="F302" s="13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</row>
    <row r="303" spans="6:34" ht="18.75" customHeight="1">
      <c r="F303" s="13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</row>
    <row r="304" spans="6:34" ht="18.75" customHeight="1">
      <c r="F304" s="13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</row>
    <row r="305" spans="6:34" ht="18.75" customHeight="1">
      <c r="F305" s="13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</row>
    <row r="306" spans="6:34" ht="18.75" customHeight="1">
      <c r="F306" s="13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</row>
    <row r="307" spans="6:34" ht="18.75" customHeight="1">
      <c r="F307" s="13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</row>
    <row r="308" spans="6:34" ht="18.75" customHeight="1">
      <c r="F308" s="13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</row>
    <row r="309" spans="6:34" ht="18.75" customHeight="1">
      <c r="F309" s="13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</row>
    <row r="310" spans="6:34" ht="18.75" customHeight="1">
      <c r="F310" s="13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</row>
    <row r="311" spans="6:34" ht="18.75" customHeight="1">
      <c r="F311" s="13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</row>
    <row r="312" spans="6:34" ht="18.75" customHeight="1">
      <c r="F312" s="13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</row>
    <row r="313" spans="6:34" ht="18.75" customHeight="1">
      <c r="F313" s="13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</row>
    <row r="314" spans="6:34" ht="18.75" customHeight="1">
      <c r="F314" s="13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</row>
    <row r="315" spans="6:34" ht="18.75" customHeight="1">
      <c r="F315" s="13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</row>
    <row r="316" spans="6:34" ht="18.75" customHeight="1">
      <c r="F316" s="13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</row>
    <row r="317" spans="6:34" ht="18.75" customHeight="1">
      <c r="F317" s="13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</row>
    <row r="318" spans="6:34" ht="18.75" customHeight="1">
      <c r="F318" s="13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</row>
    <row r="319" spans="6:34" ht="18.75" customHeight="1">
      <c r="F319" s="13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</row>
    <row r="320" spans="6:34" ht="18.75" customHeight="1">
      <c r="F320" s="13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</row>
    <row r="321" spans="6:34" ht="18.75" customHeight="1">
      <c r="F321" s="13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</row>
    <row r="322" spans="6:34" ht="18.75" customHeight="1">
      <c r="F322" s="13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</row>
    <row r="323" spans="6:34" ht="18.75" customHeight="1">
      <c r="F323" s="13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</row>
    <row r="324" spans="6:34" ht="18.75" customHeight="1">
      <c r="F324" s="13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</row>
    <row r="325" spans="6:34" ht="18.75" customHeight="1">
      <c r="F325" s="13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</row>
    <row r="326" spans="6:34" ht="18.75" customHeight="1">
      <c r="F326" s="13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</row>
    <row r="327" spans="6:34" ht="18.75" customHeight="1">
      <c r="F327" s="13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</row>
    <row r="328" spans="6:34" ht="18.75" customHeight="1">
      <c r="F328" s="13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</row>
    <row r="329" spans="6:34" ht="18.75" customHeight="1">
      <c r="F329" s="13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</row>
    <row r="330" spans="6:34" ht="18.75" customHeight="1">
      <c r="F330" s="13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</row>
    <row r="331" spans="6:34" ht="18.75" customHeight="1">
      <c r="F331" s="13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</row>
    <row r="332" spans="6:34" ht="18.75" customHeight="1">
      <c r="F332" s="13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</row>
    <row r="333" spans="6:34" ht="18.75" customHeight="1">
      <c r="F333" s="13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</row>
    <row r="334" spans="6:34" ht="18.75" customHeight="1">
      <c r="F334" s="13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</row>
    <row r="335" spans="6:34" ht="18.75" customHeight="1">
      <c r="F335" s="13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</row>
    <row r="336" spans="6:34" ht="18.75" customHeight="1">
      <c r="F336" s="13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</row>
    <row r="337" spans="6:34" ht="18.75" customHeight="1">
      <c r="F337" s="13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</row>
    <row r="338" spans="6:34" ht="18.75" customHeight="1">
      <c r="F338" s="13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</row>
    <row r="339" spans="6:34" ht="18.75" customHeight="1">
      <c r="F339" s="13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</row>
    <row r="340" spans="6:34" ht="18.75" customHeight="1">
      <c r="F340" s="13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</row>
    <row r="341" spans="6:34" ht="18.75" customHeight="1">
      <c r="F341" s="13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</row>
    <row r="342" spans="6:34" ht="18.75" customHeight="1">
      <c r="F342" s="13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</row>
    <row r="343" spans="6:34" ht="18.75" customHeight="1">
      <c r="F343" s="13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</row>
    <row r="344" spans="6:34" ht="18.75" customHeight="1">
      <c r="F344" s="13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</row>
    <row r="345" spans="6:34" ht="18.75" customHeight="1">
      <c r="F345" s="13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</row>
    <row r="346" spans="6:34" ht="18.75" customHeight="1">
      <c r="F346" s="13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</row>
    <row r="347" spans="6:34" ht="18.75" customHeight="1">
      <c r="F347" s="13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</row>
    <row r="348" spans="6:34" ht="18.75" customHeight="1">
      <c r="F348" s="13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</row>
    <row r="349" spans="6:34" ht="18.75" customHeight="1">
      <c r="F349" s="13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</row>
    <row r="350" spans="6:34" ht="18.75" customHeight="1">
      <c r="F350" s="13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</row>
    <row r="351" spans="6:34" ht="18.75" customHeight="1">
      <c r="F351" s="13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</row>
    <row r="352" spans="6:34" ht="18.75" customHeight="1">
      <c r="F352" s="13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</row>
    <row r="353" spans="6:34" ht="18.75" customHeight="1">
      <c r="F353" s="13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</row>
    <row r="354" spans="6:34" ht="18.75" customHeight="1">
      <c r="F354" s="13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</row>
    <row r="355" spans="6:34" ht="18.75" customHeight="1">
      <c r="F355" s="13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</row>
    <row r="356" spans="6:34" ht="18.75" customHeight="1">
      <c r="F356" s="13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</row>
    <row r="357" spans="6:34" ht="18.75" customHeight="1">
      <c r="F357" s="13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</row>
    <row r="358" spans="6:34" ht="18.75" customHeight="1">
      <c r="F358" s="13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</row>
    <row r="359" spans="6:34" ht="18.75" customHeight="1">
      <c r="F359" s="13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</row>
    <row r="360" spans="6:34" ht="18.75" customHeight="1">
      <c r="F360" s="13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</row>
    <row r="361" spans="6:34" ht="18.75" customHeight="1">
      <c r="F361" s="13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</row>
    <row r="362" spans="6:34" ht="18.75" customHeight="1">
      <c r="F362" s="13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</row>
    <row r="363" spans="6:34" ht="18.75" customHeight="1">
      <c r="F363" s="13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</row>
    <row r="364" spans="6:34" ht="18.75" customHeight="1">
      <c r="F364" s="13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</row>
    <row r="365" spans="6:34" ht="18.75" customHeight="1">
      <c r="F365" s="13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</row>
    <row r="366" spans="6:34" ht="18.75" customHeight="1">
      <c r="F366" s="13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</row>
    <row r="367" spans="6:34" ht="18.75" customHeight="1">
      <c r="F367" s="13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</row>
    <row r="368" spans="6:34" ht="18.75" customHeight="1">
      <c r="F368" s="13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</row>
    <row r="369" spans="6:34" ht="18.75" customHeight="1">
      <c r="F369" s="13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</row>
    <row r="370" spans="6:34" ht="18.75" customHeight="1">
      <c r="F370" s="13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</row>
    <row r="371" spans="6:34" ht="18.75" customHeight="1">
      <c r="F371" s="13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</row>
    <row r="372" spans="6:34" ht="18.75" customHeight="1">
      <c r="F372" s="13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</row>
    <row r="373" spans="6:34" ht="18.75" customHeight="1">
      <c r="F373" s="13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</row>
    <row r="374" spans="6:34" ht="18.75" customHeight="1">
      <c r="F374" s="13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</row>
    <row r="375" spans="6:34" ht="18.75" customHeight="1">
      <c r="F375" s="13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</row>
    <row r="376" spans="6:34" ht="18.75" customHeight="1">
      <c r="F376" s="13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</row>
    <row r="377" spans="6:34" ht="18.75" customHeight="1">
      <c r="F377" s="13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</row>
    <row r="378" spans="6:34" ht="18.75" customHeight="1">
      <c r="F378" s="13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</row>
    <row r="379" spans="6:34" ht="18.75" customHeight="1">
      <c r="F379" s="13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</row>
    <row r="380" spans="6:34" ht="18.75" customHeight="1">
      <c r="F380" s="13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</row>
    <row r="381" spans="6:34" ht="18.75" customHeight="1">
      <c r="F381" s="13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</row>
    <row r="382" spans="6:34" ht="18.75" customHeight="1">
      <c r="F382" s="13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</row>
    <row r="383" spans="6:34" ht="18.75" customHeight="1">
      <c r="F383" s="13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</row>
    <row r="384" spans="6:34" ht="18.75" customHeight="1">
      <c r="F384" s="13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</row>
    <row r="385" spans="6:34" ht="18.75" customHeight="1">
      <c r="F385" s="13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</row>
    <row r="386" spans="6:34" ht="18.75" customHeight="1">
      <c r="F386" s="13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</row>
    <row r="387" spans="6:34" ht="18.75" customHeight="1">
      <c r="F387" s="13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</row>
    <row r="388" spans="6:34" ht="18.75" customHeight="1">
      <c r="F388" s="13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</row>
    <row r="389" spans="6:34" ht="18.75" customHeight="1">
      <c r="F389" s="13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</row>
    <row r="390" spans="6:34" ht="18.75" customHeight="1">
      <c r="F390" s="13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</row>
    <row r="391" spans="6:34" ht="18.75" customHeight="1">
      <c r="F391" s="13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</row>
    <row r="392" spans="6:34" ht="18.75" customHeight="1">
      <c r="F392" s="13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</row>
    <row r="393" spans="6:34" ht="18.75" customHeight="1">
      <c r="F393" s="13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</row>
    <row r="394" spans="6:34" ht="18.75" customHeight="1">
      <c r="F394" s="13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</row>
    <row r="395" spans="6:34" ht="18.75" customHeight="1">
      <c r="F395" s="13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</row>
    <row r="396" spans="6:34" ht="18.75" customHeight="1">
      <c r="F396" s="13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</row>
    <row r="397" spans="6:34" ht="18.75" customHeight="1">
      <c r="F397" s="13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</row>
    <row r="398" spans="6:34" ht="18.75" customHeight="1">
      <c r="F398" s="13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</row>
    <row r="399" spans="6:34" ht="18.75" customHeight="1">
      <c r="F399" s="13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</row>
    <row r="400" spans="6:34" ht="18.75" customHeight="1">
      <c r="F400" s="13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</row>
    <row r="401" spans="6:34" ht="18.75" customHeight="1">
      <c r="F401" s="13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</row>
    <row r="402" spans="6:34" ht="18.75" customHeight="1">
      <c r="F402" s="13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</row>
    <row r="403" spans="6:34" ht="18.75" customHeight="1">
      <c r="F403" s="13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</row>
    <row r="404" spans="6:34" ht="18.75" customHeight="1">
      <c r="F404" s="13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</row>
    <row r="405" spans="6:34" ht="18.75" customHeight="1">
      <c r="F405" s="13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</row>
    <row r="406" spans="6:34" ht="18.75" customHeight="1">
      <c r="F406" s="13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</row>
    <row r="407" spans="6:34" ht="18.75" customHeight="1">
      <c r="F407" s="13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</row>
    <row r="408" spans="6:34" ht="18.75" customHeight="1">
      <c r="F408" s="13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</row>
    <row r="409" spans="6:34" ht="18.75" customHeight="1">
      <c r="F409" s="13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</row>
    <row r="410" spans="6:34" ht="18.75" customHeight="1">
      <c r="F410" s="13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</row>
    <row r="411" spans="6:34" ht="18.75" customHeight="1">
      <c r="F411" s="13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</row>
    <row r="412" spans="6:34" ht="18.75" customHeight="1">
      <c r="F412" s="13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</row>
    <row r="413" spans="6:34" ht="18.75" customHeight="1">
      <c r="F413" s="13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</row>
    <row r="414" spans="6:34" ht="18.75" customHeight="1">
      <c r="F414" s="13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</row>
    <row r="415" spans="6:34" ht="18.75" customHeight="1">
      <c r="F415" s="13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</row>
    <row r="416" spans="6:34" ht="18.75" customHeight="1">
      <c r="F416" s="13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</row>
    <row r="417" spans="6:34" ht="18.75" customHeight="1">
      <c r="F417" s="13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</row>
    <row r="418" spans="6:34" ht="18.75" customHeight="1">
      <c r="F418" s="13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</row>
    <row r="419" spans="6:34" ht="18.75" customHeight="1">
      <c r="F419" s="13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</row>
    <row r="420" spans="6:34" ht="18.75" customHeight="1">
      <c r="F420" s="13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</row>
    <row r="421" spans="6:34" ht="18.75" customHeight="1">
      <c r="F421" s="13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</row>
    <row r="422" spans="6:34" ht="18.75" customHeight="1">
      <c r="F422" s="13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</row>
    <row r="423" spans="6:34" ht="18.75" customHeight="1">
      <c r="F423" s="13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</row>
    <row r="424" spans="6:34" ht="18.75" customHeight="1">
      <c r="F424" s="13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</row>
    <row r="425" spans="6:34" ht="18.75" customHeight="1">
      <c r="F425" s="13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</row>
    <row r="426" spans="6:34" ht="18.75" customHeight="1">
      <c r="F426" s="13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</row>
    <row r="427" spans="6:34" ht="18.75" customHeight="1">
      <c r="F427" s="13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</row>
    <row r="428" spans="6:34" ht="18.75" customHeight="1">
      <c r="F428" s="13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</row>
    <row r="429" spans="6:34" ht="18.75" customHeight="1">
      <c r="F429" s="13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</row>
    <row r="430" spans="6:34" ht="18.75" customHeight="1">
      <c r="F430" s="13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</row>
    <row r="431" spans="6:34" ht="18.75" customHeight="1">
      <c r="F431" s="13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</row>
    <row r="432" spans="6:34" ht="18.75" customHeight="1">
      <c r="F432" s="13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</row>
    <row r="433" spans="6:34" ht="18.75" customHeight="1">
      <c r="F433" s="13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</row>
    <row r="434" spans="6:34" ht="18.75" customHeight="1">
      <c r="F434" s="13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</row>
    <row r="435" spans="6:34" ht="18.75" customHeight="1">
      <c r="F435" s="13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</row>
    <row r="436" spans="6:34" ht="18.75" customHeight="1">
      <c r="F436" s="13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</row>
    <row r="437" spans="6:34" ht="18.75" customHeight="1">
      <c r="F437" s="13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</row>
    <row r="438" spans="6:34" ht="18.75" customHeight="1">
      <c r="F438" s="13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</row>
    <row r="439" spans="6:34" ht="18.75" customHeight="1">
      <c r="F439" s="13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</row>
    <row r="440" spans="6:34" ht="18.75" customHeight="1">
      <c r="F440" s="13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</row>
    <row r="441" spans="6:34" ht="18.75" customHeight="1">
      <c r="F441" s="13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</row>
    <row r="442" spans="6:34" ht="18.75" customHeight="1">
      <c r="F442" s="13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</row>
    <row r="443" spans="6:34" ht="18.75" customHeight="1">
      <c r="F443" s="13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</row>
    <row r="444" spans="6:34" ht="18.75" customHeight="1">
      <c r="F444" s="13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</row>
    <row r="445" spans="6:34" ht="18.75" customHeight="1">
      <c r="F445" s="13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</row>
    <row r="446" spans="6:34" ht="18.75" customHeight="1">
      <c r="F446" s="13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</row>
    <row r="447" spans="6:34" ht="18.75" customHeight="1">
      <c r="F447" s="13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</row>
    <row r="448" spans="6:34" ht="18.75" customHeight="1">
      <c r="F448" s="13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</row>
    <row r="449" spans="6:34" ht="18.75" customHeight="1">
      <c r="F449" s="13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</row>
    <row r="450" spans="6:34" ht="18.75" customHeight="1">
      <c r="F450" s="13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</row>
    <row r="451" spans="6:34" ht="18.75" customHeight="1">
      <c r="F451" s="13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</row>
    <row r="452" spans="6:34" ht="18.75" customHeight="1">
      <c r="F452" s="13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</row>
    <row r="453" spans="6:34" ht="18.75" customHeight="1">
      <c r="F453" s="13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</row>
    <row r="454" spans="6:34" ht="18.75" customHeight="1">
      <c r="F454" s="13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</row>
    <row r="455" spans="6:34" ht="18.75" customHeight="1">
      <c r="F455" s="13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</row>
    <row r="456" spans="6:34" ht="18.75" customHeight="1">
      <c r="F456" s="13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</row>
    <row r="457" spans="6:34" ht="18.75" customHeight="1">
      <c r="F457" s="13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</row>
    <row r="458" spans="6:34" ht="18.75" customHeight="1">
      <c r="F458" s="13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</row>
    <row r="459" spans="6:34" ht="18.75" customHeight="1">
      <c r="F459" s="13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</row>
    <row r="460" spans="6:34" ht="18.75" customHeight="1">
      <c r="F460" s="13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</row>
    <row r="461" spans="6:34" ht="18.75" customHeight="1">
      <c r="F461" s="13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</row>
    <row r="462" spans="6:34" ht="18.75" customHeight="1">
      <c r="F462" s="13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</row>
    <row r="463" spans="6:34" ht="18.75" customHeight="1">
      <c r="F463" s="13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</row>
    <row r="464" spans="6:34" ht="18.75" customHeight="1">
      <c r="F464" s="13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</row>
    <row r="465" spans="6:34" ht="18.75" customHeight="1">
      <c r="F465" s="13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</row>
    <row r="466" spans="6:34" ht="18.75" customHeight="1">
      <c r="F466" s="13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</row>
    <row r="467" spans="6:34" ht="18.75" customHeight="1">
      <c r="F467" s="13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</row>
    <row r="468" spans="6:34" ht="18.75" customHeight="1">
      <c r="F468" s="13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</row>
    <row r="469" spans="6:34" ht="18.75" customHeight="1">
      <c r="F469" s="13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</row>
    <row r="470" spans="6:34" ht="18.75" customHeight="1">
      <c r="F470" s="13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</row>
    <row r="471" spans="6:34" ht="18.75" customHeight="1">
      <c r="F471" s="13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</row>
    <row r="472" spans="6:34" ht="18.75" customHeight="1">
      <c r="F472" s="13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</row>
    <row r="473" spans="6:34" ht="18.75" customHeight="1">
      <c r="F473" s="13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</row>
    <row r="474" spans="6:34" ht="18.75" customHeight="1">
      <c r="F474" s="13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</row>
    <row r="475" spans="6:34" ht="18.75" customHeight="1">
      <c r="F475" s="13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</row>
    <row r="476" spans="6:34" ht="18.75" customHeight="1">
      <c r="F476" s="13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</row>
    <row r="477" spans="6:34" ht="18.75" customHeight="1">
      <c r="F477" s="13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</row>
    <row r="478" spans="6:34" ht="18.75" customHeight="1">
      <c r="F478" s="13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</row>
    <row r="479" spans="6:34" ht="18.75" customHeight="1">
      <c r="F479" s="13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</row>
    <row r="480" spans="6:34" ht="18.75" customHeight="1">
      <c r="F480" s="13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</row>
    <row r="481" spans="6:34" ht="18.75" customHeight="1">
      <c r="F481" s="13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</row>
    <row r="482" spans="6:34" ht="18.75" customHeight="1">
      <c r="F482" s="13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</row>
    <row r="483" spans="6:34" ht="18.75" customHeight="1">
      <c r="F483" s="13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</row>
    <row r="484" spans="6:34" ht="18.75" customHeight="1">
      <c r="F484" s="13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</row>
    <row r="485" spans="6:34" ht="18.75" customHeight="1">
      <c r="F485" s="13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</row>
    <row r="486" spans="6:34" ht="18.75" customHeight="1">
      <c r="F486" s="13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</row>
    <row r="487" spans="6:34" ht="18.75" customHeight="1">
      <c r="F487" s="13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</row>
    <row r="488" spans="6:34" ht="18.75" customHeight="1">
      <c r="F488" s="13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</row>
    <row r="489" spans="6:34" ht="18.75" customHeight="1">
      <c r="F489" s="13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</row>
    <row r="490" spans="6:34" ht="18.75" customHeight="1">
      <c r="F490" s="13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</row>
    <row r="491" spans="6:34" ht="18.75" customHeight="1">
      <c r="F491" s="13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</row>
    <row r="492" spans="6:34" ht="18.75" customHeight="1">
      <c r="F492" s="13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</row>
    <row r="493" spans="6:34" ht="18.75" customHeight="1">
      <c r="F493" s="13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</row>
    <row r="494" spans="6:34" ht="18.75" customHeight="1">
      <c r="F494" s="13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</row>
    <row r="495" spans="6:34" ht="18.75" customHeight="1">
      <c r="F495" s="13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</row>
    <row r="496" spans="6:34" ht="18.75" customHeight="1">
      <c r="F496" s="13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</row>
    <row r="497" spans="6:34" ht="18.75" customHeight="1">
      <c r="F497" s="13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</row>
    <row r="498" spans="6:34" ht="18.75" customHeight="1">
      <c r="F498" s="13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</row>
    <row r="499" spans="6:34" ht="18.75" customHeight="1">
      <c r="F499" s="13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</row>
    <row r="500" spans="6:34" ht="18.75" customHeight="1">
      <c r="F500" s="13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</row>
    <row r="501" spans="6:34" ht="18.75" customHeight="1">
      <c r="F501" s="13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</row>
    <row r="502" spans="6:34" ht="18.75" customHeight="1">
      <c r="F502" s="13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</row>
    <row r="503" spans="6:34" ht="18.75" customHeight="1">
      <c r="F503" s="13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</row>
    <row r="504" spans="6:34" ht="18.75" customHeight="1">
      <c r="F504" s="13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</row>
    <row r="505" spans="6:34" ht="18.75" customHeight="1">
      <c r="F505" s="13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</row>
    <row r="506" spans="6:34" ht="18.75" customHeight="1">
      <c r="F506" s="13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</row>
    <row r="507" spans="6:34" ht="18.75" customHeight="1">
      <c r="F507" s="13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</row>
    <row r="508" spans="6:34" ht="18.75" customHeight="1">
      <c r="F508" s="13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</row>
    <row r="509" spans="6:34" ht="18.75" customHeight="1">
      <c r="F509" s="13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</row>
    <row r="510" spans="6:34" ht="18.75" customHeight="1">
      <c r="F510" s="13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</row>
    <row r="511" spans="6:34" ht="18.75" customHeight="1">
      <c r="F511" s="13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</row>
    <row r="512" spans="6:34" ht="18.75" customHeight="1">
      <c r="F512" s="13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</row>
    <row r="513" spans="6:34" ht="18.75" customHeight="1">
      <c r="F513" s="13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</row>
    <row r="514" spans="6:34" ht="18.75" customHeight="1">
      <c r="F514" s="13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</row>
    <row r="515" spans="6:34" ht="18.75" customHeight="1">
      <c r="F515" s="13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</row>
    <row r="516" spans="6:34" ht="18.75" customHeight="1">
      <c r="F516" s="13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</row>
    <row r="517" spans="6:34" ht="18.75" customHeight="1">
      <c r="F517" s="13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</row>
    <row r="518" spans="6:34" ht="18.75" customHeight="1">
      <c r="F518" s="13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</row>
    <row r="519" spans="6:34" ht="18.75" customHeight="1">
      <c r="F519" s="13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</row>
    <row r="520" spans="6:34" ht="18.75" customHeight="1">
      <c r="F520" s="13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</row>
    <row r="521" spans="6:34" ht="18.75" customHeight="1">
      <c r="F521" s="13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</row>
    <row r="522" spans="6:34" ht="18.75" customHeight="1">
      <c r="F522" s="13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</row>
    <row r="523" spans="6:34" ht="18.75" customHeight="1">
      <c r="F523" s="13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</row>
    <row r="524" spans="6:34" ht="18.75" customHeight="1">
      <c r="F524" s="13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</row>
    <row r="525" spans="6:34" ht="18.75" customHeight="1">
      <c r="F525" s="13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</row>
    <row r="526" spans="6:34" ht="18.75" customHeight="1">
      <c r="F526" s="13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</row>
    <row r="527" spans="6:34" ht="18.75" customHeight="1">
      <c r="F527" s="13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</row>
    <row r="528" spans="6:34" ht="18.75" customHeight="1">
      <c r="F528" s="13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</row>
    <row r="529" spans="6:34" ht="18.75" customHeight="1">
      <c r="F529" s="13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</row>
    <row r="530" spans="6:34" ht="18.75" customHeight="1">
      <c r="F530" s="13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</row>
    <row r="531" spans="6:34" ht="18.75" customHeight="1">
      <c r="F531" s="13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</row>
    <row r="532" spans="6:34" ht="18.75" customHeight="1">
      <c r="F532" s="13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</row>
    <row r="533" spans="6:34" ht="18.75" customHeight="1">
      <c r="F533" s="13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</row>
    <row r="534" spans="6:34" ht="18.75" customHeight="1">
      <c r="F534" s="13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</row>
    <row r="535" spans="6:34" ht="18.75" customHeight="1">
      <c r="F535" s="13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</row>
    <row r="536" spans="6:34" ht="18.75" customHeight="1">
      <c r="F536" s="13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</row>
    <row r="537" spans="6:34" ht="18.75" customHeight="1">
      <c r="F537" s="13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</row>
    <row r="538" spans="6:34" ht="18.75" customHeight="1">
      <c r="F538" s="13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</row>
    <row r="539" spans="6:34" ht="18.75" customHeight="1">
      <c r="F539" s="13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</row>
    <row r="540" spans="6:34" ht="18.75" customHeight="1">
      <c r="F540" s="13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</row>
    <row r="541" spans="6:34" ht="18.75" customHeight="1">
      <c r="F541" s="13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</row>
    <row r="542" spans="6:34" ht="18.75" customHeight="1">
      <c r="F542" s="13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</row>
    <row r="543" spans="6:34" ht="18.75" customHeight="1">
      <c r="F543" s="13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</row>
    <row r="544" spans="6:34" ht="18.75" customHeight="1">
      <c r="F544" s="13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</row>
    <row r="545" spans="6:34" ht="18.75" customHeight="1">
      <c r="F545" s="13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</row>
    <row r="546" spans="6:34" ht="18.75" customHeight="1">
      <c r="F546" s="13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</row>
    <row r="547" spans="6:34" ht="18.75" customHeight="1">
      <c r="F547" s="13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</row>
    <row r="548" spans="6:34" ht="18.75" customHeight="1">
      <c r="F548" s="13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</row>
    <row r="549" spans="6:34" ht="18.75" customHeight="1">
      <c r="F549" s="13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</row>
    <row r="550" spans="6:34" ht="18.75" customHeight="1">
      <c r="F550" s="13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</row>
    <row r="551" spans="6:34" ht="18.75" customHeight="1">
      <c r="F551" s="13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</row>
    <row r="552" spans="6:34" ht="18.75" customHeight="1">
      <c r="F552" s="13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</row>
    <row r="553" spans="6:34" ht="18.75" customHeight="1">
      <c r="F553" s="13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</row>
    <row r="554" spans="6:34" ht="18.75" customHeight="1">
      <c r="F554" s="13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</row>
    <row r="555" spans="6:34" ht="18.75" customHeight="1">
      <c r="F555" s="13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</row>
    <row r="556" spans="6:34" ht="18.75" customHeight="1">
      <c r="F556" s="13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</row>
    <row r="557" spans="6:34" ht="18.75" customHeight="1">
      <c r="F557" s="13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</row>
    <row r="558" spans="6:34" ht="18.75" customHeight="1">
      <c r="F558" s="13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</row>
    <row r="559" spans="6:34" ht="18.75" customHeight="1">
      <c r="F559" s="13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</row>
    <row r="560" spans="6:34" ht="18.75" customHeight="1">
      <c r="F560" s="13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</row>
    <row r="561" spans="6:34" ht="18.75" customHeight="1">
      <c r="F561" s="13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</row>
    <row r="562" spans="6:34" ht="18.75" customHeight="1">
      <c r="F562" s="13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</row>
    <row r="563" spans="6:34" ht="18.75" customHeight="1">
      <c r="F563" s="13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</row>
    <row r="564" spans="6:34" ht="18.75" customHeight="1">
      <c r="F564" s="13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</row>
    <row r="565" spans="6:34" ht="18.75" customHeight="1">
      <c r="F565" s="13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</row>
    <row r="566" spans="6:34" ht="18.75" customHeight="1">
      <c r="F566" s="13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</row>
    <row r="567" spans="6:34" ht="18.75" customHeight="1">
      <c r="F567" s="13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</row>
    <row r="568" spans="6:34" ht="18.75" customHeight="1">
      <c r="F568" s="13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</row>
    <row r="569" spans="6:34" ht="18.75" customHeight="1">
      <c r="F569" s="13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</row>
    <row r="570" spans="6:34" ht="18.75" customHeight="1">
      <c r="F570" s="13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</row>
    <row r="571" spans="6:34" ht="18.75" customHeight="1">
      <c r="F571" s="13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</row>
    <row r="572" spans="6:34" ht="18.75" customHeight="1">
      <c r="F572" s="13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</row>
    <row r="573" spans="6:34" ht="18.75" customHeight="1">
      <c r="F573" s="13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</row>
    <row r="574" spans="6:34" ht="18.75" customHeight="1">
      <c r="F574" s="13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</row>
    <row r="575" spans="6:34" ht="18.75" customHeight="1">
      <c r="F575" s="13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</row>
    <row r="576" spans="6:34" ht="18.75" customHeight="1">
      <c r="F576" s="13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</row>
    <row r="577" spans="6:34" ht="18.75" customHeight="1">
      <c r="F577" s="13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</row>
    <row r="578" spans="6:34" ht="18.75" customHeight="1">
      <c r="F578" s="13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</row>
    <row r="579" spans="6:34" ht="18.75" customHeight="1">
      <c r="F579" s="13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</row>
    <row r="580" spans="6:34" ht="18.75" customHeight="1">
      <c r="F580" s="13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</row>
    <row r="581" spans="6:34" ht="18.75" customHeight="1">
      <c r="F581" s="13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</row>
    <row r="582" spans="6:34" ht="18.75" customHeight="1">
      <c r="F582" s="13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</row>
    <row r="583" spans="6:34" ht="18.75" customHeight="1">
      <c r="F583" s="13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</row>
    <row r="584" spans="6:34" ht="18.75" customHeight="1">
      <c r="F584" s="13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</row>
    <row r="585" spans="6:34" ht="18.75" customHeight="1">
      <c r="F585" s="13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</row>
    <row r="586" spans="6:34" ht="18.75" customHeight="1">
      <c r="F586" s="13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</row>
    <row r="587" spans="6:34" ht="18.75" customHeight="1">
      <c r="F587" s="13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</row>
    <row r="588" spans="6:34" ht="18.75" customHeight="1">
      <c r="F588" s="13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</row>
    <row r="589" spans="6:34" ht="18.75" customHeight="1">
      <c r="F589" s="13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</row>
    <row r="590" spans="6:34" ht="18.75" customHeight="1">
      <c r="F590" s="13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</row>
    <row r="591" spans="6:34" ht="18.75" customHeight="1">
      <c r="F591" s="13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</row>
    <row r="592" spans="6:34" ht="18.75" customHeight="1">
      <c r="F592" s="13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</row>
    <row r="593" spans="6:34" ht="18.75" customHeight="1">
      <c r="F593" s="13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</row>
    <row r="594" spans="6:34" ht="18.75" customHeight="1">
      <c r="F594" s="13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</row>
    <row r="595" spans="6:34" ht="18.75" customHeight="1">
      <c r="F595" s="13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</row>
  </sheetData>
  <mergeCells count="10">
    <mergeCell ref="AB4:AH4"/>
    <mergeCell ref="B6:E6"/>
    <mergeCell ref="A10:A24"/>
    <mergeCell ref="A25:A28"/>
    <mergeCell ref="A29:E31"/>
    <mergeCell ref="B4:E5"/>
    <mergeCell ref="F4:F7"/>
    <mergeCell ref="G4:M4"/>
    <mergeCell ref="N4:T4"/>
    <mergeCell ref="U4:AA4"/>
  </mergeCells>
  <conditionalFormatting sqref="A4:AH4 B5:AH5 A6:AH22 A23:A28 F23:AH28 A29:AH31">
    <cfRule type="expression" dxfId="485" priority="91">
      <formula>OR(ISNUMBER(SEARCH("PPP 1",A4)),ISNUMBER(SEARCH("PPP 2",A4)))</formula>
    </cfRule>
    <cfRule type="expression" dxfId="484" priority="92">
      <formula>ISNUMBER(SEARCH("FORM",A4))</formula>
    </cfRule>
    <cfRule type="expression" dxfId="483" priority="93">
      <formula>ISNUMBER(SEARCH("ASA",A4))</formula>
    </cfRule>
    <cfRule type="expression" dxfId="482" priority="94">
      <formula>OR(ISNUMBER(SEARCH("ATM",A4)),ISNUMBER(SEARCH("ATA",A4)))</formula>
    </cfRule>
    <cfRule type="expression" dxfId="481" priority="95">
      <formula>ISNUMBER(SEARCH("TP",A4))</formula>
    </cfRule>
    <cfRule type="expression" dxfId="480" priority="96">
      <formula>ISNUMBER(SEARCH("CSE",A4))</formula>
    </cfRule>
    <cfRule type="expression" dxfId="479" priority="97">
      <formula>ISNUMBER(SEARCH("JOK",A4))</formula>
    </cfRule>
  </conditionalFormatting>
  <conditionalFormatting sqref="B8:E22">
    <cfRule type="expression" dxfId="478" priority="190">
      <formula>ISNUMBER(SEARCH("MRP",$B8))</formula>
    </cfRule>
  </conditionalFormatting>
  <conditionalFormatting sqref="B23:E28">
    <cfRule type="expression" dxfId="477" priority="2">
      <formula>ISNUMBER(SEARCH("MRP",$B23))</formula>
    </cfRule>
  </conditionalFormatting>
  <conditionalFormatting sqref="F10:F31">
    <cfRule type="expression" dxfId="476" priority="82">
      <formula>OR(ISNUMBER(SEARCH("CA",F10)),ISNUMBER(SEARCH("RC",F10)))</formula>
    </cfRule>
  </conditionalFormatting>
  <conditionalFormatting sqref="F23:AH28 A29:AH31 A6:AH22 A4:AH4 B5:AH5 A23:A28">
    <cfRule type="expression" dxfId="475" priority="90">
      <formula>ISNUMBER(SEARCH("JOK",A4))</formula>
    </cfRule>
  </conditionalFormatting>
  <conditionalFormatting sqref="F25:AH31 K6:K7 AB6:AB24 Q7:Q22 O8:P22 R8:R22 F8:M24 S8:AA24 AC8:AH24 AB11:AD11 N23:R24 N6:N22">
    <cfRule type="expression" dxfId="474" priority="248">
      <formula>OR(ISNUMBER(SEARCH("PPP 1",F6)),ISNUMBER(SEARCH("PPP 2",F6)))</formula>
    </cfRule>
  </conditionalFormatting>
  <conditionalFormatting sqref="F25:AH31 K6:K7 AB6:AB24 Q7:Q22 O8:P22 R8:R22 F8:M24 S8:AA24 AC8:AH24 AB11:AD11 N23:R24">
    <cfRule type="expression" dxfId="473" priority="233">
      <formula>ISNUMBER(SEARCH("JOK",F6))</formula>
    </cfRule>
  </conditionalFormatting>
  <conditionalFormatting sqref="G27:K27">
    <cfRule type="expression" dxfId="472" priority="241">
      <formula>OR(ISNUMBER(SEARCH("PPP 1",G27)),ISNUMBER(SEARCH("PPP 2",G27)))</formula>
    </cfRule>
    <cfRule type="expression" dxfId="471" priority="242">
      <formula>ISNUMBER(SEARCH("FORM",G27))</formula>
    </cfRule>
    <cfRule type="expression" dxfId="470" priority="243">
      <formula>ISNUMBER(SEARCH("ASA",G27))</formula>
    </cfRule>
    <cfRule type="expression" dxfId="469" priority="244">
      <formula>OR(ISNUMBER(SEARCH("ATM",G27)),ISNUMBER(SEARCH("ATA",G27)))</formula>
    </cfRule>
    <cfRule type="expression" dxfId="468" priority="245">
      <formula>ISNUMBER(SEARCH("TP",G27))</formula>
    </cfRule>
    <cfRule type="expression" dxfId="467" priority="246">
      <formula>ISNUMBER(SEARCH("CSE",G27))</formula>
    </cfRule>
    <cfRule type="expression" dxfId="466" priority="247">
      <formula>OR(ISNUMBER(SEARCH("CA",G27)),ISNUMBER(SEARCH("RC",G27)))</formula>
    </cfRule>
  </conditionalFormatting>
  <conditionalFormatting sqref="G4:AH28 F29:AH31">
    <cfRule type="expression" dxfId="465" priority="98">
      <formula>OR(ISNUMBER(SEARCH("CA",F4)),ISNUMBER(SEARCH("RC",F4)))</formula>
    </cfRule>
  </conditionalFormatting>
  <conditionalFormatting sqref="G4:AH31">
    <cfRule type="expression" dxfId="464" priority="3">
      <formula>ISNUMBER(SEARCH("CA/RC ?",G4))</formula>
    </cfRule>
  </conditionalFormatting>
  <conditionalFormatting sqref="G40:AH40">
    <cfRule type="iconSet" priority="4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K6:K7 N6:N22 AB6:AB24 Q7:Q22 O8:P22 R8:R22 F8:M24 S8:AA24 AC8:AH24 AB11:AD11 N23:R24 F25:AH31">
    <cfRule type="expression" dxfId="463" priority="249">
      <formula>ISNUMBER(SEARCH("FORM",F6))</formula>
    </cfRule>
    <cfRule type="expression" dxfId="462" priority="250">
      <formula>ISNUMBER(SEARCH("ASA",F6))</formula>
    </cfRule>
    <cfRule type="expression" dxfId="461" priority="251">
      <formula>OR(ISNUMBER(SEARCH("ATM",F6)),ISNUMBER(SEARCH("ATA",F6)))</formula>
    </cfRule>
    <cfRule type="expression" dxfId="460" priority="252">
      <formula>ISNUMBER(SEARCH("TP",F6))</formula>
    </cfRule>
    <cfRule type="expression" dxfId="459" priority="253">
      <formula>ISNUMBER(SEARCH("CSE",F6))</formula>
    </cfRule>
    <cfRule type="expression" dxfId="458" priority="254">
      <formula>OR(ISNUMBER(SEARCH("CA",F6)),ISNUMBER(SEARCH("RC",F6)))</formula>
    </cfRule>
  </conditionalFormatting>
  <conditionalFormatting sqref="K6:K7 N6:N24 AB6:AB28 Q7:Q22 O8:P22 R8:R22 F8:M24 S8:AA28 AC8:AH28 AB11:AD11 O23:R28 G25:N28 F25:F31 G29:AH31">
    <cfRule type="expression" dxfId="457" priority="262">
      <formula>ISNUMBER(SEARCH("FORM",F6))</formula>
    </cfRule>
    <cfRule type="expression" dxfId="456" priority="263">
      <formula>ISNUMBER(SEARCH("ASA",F6))</formula>
    </cfRule>
    <cfRule type="expression" dxfId="455" priority="264">
      <formula>OR(ISNUMBER(SEARCH("ATM",F6)),ISNUMBER(SEARCH("ATA",F6)))</formula>
    </cfRule>
    <cfRule type="expression" dxfId="454" priority="265">
      <formula>ISNUMBER(SEARCH("TP",F6))</formula>
    </cfRule>
    <cfRule type="expression" dxfId="453" priority="266">
      <formula>ISNUMBER(SEARCH("CSE",F6))</formula>
    </cfRule>
    <cfRule type="expression" dxfId="452" priority="267">
      <formula>OR(ISNUMBER(SEARCH("CA",F6)),ISNUMBER(SEARCH("RC",F6)))</formula>
    </cfRule>
  </conditionalFormatting>
  <conditionalFormatting sqref="K25 K29">
    <cfRule type="expression" dxfId="451" priority="83">
      <formula>OR(ISNUMBER(SEARCH("PPP 1",K25)),ISNUMBER(SEARCH("PPP 2",K25)))</formula>
    </cfRule>
    <cfRule type="expression" dxfId="450" priority="84">
      <formula>ISNUMBER(SEARCH("FORM",K25))</formula>
    </cfRule>
    <cfRule type="expression" dxfId="449" priority="85">
      <formula>ISNUMBER(SEARCH("ASA",K25))</formula>
    </cfRule>
    <cfRule type="expression" dxfId="448" priority="86">
      <formula>OR(ISNUMBER(SEARCH("ATM",K25)),ISNUMBER(SEARCH("ATA",K25)))</formula>
    </cfRule>
    <cfRule type="expression" dxfId="447" priority="87">
      <formula>ISNUMBER(SEARCH("TP",K25))</formula>
    </cfRule>
    <cfRule type="expression" dxfId="446" priority="88">
      <formula>ISNUMBER(SEARCH("CSE",K25))</formula>
    </cfRule>
    <cfRule type="expression" dxfId="445" priority="89">
      <formula>OR(ISNUMBER(SEARCH("CA",K25)),ISNUMBER(SEARCH("RC",K25)))</formula>
    </cfRule>
  </conditionalFormatting>
  <conditionalFormatting sqref="L7">
    <cfRule type="expression" dxfId="444" priority="99">
      <formula>OR(ISNUMBER(SEARCH("PPP 1",L7)),ISNUMBER(SEARCH("PPP 2",L7)))</formula>
    </cfRule>
    <cfRule type="expression" dxfId="443" priority="100">
      <formula>ISNUMBER(SEARCH("FORM",L7))</formula>
    </cfRule>
    <cfRule type="expression" dxfId="442" priority="101">
      <formula>ISNUMBER(SEARCH("ASA",L7))</formula>
    </cfRule>
    <cfRule type="expression" dxfId="441" priority="102">
      <formula>OR(ISNUMBER(SEARCH("ATM",L7)),ISNUMBER(SEARCH("ATA",L7)))</formula>
    </cfRule>
    <cfRule type="expression" dxfId="440" priority="103">
      <formula>ISNUMBER(SEARCH("TP",L7))</formula>
    </cfRule>
    <cfRule type="expression" dxfId="439" priority="104">
      <formula>ISNUMBER(SEARCH("CSE",L7))</formula>
    </cfRule>
    <cfRule type="expression" dxfId="438" priority="105">
      <formula>OR(ISNUMBER(SEARCH("CA",L7)),ISNUMBER(SEARCH("RC",L7)))</formula>
    </cfRule>
    <cfRule type="expression" dxfId="437" priority="106">
      <formula>OR(ISNUMBER(SEARCH("PPP 1",L7)),ISNUMBER(SEARCH("PPP 2",L7)))</formula>
    </cfRule>
    <cfRule type="expression" dxfId="436" priority="107">
      <formula>ISNUMBER(SEARCH("FORM",L7))</formula>
    </cfRule>
    <cfRule type="expression" dxfId="435" priority="108">
      <formula>ISNUMBER(SEARCH("ASA",L7))</formula>
    </cfRule>
    <cfRule type="expression" dxfId="434" priority="109">
      <formula>OR(ISNUMBER(SEARCH("ATM",L7)),ISNUMBER(SEARCH("ATA",L7)))</formula>
    </cfRule>
    <cfRule type="expression" dxfId="433" priority="110">
      <formula>ISNUMBER(SEARCH("TP",L7))</formula>
    </cfRule>
    <cfRule type="expression" dxfId="432" priority="111">
      <formula>ISNUMBER(SEARCH("CSE",L7))</formula>
    </cfRule>
    <cfRule type="expression" dxfId="431" priority="112">
      <formula>OR(ISNUMBER(SEARCH("CA",L7)),ISNUMBER(SEARCH("RC",L7)))</formula>
    </cfRule>
  </conditionalFormatting>
  <conditionalFormatting sqref="L25:M25 L29:M29">
    <cfRule type="expression" dxfId="430" priority="120">
      <formula>OR(ISNUMBER(SEARCH("PPP 1",L25)),ISNUMBER(SEARCH("PPP 2",L25)))</formula>
    </cfRule>
    <cfRule type="expression" dxfId="429" priority="121">
      <formula>ISNUMBER(SEARCH("FORM",L25))</formula>
    </cfRule>
    <cfRule type="expression" dxfId="428" priority="122">
      <formula>ISNUMBER(SEARCH("ASA",L25))</formula>
    </cfRule>
    <cfRule type="expression" dxfId="427" priority="123">
      <formula>OR(ISNUMBER(SEARCH("ATM",L25)),ISNUMBER(SEARCH("ATA",L25)))</formula>
    </cfRule>
    <cfRule type="expression" dxfId="426" priority="124">
      <formula>ISNUMBER(SEARCH("TP",L25))</formula>
    </cfRule>
    <cfRule type="expression" dxfId="425" priority="125">
      <formula>ISNUMBER(SEARCH("CSE",L25))</formula>
    </cfRule>
    <cfRule type="expression" dxfId="424" priority="126">
      <formula>OR(ISNUMBER(SEARCH("CA",L25)),ISNUMBER(SEARCH("RC",L25)))</formula>
    </cfRule>
  </conditionalFormatting>
  <conditionalFormatting sqref="L27:M27">
    <cfRule type="expression" dxfId="423" priority="169">
      <formula>OR(ISNUMBER(SEARCH("PPP 1",L27)),ISNUMBER(SEARCH("PPP 2",L27)))</formula>
    </cfRule>
    <cfRule type="expression" dxfId="422" priority="170">
      <formula>ISNUMBER(SEARCH("FORM",L27))</formula>
    </cfRule>
    <cfRule type="expression" dxfId="421" priority="171">
      <formula>ISNUMBER(SEARCH("ASA",L27))</formula>
    </cfRule>
    <cfRule type="expression" dxfId="420" priority="172">
      <formula>OR(ISNUMBER(SEARCH("ATM",L27)),ISNUMBER(SEARCH("ATA",L27)))</formula>
    </cfRule>
    <cfRule type="expression" dxfId="419" priority="173">
      <formula>ISNUMBER(SEARCH("TP",L27))</formula>
    </cfRule>
    <cfRule type="expression" dxfId="418" priority="174">
      <formula>ISNUMBER(SEARCH("CSE",L27))</formula>
    </cfRule>
    <cfRule type="expression" dxfId="417" priority="175">
      <formula>OR(ISNUMBER(SEARCH("CA",L27)),ISNUMBER(SEARCH("RC",L27)))</formula>
    </cfRule>
  </conditionalFormatting>
  <conditionalFormatting sqref="L28:M28">
    <cfRule type="expression" dxfId="416" priority="134">
      <formula>OR(ISNUMBER(SEARCH("PPP 1",L28)),ISNUMBER(SEARCH("PPP 2",L28)))</formula>
    </cfRule>
    <cfRule type="expression" dxfId="415" priority="135">
      <formula>ISNUMBER(SEARCH("FORM",L28))</formula>
    </cfRule>
    <cfRule type="expression" dxfId="414" priority="136">
      <formula>ISNUMBER(SEARCH("ASA",L28))</formula>
    </cfRule>
    <cfRule type="expression" dxfId="413" priority="137">
      <formula>OR(ISNUMBER(SEARCH("ATM",L28)),ISNUMBER(SEARCH("ATA",L28)))</formula>
    </cfRule>
    <cfRule type="expression" dxfId="412" priority="138">
      <formula>ISNUMBER(SEARCH("TP",L28))</formula>
    </cfRule>
    <cfRule type="expression" dxfId="411" priority="139">
      <formula>ISNUMBER(SEARCH("CSE",L28))</formula>
    </cfRule>
    <cfRule type="expression" dxfId="410" priority="140">
      <formula>OR(ISNUMBER(SEARCH("CA",L28)),ISNUMBER(SEARCH("RC",L28)))</formula>
    </cfRule>
  </conditionalFormatting>
  <conditionalFormatting sqref="L25:R25">
    <cfRule type="expression" dxfId="409" priority="226">
      <formula>OR(ISNUMBER(SEARCH("PPP 1",L25)),ISNUMBER(SEARCH("PPP 2",L25)))</formula>
    </cfRule>
    <cfRule type="expression" dxfId="408" priority="227">
      <formula>ISNUMBER(SEARCH("FORM",L25))</formula>
    </cfRule>
    <cfRule type="expression" dxfId="407" priority="228">
      <formula>ISNUMBER(SEARCH("ASA",L25))</formula>
    </cfRule>
    <cfRule type="expression" dxfId="406" priority="229">
      <formula>OR(ISNUMBER(SEARCH("ATM",L25)),ISNUMBER(SEARCH("ATA",L25)))</formula>
    </cfRule>
    <cfRule type="expression" dxfId="405" priority="230">
      <formula>ISNUMBER(SEARCH("TP",L25))</formula>
    </cfRule>
    <cfRule type="expression" dxfId="404" priority="231">
      <formula>ISNUMBER(SEARCH("CSE",L25))</formula>
    </cfRule>
    <cfRule type="expression" dxfId="403" priority="232">
      <formula>OR(ISNUMBER(SEARCH("CA",L25)),ISNUMBER(SEARCH("RC",L25)))</formula>
    </cfRule>
  </conditionalFormatting>
  <conditionalFormatting sqref="M25:M26 M29">
    <cfRule type="expression" dxfId="402" priority="113">
      <formula>OR(ISNUMBER(SEARCH("PPP 1",M25)),ISNUMBER(SEARCH("PPP 2",M25)))</formula>
    </cfRule>
    <cfRule type="expression" dxfId="401" priority="114">
      <formula>ISNUMBER(SEARCH("FORM",M25))</formula>
    </cfRule>
    <cfRule type="expression" dxfId="400" priority="115">
      <formula>ISNUMBER(SEARCH("ASA",M25))</formula>
    </cfRule>
    <cfRule type="expression" dxfId="399" priority="116">
      <formula>OR(ISNUMBER(SEARCH("ATM",M25)),ISNUMBER(SEARCH("ATA",M25)))</formula>
    </cfRule>
    <cfRule type="expression" dxfId="398" priority="117">
      <formula>ISNUMBER(SEARCH("TP",M25))</formula>
    </cfRule>
    <cfRule type="expression" dxfId="397" priority="118">
      <formula>ISNUMBER(SEARCH("CSE",M25))</formula>
    </cfRule>
    <cfRule type="expression" dxfId="396" priority="119">
      <formula>OR(ISNUMBER(SEARCH("CA",M25)),ISNUMBER(SEARCH("RC",M25)))</formula>
    </cfRule>
  </conditionalFormatting>
  <conditionalFormatting sqref="M25:M27">
    <cfRule type="expression" dxfId="395" priority="205">
      <formula>OR(ISNUMBER(SEARCH("PPP 1",M25)),ISNUMBER(SEARCH("PPP 2",M25)))</formula>
    </cfRule>
    <cfRule type="expression" dxfId="394" priority="206">
      <formula>ISNUMBER(SEARCH("FORM",M25))</formula>
    </cfRule>
    <cfRule type="expression" dxfId="393" priority="207">
      <formula>ISNUMBER(SEARCH("ASA",M25))</formula>
    </cfRule>
    <cfRule type="expression" dxfId="392" priority="208">
      <formula>OR(ISNUMBER(SEARCH("ATM",M25)),ISNUMBER(SEARCH("ATA",M25)))</formula>
    </cfRule>
    <cfRule type="expression" dxfId="391" priority="209">
      <formula>ISNUMBER(SEARCH("TP",M25))</formula>
    </cfRule>
    <cfRule type="expression" dxfId="390" priority="210">
      <formula>ISNUMBER(SEARCH("CSE",M25))</formula>
    </cfRule>
    <cfRule type="expression" dxfId="389" priority="211">
      <formula>OR(ISNUMBER(SEARCH("CA",M25)),ISNUMBER(SEARCH("RC",M25)))</formula>
    </cfRule>
  </conditionalFormatting>
  <conditionalFormatting sqref="M27:M28">
    <cfRule type="expression" dxfId="388" priority="162">
      <formula>OR(ISNUMBER(SEARCH("PPP 1",M27)),ISNUMBER(SEARCH("PPP 2",M27)))</formula>
    </cfRule>
    <cfRule type="expression" dxfId="387" priority="163">
      <formula>ISNUMBER(SEARCH("FORM",M27))</formula>
    </cfRule>
    <cfRule type="expression" dxfId="386" priority="164">
      <formula>ISNUMBER(SEARCH("ASA",M27))</formula>
    </cfRule>
    <cfRule type="expression" dxfId="385" priority="165">
      <formula>OR(ISNUMBER(SEARCH("ATM",M27)),ISNUMBER(SEARCH("ATA",M27)))</formula>
    </cfRule>
    <cfRule type="expression" dxfId="384" priority="166">
      <formula>ISNUMBER(SEARCH("TP",M27))</formula>
    </cfRule>
    <cfRule type="expression" dxfId="383" priority="167">
      <formula>ISNUMBER(SEARCH("CSE",M27))</formula>
    </cfRule>
    <cfRule type="expression" dxfId="382" priority="168">
      <formula>OR(ISNUMBER(SEARCH("CA",M27)),ISNUMBER(SEARCH("RC",M27)))</formula>
    </cfRule>
  </conditionalFormatting>
  <conditionalFormatting sqref="M28:M29">
    <cfRule type="expression" dxfId="381" priority="127">
      <formula>OR(ISNUMBER(SEARCH("PPP 1",M28)),ISNUMBER(SEARCH("PPP 2",M28)))</formula>
    </cfRule>
    <cfRule type="expression" dxfId="380" priority="128">
      <formula>ISNUMBER(SEARCH("FORM",M28))</formula>
    </cfRule>
    <cfRule type="expression" dxfId="379" priority="129">
      <formula>ISNUMBER(SEARCH("ASA",M28))</formula>
    </cfRule>
    <cfRule type="expression" dxfId="378" priority="130">
      <formula>OR(ISNUMBER(SEARCH("ATM",M28)),ISNUMBER(SEARCH("ATA",M28)))</formula>
    </cfRule>
    <cfRule type="expression" dxfId="377" priority="131">
      <formula>ISNUMBER(SEARCH("TP",M28))</formula>
    </cfRule>
    <cfRule type="expression" dxfId="376" priority="132">
      <formula>ISNUMBER(SEARCH("CSE",M28))</formula>
    </cfRule>
    <cfRule type="expression" dxfId="375" priority="133">
      <formula>OR(ISNUMBER(SEARCH("CA",M28)),ISNUMBER(SEARCH("RC",M28)))</formula>
    </cfRule>
  </conditionalFormatting>
  <conditionalFormatting sqref="O26">
    <cfRule type="expression" dxfId="374" priority="198">
      <formula>OR(ISNUMBER(SEARCH("PPP 1",O26)),ISNUMBER(SEARCH("PPP 2",O26)))</formula>
    </cfRule>
    <cfRule type="expression" dxfId="373" priority="199">
      <formula>ISNUMBER(SEARCH("FORM",O26))</formula>
    </cfRule>
    <cfRule type="expression" dxfId="372" priority="200">
      <formula>ISNUMBER(SEARCH("ASA",O26))</formula>
    </cfRule>
    <cfRule type="expression" dxfId="371" priority="201">
      <formula>OR(ISNUMBER(SEARCH("ATM",O26)),ISNUMBER(SEARCH("ATA",O26)))</formula>
    </cfRule>
    <cfRule type="expression" dxfId="370" priority="202">
      <formula>ISNUMBER(SEARCH("TP",O26))</formula>
    </cfRule>
    <cfRule type="expression" dxfId="369" priority="203">
      <formula>ISNUMBER(SEARCH("CSE",O26))</formula>
    </cfRule>
    <cfRule type="expression" dxfId="368" priority="204">
      <formula>OR(ISNUMBER(SEARCH("CA",O26)),ISNUMBER(SEARCH("RC",O26)))</formula>
    </cfRule>
  </conditionalFormatting>
  <conditionalFormatting sqref="S27:T27">
    <cfRule type="expression" dxfId="367" priority="183">
      <formula>OR(ISNUMBER(SEARCH("PPP 1",S27)),ISNUMBER(SEARCH("PPP 2",S27)))</formula>
    </cfRule>
    <cfRule type="expression" dxfId="366" priority="184">
      <formula>ISNUMBER(SEARCH("FORM",S27))</formula>
    </cfRule>
    <cfRule type="expression" dxfId="365" priority="185">
      <formula>ISNUMBER(SEARCH("ASA",S27))</formula>
    </cfRule>
    <cfRule type="expression" dxfId="364" priority="186">
      <formula>OR(ISNUMBER(SEARCH("ATM",S27)),ISNUMBER(SEARCH("ATA",S27)))</formula>
    </cfRule>
    <cfRule type="expression" dxfId="363" priority="187">
      <formula>ISNUMBER(SEARCH("TP",S27))</formula>
    </cfRule>
    <cfRule type="expression" dxfId="362" priority="188">
      <formula>ISNUMBER(SEARCH("CSE",S27))</formula>
    </cfRule>
    <cfRule type="expression" dxfId="361" priority="189">
      <formula>OR(ISNUMBER(SEARCH("CA",S27)),ISNUMBER(SEARCH("RC",S27)))</formula>
    </cfRule>
  </conditionalFormatting>
  <conditionalFormatting sqref="S28:T28">
    <cfRule type="expression" dxfId="360" priority="155">
      <formula>OR(ISNUMBER(SEARCH("PPP 1",S28)),ISNUMBER(SEARCH("PPP 2",S28)))</formula>
    </cfRule>
    <cfRule type="expression" dxfId="359" priority="156">
      <formula>ISNUMBER(SEARCH("FORM",S28))</formula>
    </cfRule>
    <cfRule type="expression" dxfId="358" priority="157">
      <formula>ISNUMBER(SEARCH("ASA",S28))</formula>
    </cfRule>
    <cfRule type="expression" dxfId="357" priority="158">
      <formula>OR(ISNUMBER(SEARCH("ATM",S28)),ISNUMBER(SEARCH("ATA",S28)))</formula>
    </cfRule>
    <cfRule type="expression" dxfId="356" priority="159">
      <formula>ISNUMBER(SEARCH("TP",S28))</formula>
    </cfRule>
    <cfRule type="expression" dxfId="355" priority="160">
      <formula>ISNUMBER(SEARCH("CSE",S28))</formula>
    </cfRule>
    <cfRule type="expression" dxfId="354" priority="161">
      <formula>OR(ISNUMBER(SEARCH("CA",S28)),ISNUMBER(SEARCH("RC",S28)))</formula>
    </cfRule>
  </conditionalFormatting>
  <conditionalFormatting sqref="S29:T29">
    <cfRule type="expression" dxfId="353" priority="75">
      <formula>OR(ISNUMBER(SEARCH("PPP 1",S29)),ISNUMBER(SEARCH("PPP 2",S29)))</formula>
    </cfRule>
    <cfRule type="expression" dxfId="352" priority="76">
      <formula>ISNUMBER(SEARCH("FORM",S29))</formula>
    </cfRule>
    <cfRule type="expression" dxfId="351" priority="77">
      <formula>ISNUMBER(SEARCH("ASA",S29))</formula>
    </cfRule>
    <cfRule type="expression" dxfId="350" priority="78">
      <formula>OR(ISNUMBER(SEARCH("ATM",S29)),ISNUMBER(SEARCH("ATA",S29)))</formula>
    </cfRule>
    <cfRule type="expression" dxfId="349" priority="79">
      <formula>ISNUMBER(SEARCH("TP",S29))</formula>
    </cfRule>
    <cfRule type="expression" dxfId="348" priority="80">
      <formula>ISNUMBER(SEARCH("CSE",S29))</formula>
    </cfRule>
    <cfRule type="expression" dxfId="347" priority="81">
      <formula>OR(ISNUMBER(SEARCH("CA",S29)),ISNUMBER(SEARCH("RC",S29)))</formula>
    </cfRule>
  </conditionalFormatting>
  <conditionalFormatting sqref="T25">
    <cfRule type="expression" dxfId="346" priority="148">
      <formula>OR(ISNUMBER(SEARCH("PPP 1",T25)),ISNUMBER(SEARCH("PPP 2",T25)))</formula>
    </cfRule>
    <cfRule type="expression" dxfId="345" priority="149">
      <formula>ISNUMBER(SEARCH("FORM",T25))</formula>
    </cfRule>
    <cfRule type="expression" dxfId="344" priority="150">
      <formula>ISNUMBER(SEARCH("ASA",T25))</formula>
    </cfRule>
    <cfRule type="expression" dxfId="343" priority="151">
      <formula>OR(ISNUMBER(SEARCH("ATM",T25)),ISNUMBER(SEARCH("ATA",T25)))</formula>
    </cfRule>
    <cfRule type="expression" dxfId="342" priority="152">
      <formula>ISNUMBER(SEARCH("TP",T25))</formula>
    </cfRule>
    <cfRule type="expression" dxfId="341" priority="153">
      <formula>ISNUMBER(SEARCH("CSE",T25))</formula>
    </cfRule>
    <cfRule type="expression" dxfId="340" priority="154">
      <formula>OR(ISNUMBER(SEARCH("CA",T25)),ISNUMBER(SEARCH("RC",T25)))</formula>
    </cfRule>
  </conditionalFormatting>
  <conditionalFormatting sqref="T27:T28">
    <cfRule type="expression" dxfId="339" priority="176">
      <formula>OR(ISNUMBER(SEARCH("PPP 1",T27)),ISNUMBER(SEARCH("PPP 2",T27)))</formula>
    </cfRule>
    <cfRule type="expression" dxfId="338" priority="177">
      <formula>ISNUMBER(SEARCH("FORM",T27))</formula>
    </cfRule>
    <cfRule type="expression" dxfId="337" priority="178">
      <formula>ISNUMBER(SEARCH("ASA",T27))</formula>
    </cfRule>
    <cfRule type="expression" dxfId="336" priority="179">
      <formula>OR(ISNUMBER(SEARCH("ATM",T27)),ISNUMBER(SEARCH("ATA",T27)))</formula>
    </cfRule>
    <cfRule type="expression" dxfId="335" priority="180">
      <formula>ISNUMBER(SEARCH("TP",T27))</formula>
    </cfRule>
    <cfRule type="expression" dxfId="334" priority="181">
      <formula>ISNUMBER(SEARCH("CSE",T27))</formula>
    </cfRule>
    <cfRule type="expression" dxfId="333" priority="182">
      <formula>OR(ISNUMBER(SEARCH("CA",T27)),ISNUMBER(SEARCH("RC",T27)))</formula>
    </cfRule>
  </conditionalFormatting>
  <conditionalFormatting sqref="T28:T29">
    <cfRule type="expression" dxfId="332" priority="141">
      <formula>OR(ISNUMBER(SEARCH("PPP 1",T28)),ISNUMBER(SEARCH("PPP 2",T28)))</formula>
    </cfRule>
    <cfRule type="expression" dxfId="331" priority="142">
      <formula>ISNUMBER(SEARCH("FORM",T28))</formula>
    </cfRule>
    <cfRule type="expression" dxfId="330" priority="143">
      <formula>ISNUMBER(SEARCH("ASA",T28))</formula>
    </cfRule>
    <cfRule type="expression" dxfId="329" priority="144">
      <formula>OR(ISNUMBER(SEARCH("ATM",T28)),ISNUMBER(SEARCH("ATA",T28)))</formula>
    </cfRule>
    <cfRule type="expression" dxfId="328" priority="145">
      <formula>ISNUMBER(SEARCH("TP",T28))</formula>
    </cfRule>
    <cfRule type="expression" dxfId="327" priority="146">
      <formula>ISNUMBER(SEARCH("CSE",T28))</formula>
    </cfRule>
    <cfRule type="expression" dxfId="326" priority="147">
      <formula>OR(ISNUMBER(SEARCH("CA",T28)),ISNUMBER(SEARCH("RC",T28)))</formula>
    </cfRule>
  </conditionalFormatting>
  <conditionalFormatting sqref="T29">
    <cfRule type="expression" dxfId="325" priority="61">
      <formula>OR(ISNUMBER(SEARCH("PPP 1",T29)),ISNUMBER(SEARCH("PPP 2",T29)))</formula>
    </cfRule>
    <cfRule type="expression" dxfId="324" priority="62">
      <formula>ISNUMBER(SEARCH("FORM",T29))</formula>
    </cfRule>
    <cfRule type="expression" dxfId="323" priority="63">
      <formula>ISNUMBER(SEARCH("ASA",T29))</formula>
    </cfRule>
    <cfRule type="expression" dxfId="322" priority="64">
      <formula>OR(ISNUMBER(SEARCH("ATM",T29)),ISNUMBER(SEARCH("ATA",T29)))</formula>
    </cfRule>
    <cfRule type="expression" dxfId="321" priority="65">
      <formula>ISNUMBER(SEARCH("TP",T29))</formula>
    </cfRule>
    <cfRule type="expression" dxfId="320" priority="66">
      <formula>ISNUMBER(SEARCH("CSE",T29))</formula>
    </cfRule>
    <cfRule type="expression" dxfId="319" priority="67">
      <formula>OR(ISNUMBER(SEARCH("CA",T29)),ISNUMBER(SEARCH("RC",T29)))</formula>
    </cfRule>
    <cfRule type="expression" dxfId="318" priority="68">
      <formula>OR(ISNUMBER(SEARCH("PPP 1",T29)),ISNUMBER(SEARCH("PPP 2",T29)))</formula>
    </cfRule>
    <cfRule type="expression" dxfId="317" priority="69">
      <formula>ISNUMBER(SEARCH("FORM",T29))</formula>
    </cfRule>
    <cfRule type="expression" dxfId="316" priority="70">
      <formula>ISNUMBER(SEARCH("ASA",T29))</formula>
    </cfRule>
    <cfRule type="expression" dxfId="315" priority="71">
      <formula>OR(ISNUMBER(SEARCH("ATM",T29)),ISNUMBER(SEARCH("ATA",T29)))</formula>
    </cfRule>
    <cfRule type="expression" dxfId="314" priority="72">
      <formula>ISNUMBER(SEARCH("TP",T29))</formula>
    </cfRule>
    <cfRule type="expression" dxfId="313" priority="73">
      <formula>ISNUMBER(SEARCH("CSE",T29))</formula>
    </cfRule>
    <cfRule type="expression" dxfId="312" priority="74">
      <formula>OR(ISNUMBER(SEARCH("CA",T29)),ISNUMBER(SEARCH("RC",T29)))</formula>
    </cfRule>
  </conditionalFormatting>
  <conditionalFormatting sqref="Z25:AA25">
    <cfRule type="expression" dxfId="311" priority="219">
      <formula>OR(ISNUMBER(SEARCH("PPP 1",Z25)),ISNUMBER(SEARCH("PPP 2",Z25)))</formula>
    </cfRule>
    <cfRule type="expression" dxfId="310" priority="220">
      <formula>ISNUMBER(SEARCH("FORM",Z25))</formula>
    </cfRule>
    <cfRule type="expression" dxfId="309" priority="221">
      <formula>ISNUMBER(SEARCH("ASA",Z25))</formula>
    </cfRule>
    <cfRule type="expression" dxfId="308" priority="222">
      <formula>OR(ISNUMBER(SEARCH("ATM",Z25)),ISNUMBER(SEARCH("ATA",Z25)))</formula>
    </cfRule>
    <cfRule type="expression" dxfId="307" priority="223">
      <formula>ISNUMBER(SEARCH("TP",Z25))</formula>
    </cfRule>
    <cfRule type="expression" dxfId="306" priority="224">
      <formula>ISNUMBER(SEARCH("CSE",Z25))</formula>
    </cfRule>
    <cfRule type="expression" dxfId="305" priority="225">
      <formula>OR(ISNUMBER(SEARCH("CA",Z25)),ISNUMBER(SEARCH("RC",Z25)))</formula>
    </cfRule>
  </conditionalFormatting>
  <conditionalFormatting sqref="Z29:AA29">
    <cfRule type="expression" dxfId="304" priority="54">
      <formula>OR(ISNUMBER(SEARCH("PPP 1",Z29)),ISNUMBER(SEARCH("PPP 2",Z29)))</formula>
    </cfRule>
    <cfRule type="expression" dxfId="303" priority="55">
      <formula>ISNUMBER(SEARCH("FORM",Z29))</formula>
    </cfRule>
    <cfRule type="expression" dxfId="302" priority="56">
      <formula>ISNUMBER(SEARCH("ASA",Z29))</formula>
    </cfRule>
    <cfRule type="expression" dxfId="301" priority="57">
      <formula>OR(ISNUMBER(SEARCH("ATM",Z29)),ISNUMBER(SEARCH("ATA",Z29)))</formula>
    </cfRule>
    <cfRule type="expression" dxfId="300" priority="58">
      <formula>ISNUMBER(SEARCH("TP",Z29))</formula>
    </cfRule>
    <cfRule type="expression" dxfId="299" priority="59">
      <formula>ISNUMBER(SEARCH("CSE",Z29))</formula>
    </cfRule>
    <cfRule type="expression" dxfId="298" priority="60">
      <formula>OR(ISNUMBER(SEARCH("CA",Z29)),ISNUMBER(SEARCH("RC",Z29)))</formula>
    </cfRule>
  </conditionalFormatting>
  <conditionalFormatting sqref="AA25:AA26">
    <cfRule type="expression" dxfId="297" priority="212">
      <formula>OR(ISNUMBER(SEARCH("PPP 1",AA25)),ISNUMBER(SEARCH("PPP 2",AA25)))</formula>
    </cfRule>
    <cfRule type="expression" dxfId="296" priority="213">
      <formula>ISNUMBER(SEARCH("FORM",AA25))</formula>
    </cfRule>
    <cfRule type="expression" dxfId="295" priority="214">
      <formula>ISNUMBER(SEARCH("ASA",AA25))</formula>
    </cfRule>
    <cfRule type="expression" dxfId="294" priority="215">
      <formula>OR(ISNUMBER(SEARCH("ATM",AA25)),ISNUMBER(SEARCH("ATA",AA25)))</formula>
    </cfRule>
    <cfRule type="expression" dxfId="293" priority="216">
      <formula>ISNUMBER(SEARCH("TP",AA25))</formula>
    </cfRule>
    <cfRule type="expression" dxfId="292" priority="217">
      <formula>ISNUMBER(SEARCH("CSE",AA25))</formula>
    </cfRule>
    <cfRule type="expression" dxfId="291" priority="218">
      <formula>OR(ISNUMBER(SEARCH("CA",AA25)),ISNUMBER(SEARCH("RC",AA25)))</formula>
    </cfRule>
  </conditionalFormatting>
  <conditionalFormatting sqref="AA29">
    <cfRule type="expression" dxfId="290" priority="33">
      <formula>OR(ISNUMBER(SEARCH("PPP 1",AA29)),ISNUMBER(SEARCH("PPP 2",AA29)))</formula>
    </cfRule>
    <cfRule type="expression" dxfId="289" priority="34">
      <formula>ISNUMBER(SEARCH("FORM",AA29))</formula>
    </cfRule>
    <cfRule type="expression" dxfId="288" priority="35">
      <formula>ISNUMBER(SEARCH("ASA",AA29))</formula>
    </cfRule>
    <cfRule type="expression" dxfId="287" priority="36">
      <formula>OR(ISNUMBER(SEARCH("ATM",AA29)),ISNUMBER(SEARCH("ATA",AA29)))</formula>
    </cfRule>
    <cfRule type="expression" dxfId="286" priority="37">
      <formula>ISNUMBER(SEARCH("TP",AA29))</formula>
    </cfRule>
    <cfRule type="expression" dxfId="285" priority="38">
      <formula>ISNUMBER(SEARCH("CSE",AA29))</formula>
    </cfRule>
    <cfRule type="expression" dxfId="284" priority="39">
      <formula>OR(ISNUMBER(SEARCH("CA",AA29)),ISNUMBER(SEARCH("RC",AA29)))</formula>
    </cfRule>
    <cfRule type="expression" dxfId="283" priority="40">
      <formula>OR(ISNUMBER(SEARCH("PPP 1",AA29)),ISNUMBER(SEARCH("PPP 2",AA29)))</formula>
    </cfRule>
    <cfRule type="expression" dxfId="282" priority="41">
      <formula>ISNUMBER(SEARCH("FORM",AA29))</formula>
    </cfRule>
    <cfRule type="expression" dxfId="281" priority="42">
      <formula>ISNUMBER(SEARCH("ASA",AA29))</formula>
    </cfRule>
    <cfRule type="expression" dxfId="280" priority="43">
      <formula>OR(ISNUMBER(SEARCH("ATM",AA29)),ISNUMBER(SEARCH("ATA",AA29)))</formula>
    </cfRule>
    <cfRule type="expression" dxfId="279" priority="44">
      <formula>ISNUMBER(SEARCH("TP",AA29))</formula>
    </cfRule>
    <cfRule type="expression" dxfId="278" priority="45">
      <formula>ISNUMBER(SEARCH("CSE",AA29))</formula>
    </cfRule>
    <cfRule type="expression" dxfId="277" priority="46">
      <formula>OR(ISNUMBER(SEARCH("CA",AA29)),ISNUMBER(SEARCH("RC",AA29)))</formula>
    </cfRule>
    <cfRule type="expression" dxfId="276" priority="47">
      <formula>OR(ISNUMBER(SEARCH("PPP 1",AA29)),ISNUMBER(SEARCH("PPP 2",AA29)))</formula>
    </cfRule>
    <cfRule type="expression" dxfId="275" priority="48">
      <formula>ISNUMBER(SEARCH("FORM",AA29))</formula>
    </cfRule>
    <cfRule type="expression" dxfId="274" priority="49">
      <formula>ISNUMBER(SEARCH("ASA",AA29))</formula>
    </cfRule>
    <cfRule type="expression" dxfId="273" priority="50">
      <formula>OR(ISNUMBER(SEARCH("ATM",AA29)),ISNUMBER(SEARCH("ATA",AA29)))</formula>
    </cfRule>
    <cfRule type="expression" dxfId="272" priority="51">
      <formula>ISNUMBER(SEARCH("TP",AA29))</formula>
    </cfRule>
    <cfRule type="expression" dxfId="271" priority="52">
      <formula>ISNUMBER(SEARCH("CSE",AA29))</formula>
    </cfRule>
    <cfRule type="expression" dxfId="270" priority="53">
      <formula>OR(ISNUMBER(SEARCH("CA",AA29)),ISNUMBER(SEARCH("RC",AA29)))</formula>
    </cfRule>
  </conditionalFormatting>
  <conditionalFormatting sqref="AB6:AB28 AC8:AH28 K6:K7 N6:N24 Q7:Q22 O8:P22 R8:R22 F8:M24 S8:AA28 AB11:AD11 O23:R28 G25:N28 F25:F31 G29:AH31">
    <cfRule type="expression" dxfId="269" priority="261">
      <formula>OR(ISNUMBER(SEARCH("PPP 1",F6)),ISNUMBER(SEARCH("PPP 2",F6)))</formula>
    </cfRule>
  </conditionalFormatting>
  <conditionalFormatting sqref="AB25:AC25">
    <cfRule type="expression" dxfId="268" priority="255">
      <formula>OR(ISNUMBER(SEARCH("PPP 1",AB25)),ISNUMBER(SEARCH("PPP 2",AB25)))</formula>
    </cfRule>
    <cfRule type="expression" dxfId="267" priority="256">
      <formula>ISNUMBER(SEARCH("ASA",AB25))</formula>
    </cfRule>
    <cfRule type="expression" dxfId="266" priority="257">
      <formula>OR(ISNUMBER(SEARCH("ATM",AB25)),ISNUMBER(SEARCH("ATA",AB25)))</formula>
    </cfRule>
    <cfRule type="expression" dxfId="265" priority="258">
      <formula>ISNUMBER(SEARCH("TP",AB25))</formula>
    </cfRule>
    <cfRule type="expression" dxfId="264" priority="259">
      <formula>ISNUMBER(SEARCH("CSE",AB25))</formula>
    </cfRule>
    <cfRule type="expression" dxfId="263" priority="260">
      <formula>OR(ISNUMBER(SEARCH("CA",AB25)),ISNUMBER(SEARCH("RC",AB25)))</formula>
    </cfRule>
  </conditionalFormatting>
  <conditionalFormatting sqref="AB27:AC27">
    <cfRule type="expression" dxfId="262" priority="191">
      <formula>OR(ISNUMBER(SEARCH("PPP 1",AB27)),ISNUMBER(SEARCH("PPP 2",AB27)))</formula>
    </cfRule>
    <cfRule type="expression" dxfId="261" priority="192">
      <formula>ISNUMBER(SEARCH("FORM",AB27))</formula>
    </cfRule>
    <cfRule type="expression" dxfId="260" priority="193">
      <formula>ISNUMBER(SEARCH("ASA",AB27))</formula>
    </cfRule>
    <cfRule type="expression" dxfId="259" priority="194">
      <formula>OR(ISNUMBER(SEARCH("ATM",AB27)),ISNUMBER(SEARCH("ATA",AB27)))</formula>
    </cfRule>
    <cfRule type="expression" dxfId="258" priority="195">
      <formula>ISNUMBER(SEARCH("TP",AB27))</formula>
    </cfRule>
    <cfRule type="expression" dxfId="257" priority="196">
      <formula>ISNUMBER(SEARCH("CSE",AB27))</formula>
    </cfRule>
    <cfRule type="expression" dxfId="256" priority="197">
      <formula>OR(ISNUMBER(SEARCH("CA",AB27)),ISNUMBER(SEARCH("RC",AB27)))</formula>
    </cfRule>
  </conditionalFormatting>
  <conditionalFormatting sqref="AD27:AF27">
    <cfRule type="expression" dxfId="255" priority="234">
      <formula>OR(ISNUMBER(SEARCH("PPP 1",AD27)),ISNUMBER(SEARCH("PPP 2",AD27)))</formula>
    </cfRule>
    <cfRule type="expression" dxfId="254" priority="235">
      <formula>ISNUMBER(SEARCH("FORM",AD27))</formula>
    </cfRule>
    <cfRule type="expression" dxfId="253" priority="236">
      <formula>ISNUMBER(SEARCH("ASA",AD27))</formula>
    </cfRule>
    <cfRule type="expression" dxfId="252" priority="237">
      <formula>OR(ISNUMBER(SEARCH("ATM",AD27)),ISNUMBER(SEARCH("ATA",AD27)))</formula>
    </cfRule>
    <cfRule type="expression" dxfId="251" priority="238">
      <formula>ISNUMBER(SEARCH("TP",AD27))</formula>
    </cfRule>
    <cfRule type="expression" dxfId="250" priority="239">
      <formula>ISNUMBER(SEARCH("CSE",AD27))</formula>
    </cfRule>
    <cfRule type="expression" dxfId="249" priority="240">
      <formula>OR(ISNUMBER(SEARCH("CA",AD27)),ISNUMBER(SEARCH("RC",AD27)))</formula>
    </cfRule>
  </conditionalFormatting>
  <conditionalFormatting sqref="AG29:AH29">
    <cfRule type="expression" dxfId="248" priority="26">
      <formula>OR(ISNUMBER(SEARCH("PPP 1",AG29)),ISNUMBER(SEARCH("PPP 2",AG29)))</formula>
    </cfRule>
    <cfRule type="expression" dxfId="247" priority="27">
      <formula>ISNUMBER(SEARCH("FORM",AG29))</formula>
    </cfRule>
    <cfRule type="expression" dxfId="246" priority="28">
      <formula>ISNUMBER(SEARCH("ASA",AG29))</formula>
    </cfRule>
    <cfRule type="expression" dxfId="245" priority="29">
      <formula>OR(ISNUMBER(SEARCH("ATM",AG29)),ISNUMBER(SEARCH("ATA",AG29)))</formula>
    </cfRule>
    <cfRule type="expression" dxfId="244" priority="30">
      <formula>ISNUMBER(SEARCH("TP",AG29))</formula>
    </cfRule>
    <cfRule type="expression" dxfId="243" priority="31">
      <formula>ISNUMBER(SEARCH("CSE",AG29))</formula>
    </cfRule>
    <cfRule type="expression" dxfId="242" priority="32">
      <formula>OR(ISNUMBER(SEARCH("CA",AG29)),ISNUMBER(SEARCH("RC",AG29)))</formula>
    </cfRule>
  </conditionalFormatting>
  <conditionalFormatting sqref="AH29">
    <cfRule type="expression" dxfId="241" priority="5">
      <formula>OR(ISNUMBER(SEARCH("PPP 1",AH29)),ISNUMBER(SEARCH("PPP 2",AH29)))</formula>
    </cfRule>
    <cfRule type="expression" dxfId="240" priority="6">
      <formula>ISNUMBER(SEARCH("FORM",AH29))</formula>
    </cfRule>
    <cfRule type="expression" dxfId="239" priority="7">
      <formula>ISNUMBER(SEARCH("ASA",AH29))</formula>
    </cfRule>
    <cfRule type="expression" dxfId="238" priority="8">
      <formula>OR(ISNUMBER(SEARCH("ATM",AH29)),ISNUMBER(SEARCH("ATA",AH29)))</formula>
    </cfRule>
    <cfRule type="expression" dxfId="237" priority="9">
      <formula>ISNUMBER(SEARCH("TP",AH29))</formula>
    </cfRule>
    <cfRule type="expression" dxfId="236" priority="10">
      <formula>ISNUMBER(SEARCH("CSE",AH29))</formula>
    </cfRule>
    <cfRule type="expression" dxfId="235" priority="11">
      <formula>OR(ISNUMBER(SEARCH("CA",AH29)),ISNUMBER(SEARCH("RC",AH29)))</formula>
    </cfRule>
    <cfRule type="expression" dxfId="234" priority="12">
      <formula>OR(ISNUMBER(SEARCH("PPP 1",AH29)),ISNUMBER(SEARCH("PPP 2",AH29)))</formula>
    </cfRule>
    <cfRule type="expression" dxfId="233" priority="13">
      <formula>ISNUMBER(SEARCH("FORM",AH29))</formula>
    </cfRule>
    <cfRule type="expression" dxfId="232" priority="14">
      <formula>ISNUMBER(SEARCH("ASA",AH29))</formula>
    </cfRule>
    <cfRule type="expression" dxfId="231" priority="15">
      <formula>OR(ISNUMBER(SEARCH("ATM",AH29)),ISNUMBER(SEARCH("ATA",AH29)))</formula>
    </cfRule>
    <cfRule type="expression" dxfId="230" priority="16">
      <formula>ISNUMBER(SEARCH("TP",AH29))</formula>
    </cfRule>
    <cfRule type="expression" dxfId="229" priority="17">
      <formula>ISNUMBER(SEARCH("CSE",AH29))</formula>
    </cfRule>
    <cfRule type="expression" dxfId="228" priority="18">
      <formula>OR(ISNUMBER(SEARCH("CA",AH29)),ISNUMBER(SEARCH("RC",AH29)))</formula>
    </cfRule>
    <cfRule type="expression" dxfId="227" priority="19">
      <formula>OR(ISNUMBER(SEARCH("PPP 1",AH29)),ISNUMBER(SEARCH("PPP 2",AH29)))</formula>
    </cfRule>
    <cfRule type="expression" dxfId="226" priority="20">
      <formula>ISNUMBER(SEARCH("FORM",AH29))</formula>
    </cfRule>
    <cfRule type="expression" dxfId="225" priority="21">
      <formula>ISNUMBER(SEARCH("ASA",AH29))</formula>
    </cfRule>
    <cfRule type="expression" dxfId="224" priority="22">
      <formula>OR(ISNUMBER(SEARCH("ATM",AH29)),ISNUMBER(SEARCH("ATA",AH29)))</formula>
    </cfRule>
    <cfRule type="expression" dxfId="223" priority="23">
      <formula>ISNUMBER(SEARCH("TP",AH29))</formula>
    </cfRule>
    <cfRule type="expression" dxfId="222" priority="24">
      <formula>ISNUMBER(SEARCH("CSE",AH29))</formula>
    </cfRule>
    <cfRule type="expression" dxfId="221" priority="25">
      <formula>OR(ISNUMBER(SEARCH("CA",AH29)),ISNUMBER(SEARCH("RC",AH29)))</formula>
    </cfRule>
  </conditionalFormatting>
  <dataValidations count="1">
    <dataValidation allowBlank="1" showInputMessage="1" showErrorMessage="1" sqref="G9" xr:uid="{00000000-0002-0000-0B00-000000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CCFF"/>
  </sheetPr>
  <dimension ref="A1:AO595"/>
  <sheetViews>
    <sheetView zoomScaleNormal="100" workbookViewId="0">
      <pane xSplit="6" topLeftCell="G1" activePane="topRight" state="frozen"/>
      <selection pane="topRight" activeCell="H22" sqref="H22"/>
      <selection activeCell="A22" sqref="A22"/>
    </sheetView>
  </sheetViews>
  <sheetFormatPr defaultColWidth="8.85546875" defaultRowHeight="15"/>
  <cols>
    <col min="1" max="1" width="12.42578125" customWidth="1"/>
    <col min="2" max="2" width="23.42578125" customWidth="1"/>
    <col min="3" max="3" width="20" customWidth="1"/>
    <col min="4" max="4" width="21.42578125" customWidth="1"/>
    <col min="5" max="5" width="19.28515625" customWidth="1"/>
    <col min="6" max="6" width="13.7109375" customWidth="1"/>
    <col min="7" max="11" width="10.85546875" customWidth="1"/>
    <col min="12" max="12" width="8.28515625" customWidth="1"/>
    <col min="13" max="13" width="6.28515625" customWidth="1"/>
    <col min="14" max="18" width="10.85546875" customWidth="1"/>
    <col min="19" max="19" width="8.28515625" customWidth="1"/>
    <col min="20" max="20" width="6.28515625" customWidth="1"/>
    <col min="21" max="25" width="10.85546875" customWidth="1"/>
    <col min="26" max="26" width="8.28515625" customWidth="1"/>
    <col min="27" max="27" width="6.28515625" customWidth="1"/>
    <col min="28" max="31" width="10.85546875" customWidth="1"/>
    <col min="32" max="32" width="8.28515625" customWidth="1"/>
    <col min="33" max="33" width="11.7109375" customWidth="1"/>
    <col min="34" max="34" width="6.28515625" customWidth="1"/>
    <col min="35" max="38" width="10.85546875" customWidth="1"/>
    <col min="39" max="39" width="10.140625" customWidth="1"/>
    <col min="40" max="40" width="11.7109375" customWidth="1"/>
    <col min="41" max="41" width="6.28515625" customWidth="1"/>
  </cols>
  <sheetData>
    <row r="1" spans="1:41" ht="18.75" customHeight="1">
      <c r="F1" s="13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1:41" ht="18.75" customHeight="1">
      <c r="F2" s="13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</row>
    <row r="3" spans="1:41" ht="34.5" customHeight="1">
      <c r="A3" s="15"/>
      <c r="B3" s="16"/>
      <c r="C3" s="16"/>
      <c r="D3" s="16"/>
      <c r="E3" s="16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 spans="1:41" ht="18.75" customHeight="1">
      <c r="A4" s="18" t="s">
        <v>23</v>
      </c>
      <c r="B4" s="428" t="s">
        <v>354</v>
      </c>
      <c r="C4" s="428"/>
      <c r="D4" s="428"/>
      <c r="E4" s="428"/>
      <c r="F4" s="429"/>
      <c r="G4" s="444" t="s">
        <v>355</v>
      </c>
      <c r="H4" s="444"/>
      <c r="I4" s="444"/>
      <c r="J4" s="444"/>
      <c r="K4" s="444"/>
      <c r="L4" s="444"/>
      <c r="M4" s="444"/>
      <c r="N4" s="445" t="s">
        <v>356</v>
      </c>
      <c r="O4" s="445"/>
      <c r="P4" s="445"/>
      <c r="Q4" s="445"/>
      <c r="R4" s="445"/>
      <c r="S4" s="445"/>
      <c r="T4" s="445"/>
      <c r="U4" s="445" t="s">
        <v>357</v>
      </c>
      <c r="V4" s="445"/>
      <c r="W4" s="445"/>
      <c r="X4" s="445"/>
      <c r="Y4" s="445"/>
      <c r="Z4" s="445"/>
      <c r="AA4" s="445"/>
      <c r="AB4" s="443" t="s">
        <v>358</v>
      </c>
      <c r="AC4" s="443"/>
      <c r="AD4" s="443"/>
      <c r="AE4" s="443"/>
      <c r="AF4" s="443"/>
      <c r="AG4" s="443"/>
      <c r="AH4" s="443"/>
      <c r="AI4" s="443" t="s">
        <v>359</v>
      </c>
      <c r="AJ4" s="443"/>
      <c r="AK4" s="443"/>
      <c r="AL4" s="443"/>
      <c r="AM4" s="443"/>
      <c r="AN4" s="443"/>
      <c r="AO4" s="443"/>
    </row>
    <row r="5" spans="1:41" ht="21" customHeight="1">
      <c r="A5" s="152" t="s">
        <v>24</v>
      </c>
      <c r="B5" s="428"/>
      <c r="C5" s="428"/>
      <c r="D5" s="428"/>
      <c r="E5" s="428"/>
      <c r="F5" s="429"/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2"/>
      <c r="S5" s="272"/>
      <c r="T5" s="272"/>
      <c r="U5" s="272"/>
      <c r="V5" s="272"/>
      <c r="W5" s="272"/>
      <c r="X5" s="272"/>
      <c r="Y5" s="272"/>
      <c r="Z5" s="272"/>
      <c r="AA5" s="272"/>
      <c r="AB5" s="272"/>
      <c r="AC5" s="272"/>
      <c r="AD5" s="272"/>
      <c r="AE5" s="272"/>
      <c r="AF5" s="272"/>
      <c r="AG5" s="272"/>
      <c r="AH5" s="272"/>
      <c r="AI5" s="272"/>
      <c r="AJ5" s="272"/>
      <c r="AK5" s="272"/>
      <c r="AL5" s="272"/>
      <c r="AM5" s="272"/>
      <c r="AN5" s="272"/>
      <c r="AO5" s="272"/>
    </row>
    <row r="6" spans="1:41" ht="19.5" customHeight="1">
      <c r="A6" s="27" t="s">
        <v>25</v>
      </c>
      <c r="B6" s="427" t="s">
        <v>60</v>
      </c>
      <c r="C6" s="427"/>
      <c r="D6" s="427"/>
      <c r="E6" s="427"/>
      <c r="F6" s="429"/>
      <c r="G6" s="170" t="s">
        <v>61</v>
      </c>
      <c r="H6" s="170" t="s">
        <v>62</v>
      </c>
      <c r="I6" s="170" t="s">
        <v>63</v>
      </c>
      <c r="J6" s="170" t="s">
        <v>64</v>
      </c>
      <c r="K6" s="170" t="s">
        <v>65</v>
      </c>
      <c r="L6" s="171" t="s">
        <v>66</v>
      </c>
      <c r="M6" s="171" t="s">
        <v>67</v>
      </c>
      <c r="N6" s="170" t="s">
        <v>68</v>
      </c>
      <c r="O6" s="170" t="s">
        <v>62</v>
      </c>
      <c r="P6" s="170" t="s">
        <v>63</v>
      </c>
      <c r="Q6" s="170" t="s">
        <v>64</v>
      </c>
      <c r="R6" s="170" t="s">
        <v>65</v>
      </c>
      <c r="S6" s="171" t="s">
        <v>66</v>
      </c>
      <c r="T6" s="171" t="s">
        <v>67</v>
      </c>
      <c r="U6" s="170" t="s">
        <v>68</v>
      </c>
      <c r="V6" s="170" t="s">
        <v>62</v>
      </c>
      <c r="W6" s="170" t="s">
        <v>63</v>
      </c>
      <c r="X6" s="170" t="s">
        <v>64</v>
      </c>
      <c r="Y6" s="170" t="s">
        <v>65</v>
      </c>
      <c r="Z6" s="171" t="s">
        <v>66</v>
      </c>
      <c r="AA6" s="171" t="s">
        <v>67</v>
      </c>
      <c r="AB6" s="170" t="s">
        <v>68</v>
      </c>
      <c r="AC6" s="170" t="s">
        <v>62</v>
      </c>
      <c r="AD6" s="170" t="s">
        <v>63</v>
      </c>
      <c r="AE6" s="170" t="s">
        <v>64</v>
      </c>
      <c r="AF6" s="171" t="s">
        <v>65</v>
      </c>
      <c r="AG6" s="171" t="s">
        <v>66</v>
      </c>
      <c r="AH6" s="171" t="s">
        <v>67</v>
      </c>
      <c r="AI6" s="170" t="s">
        <v>68</v>
      </c>
      <c r="AJ6" s="170" t="s">
        <v>62</v>
      </c>
      <c r="AK6" s="170" t="s">
        <v>63</v>
      </c>
      <c r="AL6" s="170" t="s">
        <v>64</v>
      </c>
      <c r="AM6" s="171" t="s">
        <v>65</v>
      </c>
      <c r="AN6" s="171" t="s">
        <v>66</v>
      </c>
      <c r="AO6" s="171" t="s">
        <v>67</v>
      </c>
    </row>
    <row r="7" spans="1:41" ht="36" customHeight="1">
      <c r="A7" s="274" t="s">
        <v>26</v>
      </c>
      <c r="B7" s="275" t="s">
        <v>69</v>
      </c>
      <c r="C7" s="35" t="s">
        <v>70</v>
      </c>
      <c r="D7" s="276" t="s">
        <v>71</v>
      </c>
      <c r="E7" s="277" t="s">
        <v>72</v>
      </c>
      <c r="F7" s="429"/>
      <c r="G7" s="380">
        <v>30</v>
      </c>
      <c r="H7" s="174">
        <v>1</v>
      </c>
      <c r="I7" s="174">
        <v>2</v>
      </c>
      <c r="J7" s="174">
        <v>3</v>
      </c>
      <c r="K7" s="174">
        <v>4</v>
      </c>
      <c r="L7" s="175">
        <v>5</v>
      </c>
      <c r="M7" s="175">
        <v>6</v>
      </c>
      <c r="N7" s="174">
        <v>7</v>
      </c>
      <c r="O7" s="174">
        <v>8</v>
      </c>
      <c r="P7" s="174">
        <v>9</v>
      </c>
      <c r="Q7" s="174">
        <v>10</v>
      </c>
      <c r="R7" s="174">
        <v>11</v>
      </c>
      <c r="S7" s="175">
        <v>12</v>
      </c>
      <c r="T7" s="175">
        <v>13</v>
      </c>
      <c r="U7" s="174">
        <v>14</v>
      </c>
      <c r="V7" s="174">
        <v>15</v>
      </c>
      <c r="W7" s="174">
        <v>16</v>
      </c>
      <c r="X7" s="174">
        <v>17</v>
      </c>
      <c r="Y7" s="174">
        <v>18</v>
      </c>
      <c r="Z7" s="175">
        <v>19</v>
      </c>
      <c r="AA7" s="175">
        <v>20</v>
      </c>
      <c r="AB7" s="174">
        <v>21</v>
      </c>
      <c r="AC7" s="174">
        <v>22</v>
      </c>
      <c r="AD7" s="174">
        <v>23</v>
      </c>
      <c r="AE7" s="174">
        <v>24</v>
      </c>
      <c r="AF7" s="175">
        <v>25</v>
      </c>
      <c r="AG7" s="174">
        <v>26</v>
      </c>
      <c r="AH7" s="175">
        <v>27</v>
      </c>
      <c r="AI7" s="174">
        <v>28</v>
      </c>
      <c r="AJ7" s="174">
        <v>29</v>
      </c>
      <c r="AK7" s="174">
        <v>30</v>
      </c>
      <c r="AL7" s="174">
        <v>31</v>
      </c>
      <c r="AM7" s="175">
        <v>1</v>
      </c>
      <c r="AN7" s="174">
        <v>2</v>
      </c>
      <c r="AO7" s="175">
        <v>3</v>
      </c>
    </row>
    <row r="8" spans="1:41" ht="54" customHeight="1">
      <c r="A8" s="283" t="s">
        <v>27</v>
      </c>
      <c r="B8" s="54" t="s">
        <v>73</v>
      </c>
      <c r="C8" s="44" t="s">
        <v>73</v>
      </c>
      <c r="D8" s="45" t="s">
        <v>74</v>
      </c>
      <c r="E8" s="177" t="s">
        <v>75</v>
      </c>
      <c r="F8" s="284">
        <v>1</v>
      </c>
      <c r="G8" s="381"/>
      <c r="H8" s="200"/>
      <c r="I8" s="200"/>
      <c r="J8" s="200"/>
      <c r="K8" s="200"/>
      <c r="L8" s="382"/>
      <c r="M8" s="382"/>
      <c r="N8" s="200"/>
      <c r="O8" s="200"/>
      <c r="P8" s="200"/>
      <c r="Q8" s="200"/>
      <c r="R8" s="200"/>
      <c r="S8" s="382"/>
      <c r="T8" s="382"/>
      <c r="U8" s="200"/>
      <c r="V8" s="200"/>
      <c r="W8" s="200"/>
      <c r="X8" s="200"/>
      <c r="Y8" s="200"/>
      <c r="Z8" s="382"/>
      <c r="AA8" s="382"/>
      <c r="AB8" s="200"/>
      <c r="AC8" s="200"/>
      <c r="AD8" s="200"/>
      <c r="AE8" s="200"/>
      <c r="AF8" s="382"/>
      <c r="AG8" s="382"/>
      <c r="AH8" s="382"/>
      <c r="AI8" s="383" t="s">
        <v>25</v>
      </c>
      <c r="AJ8" s="383" t="s">
        <v>25</v>
      </c>
      <c r="AK8" s="383" t="s">
        <v>25</v>
      </c>
      <c r="AL8" s="383" t="s">
        <v>25</v>
      </c>
      <c r="AM8" s="382"/>
      <c r="AN8" s="382"/>
      <c r="AO8" s="384"/>
    </row>
    <row r="9" spans="1:41" ht="38.25" customHeight="1">
      <c r="A9" s="292" t="s">
        <v>28</v>
      </c>
      <c r="B9" s="293" t="s">
        <v>77</v>
      </c>
      <c r="C9" s="294" t="s">
        <v>78</v>
      </c>
      <c r="D9" s="295" t="s">
        <v>79</v>
      </c>
      <c r="E9" s="296" t="s">
        <v>80</v>
      </c>
      <c r="F9" s="228">
        <v>1</v>
      </c>
      <c r="G9" s="113"/>
      <c r="H9" s="114"/>
      <c r="I9" s="114"/>
      <c r="J9" s="114"/>
      <c r="K9" s="114"/>
      <c r="L9" s="116"/>
      <c r="M9" s="116"/>
      <c r="N9" s="114" t="s">
        <v>351</v>
      </c>
      <c r="O9" s="114" t="s">
        <v>351</v>
      </c>
      <c r="P9" s="114" t="s">
        <v>351</v>
      </c>
      <c r="Q9" s="114" t="s">
        <v>351</v>
      </c>
      <c r="R9" s="114" t="s">
        <v>351</v>
      </c>
      <c r="S9" s="116"/>
      <c r="T9" s="116"/>
      <c r="U9" s="114" t="s">
        <v>83</v>
      </c>
      <c r="V9" s="114" t="s">
        <v>83</v>
      </c>
      <c r="W9" s="114" t="s">
        <v>83</v>
      </c>
      <c r="X9" s="114" t="s">
        <v>83</v>
      </c>
      <c r="Y9" s="114" t="s">
        <v>83</v>
      </c>
      <c r="Z9" s="116"/>
      <c r="AA9" s="116"/>
      <c r="AB9" s="114" t="s">
        <v>83</v>
      </c>
      <c r="AC9" s="114" t="s">
        <v>83</v>
      </c>
      <c r="AD9" s="114" t="s">
        <v>83</v>
      </c>
      <c r="AE9" s="114" t="s">
        <v>83</v>
      </c>
      <c r="AF9" s="116"/>
      <c r="AG9" s="116"/>
      <c r="AH9" s="116"/>
      <c r="AI9" s="114" t="s">
        <v>84</v>
      </c>
      <c r="AJ9" s="114" t="s">
        <v>84</v>
      </c>
      <c r="AK9" s="114" t="s">
        <v>84</v>
      </c>
      <c r="AL9" s="114" t="s">
        <v>84</v>
      </c>
      <c r="AM9" s="116"/>
      <c r="AN9" s="116"/>
      <c r="AO9" s="117"/>
    </row>
    <row r="10" spans="1:41" ht="18.75" customHeight="1">
      <c r="A10" s="417" t="s">
        <v>88</v>
      </c>
      <c r="B10" s="64" t="s">
        <v>89</v>
      </c>
      <c r="C10" s="65" t="s">
        <v>90</v>
      </c>
      <c r="D10" s="186" t="s">
        <v>91</v>
      </c>
      <c r="E10" s="187" t="s">
        <v>92</v>
      </c>
      <c r="F10" s="235">
        <v>0.5</v>
      </c>
      <c r="G10" s="195" t="s">
        <v>23</v>
      </c>
      <c r="H10" s="188" t="s">
        <v>23</v>
      </c>
      <c r="I10" s="188" t="s">
        <v>23</v>
      </c>
      <c r="J10" s="188" t="s">
        <v>23</v>
      </c>
      <c r="K10" s="188" t="s">
        <v>23</v>
      </c>
      <c r="L10" s="70"/>
      <c r="M10" s="70"/>
      <c r="N10" s="303" t="s">
        <v>25</v>
      </c>
      <c r="O10" s="303" t="s">
        <v>25</v>
      </c>
      <c r="P10" s="303" t="s">
        <v>25</v>
      </c>
      <c r="Q10" s="303" t="s">
        <v>25</v>
      </c>
      <c r="R10" s="303" t="s">
        <v>25</v>
      </c>
      <c r="S10" s="70"/>
      <c r="T10" s="70"/>
      <c r="U10" s="303" t="s">
        <v>25</v>
      </c>
      <c r="V10" s="303" t="s">
        <v>25</v>
      </c>
      <c r="W10" s="303" t="s">
        <v>25</v>
      </c>
      <c r="X10" s="303" t="s">
        <v>25</v>
      </c>
      <c r="Y10" s="303" t="s">
        <v>296</v>
      </c>
      <c r="Z10" s="70"/>
      <c r="AA10" s="70"/>
      <c r="AB10" s="188" t="s">
        <v>23</v>
      </c>
      <c r="AC10" s="188" t="s">
        <v>23</v>
      </c>
      <c r="AD10" s="188" t="s">
        <v>23</v>
      </c>
      <c r="AE10" s="188" t="s">
        <v>23</v>
      </c>
      <c r="AF10" s="70"/>
      <c r="AG10" s="70"/>
      <c r="AH10" s="70"/>
      <c r="AI10" s="61"/>
      <c r="AJ10" s="61"/>
      <c r="AK10" s="61"/>
      <c r="AL10" s="61"/>
      <c r="AM10" s="70"/>
      <c r="AN10" s="70"/>
      <c r="AO10" s="72"/>
    </row>
    <row r="11" spans="1:41" ht="18.75" customHeight="1">
      <c r="A11" s="417"/>
      <c r="B11" s="64" t="s">
        <v>94</v>
      </c>
      <c r="C11" s="65" t="s">
        <v>95</v>
      </c>
      <c r="D11" s="191" t="s">
        <v>96</v>
      </c>
      <c r="E11" s="192" t="s">
        <v>97</v>
      </c>
      <c r="F11" s="235">
        <v>1</v>
      </c>
      <c r="G11" s="76"/>
      <c r="H11" s="58"/>
      <c r="I11" s="58"/>
      <c r="J11" s="58"/>
      <c r="K11" s="58"/>
      <c r="L11" s="59"/>
      <c r="M11" s="59"/>
      <c r="N11" s="58"/>
      <c r="O11" s="58"/>
      <c r="P11" s="58"/>
      <c r="Q11" s="58"/>
      <c r="R11" s="58"/>
      <c r="S11" s="59"/>
      <c r="T11" s="59"/>
      <c r="U11" s="58"/>
      <c r="V11" s="58"/>
      <c r="W11" s="58"/>
      <c r="X11" s="58"/>
      <c r="Y11" s="58"/>
      <c r="Z11" s="59"/>
      <c r="AA11" s="59"/>
      <c r="AB11" s="61"/>
      <c r="AC11" s="61"/>
      <c r="AD11" s="61"/>
      <c r="AE11" s="61"/>
      <c r="AF11" s="70"/>
      <c r="AG11" s="59"/>
      <c r="AH11" s="59"/>
      <c r="AI11" s="303" t="s">
        <v>25</v>
      </c>
      <c r="AJ11" s="303" t="s">
        <v>25</v>
      </c>
      <c r="AK11" s="303" t="s">
        <v>25</v>
      </c>
      <c r="AL11" s="303" t="s">
        <v>25</v>
      </c>
      <c r="AM11" s="70"/>
      <c r="AN11" s="59"/>
      <c r="AO11" s="63"/>
    </row>
    <row r="12" spans="1:41" ht="18.75" customHeight="1">
      <c r="A12" s="417"/>
      <c r="B12" s="64" t="s">
        <v>98</v>
      </c>
      <c r="C12" s="65" t="s">
        <v>99</v>
      </c>
      <c r="D12" s="193" t="s">
        <v>100</v>
      </c>
      <c r="E12" s="194" t="s">
        <v>101</v>
      </c>
      <c r="F12" s="235">
        <v>1</v>
      </c>
      <c r="G12" s="69"/>
      <c r="H12" s="61"/>
      <c r="I12" s="61"/>
      <c r="J12" s="61"/>
      <c r="K12" s="61"/>
      <c r="L12" s="70"/>
      <c r="M12" s="70"/>
      <c r="N12" s="61"/>
      <c r="O12" s="61"/>
      <c r="P12" s="61"/>
      <c r="Q12" s="58"/>
      <c r="R12" s="58"/>
      <c r="S12" s="59"/>
      <c r="T12" s="59"/>
      <c r="U12" s="61"/>
      <c r="V12" s="61"/>
      <c r="W12" s="58"/>
      <c r="X12" s="58"/>
      <c r="Y12" s="61"/>
      <c r="Z12" s="59"/>
      <c r="AA12" s="70"/>
      <c r="AB12" s="303" t="s">
        <v>25</v>
      </c>
      <c r="AC12" s="303" t="s">
        <v>25</v>
      </c>
      <c r="AD12" s="303" t="s">
        <v>25</v>
      </c>
      <c r="AE12" s="303" t="s">
        <v>25</v>
      </c>
      <c r="AF12" s="70"/>
      <c r="AG12" s="59"/>
      <c r="AH12" s="70"/>
      <c r="AI12" s="61"/>
      <c r="AJ12" s="58"/>
      <c r="AK12" s="61"/>
      <c r="AL12" s="61"/>
      <c r="AM12" s="70"/>
      <c r="AN12" s="59"/>
      <c r="AO12" s="72"/>
    </row>
    <row r="13" spans="1:41" ht="18.75" customHeight="1">
      <c r="A13" s="417"/>
      <c r="B13" s="64" t="s">
        <v>102</v>
      </c>
      <c r="C13" s="65" t="s">
        <v>103</v>
      </c>
      <c r="D13" s="193" t="s">
        <v>104</v>
      </c>
      <c r="E13" s="194" t="s">
        <v>105</v>
      </c>
      <c r="F13" s="235">
        <v>0.8</v>
      </c>
      <c r="G13" s="69"/>
      <c r="H13" s="61"/>
      <c r="I13" s="61"/>
      <c r="J13" s="61"/>
      <c r="K13" s="61"/>
      <c r="L13" s="59"/>
      <c r="M13" s="70"/>
      <c r="N13" s="61"/>
      <c r="O13" s="61"/>
      <c r="P13" s="58"/>
      <c r="Q13" s="61"/>
      <c r="R13" s="58"/>
      <c r="S13" s="59"/>
      <c r="T13" s="59"/>
      <c r="U13" s="61" t="s">
        <v>23</v>
      </c>
      <c r="V13" s="61" t="s">
        <v>23</v>
      </c>
      <c r="W13" s="61" t="s">
        <v>23</v>
      </c>
      <c r="X13" s="61" t="s">
        <v>23</v>
      </c>
      <c r="Y13" s="61" t="s">
        <v>23</v>
      </c>
      <c r="Z13" s="59"/>
      <c r="AA13" s="70"/>
      <c r="AB13" s="61"/>
      <c r="AC13" s="61"/>
      <c r="AD13" s="61"/>
      <c r="AE13" s="61"/>
      <c r="AF13" s="70"/>
      <c r="AG13" s="59"/>
      <c r="AH13" s="70"/>
      <c r="AI13" s="61"/>
      <c r="AJ13" s="61"/>
      <c r="AK13" s="61"/>
      <c r="AL13" s="61"/>
      <c r="AM13" s="70"/>
      <c r="AN13" s="59"/>
      <c r="AO13" s="72"/>
    </row>
    <row r="14" spans="1:41" ht="18.75" customHeight="1">
      <c r="A14" s="417"/>
      <c r="B14" s="64" t="s">
        <v>107</v>
      </c>
      <c r="C14" s="65" t="s">
        <v>108</v>
      </c>
      <c r="D14" s="193" t="s">
        <v>109</v>
      </c>
      <c r="E14" s="194" t="s">
        <v>110</v>
      </c>
      <c r="F14" s="235">
        <v>1</v>
      </c>
      <c r="G14" s="69"/>
      <c r="H14" s="61"/>
      <c r="I14" s="58"/>
      <c r="J14" s="61"/>
      <c r="K14" s="61"/>
      <c r="L14" s="70"/>
      <c r="M14" s="70"/>
      <c r="N14" s="61"/>
      <c r="O14" s="61"/>
      <c r="P14" s="61"/>
      <c r="Q14" s="58"/>
      <c r="R14" s="58"/>
      <c r="S14" s="59"/>
      <c r="T14" s="59"/>
      <c r="U14" s="61"/>
      <c r="V14" s="61"/>
      <c r="W14" s="61"/>
      <c r="X14" s="58"/>
      <c r="Y14" s="61"/>
      <c r="Z14" s="59"/>
      <c r="AA14" s="70"/>
      <c r="AB14" s="61"/>
      <c r="AC14" s="61"/>
      <c r="AD14" s="58"/>
      <c r="AE14" s="61"/>
      <c r="AF14" s="70"/>
      <c r="AG14" s="59"/>
      <c r="AH14" s="70"/>
      <c r="AI14" s="303" t="s">
        <v>25</v>
      </c>
      <c r="AJ14" s="303" t="s">
        <v>25</v>
      </c>
      <c r="AK14" s="303" t="s">
        <v>25</v>
      </c>
      <c r="AL14" s="303" t="s">
        <v>25</v>
      </c>
      <c r="AM14" s="70"/>
      <c r="AN14" s="59"/>
      <c r="AO14" s="72"/>
    </row>
    <row r="15" spans="1:41" ht="18.75" customHeight="1">
      <c r="A15" s="417"/>
      <c r="B15" s="64" t="s">
        <v>111</v>
      </c>
      <c r="C15" s="65" t="s">
        <v>112</v>
      </c>
      <c r="D15" s="193" t="s">
        <v>113</v>
      </c>
      <c r="E15" s="194" t="s">
        <v>114</v>
      </c>
      <c r="F15" s="235">
        <v>1</v>
      </c>
      <c r="G15" s="69"/>
      <c r="H15" s="61"/>
      <c r="I15" s="61"/>
      <c r="J15" s="61"/>
      <c r="K15" s="61"/>
      <c r="L15" s="59"/>
      <c r="M15" s="70"/>
      <c r="N15" s="61"/>
      <c r="O15" s="61"/>
      <c r="P15" s="61"/>
      <c r="Q15" s="58"/>
      <c r="R15" s="58"/>
      <c r="S15" s="59"/>
      <c r="T15" s="59"/>
      <c r="U15" s="61"/>
      <c r="V15" s="61"/>
      <c r="W15" s="61"/>
      <c r="X15" s="61"/>
      <c r="Y15" s="61"/>
      <c r="Z15" s="59"/>
      <c r="AA15" s="70"/>
      <c r="AB15" s="61"/>
      <c r="AC15" s="61"/>
      <c r="AD15" s="61"/>
      <c r="AE15" s="61"/>
      <c r="AF15" s="59"/>
      <c r="AG15" s="59"/>
      <c r="AH15" s="70"/>
      <c r="AI15" s="61"/>
      <c r="AJ15" s="61"/>
      <c r="AK15" s="61"/>
      <c r="AL15" s="61"/>
      <c r="AM15" s="59"/>
      <c r="AN15" s="59"/>
      <c r="AO15" s="72"/>
    </row>
    <row r="16" spans="1:41" ht="18.75" customHeight="1">
      <c r="A16" s="417"/>
      <c r="B16" s="64" t="s">
        <v>116</v>
      </c>
      <c r="C16" s="65" t="s">
        <v>117</v>
      </c>
      <c r="D16" s="193" t="s">
        <v>118</v>
      </c>
      <c r="E16" s="194" t="s">
        <v>119</v>
      </c>
      <c r="F16" s="235">
        <v>1</v>
      </c>
      <c r="G16" s="69"/>
      <c r="H16" s="61"/>
      <c r="I16" s="61"/>
      <c r="J16" s="58"/>
      <c r="K16" s="61"/>
      <c r="L16" s="70"/>
      <c r="M16" s="70"/>
      <c r="N16" s="303" t="s">
        <v>25</v>
      </c>
      <c r="O16" s="303" t="s">
        <v>25</v>
      </c>
      <c r="P16" s="303" t="s">
        <v>25</v>
      </c>
      <c r="Q16" s="303" t="s">
        <v>25</v>
      </c>
      <c r="R16" s="303" t="s">
        <v>25</v>
      </c>
      <c r="S16" s="59"/>
      <c r="T16" s="59"/>
      <c r="U16" s="303" t="s">
        <v>25</v>
      </c>
      <c r="V16" s="303" t="s">
        <v>25</v>
      </c>
      <c r="W16" s="303" t="s">
        <v>25</v>
      </c>
      <c r="X16" s="303" t="s">
        <v>25</v>
      </c>
      <c r="Y16" s="303" t="s">
        <v>25</v>
      </c>
      <c r="Z16" s="59"/>
      <c r="AA16" s="70"/>
      <c r="AB16" s="61"/>
      <c r="AC16" s="61"/>
      <c r="AD16" s="61"/>
      <c r="AE16" s="58"/>
      <c r="AF16" s="70"/>
      <c r="AG16" s="59"/>
      <c r="AH16" s="70"/>
      <c r="AI16" s="61"/>
      <c r="AJ16" s="61"/>
      <c r="AK16" s="61"/>
      <c r="AL16" s="58"/>
      <c r="AM16" s="70"/>
      <c r="AN16" s="59"/>
      <c r="AO16" s="72"/>
    </row>
    <row r="17" spans="1:41" ht="18.75" customHeight="1">
      <c r="A17" s="417"/>
      <c r="B17" s="64" t="s">
        <v>120</v>
      </c>
      <c r="C17" s="65" t="s">
        <v>121</v>
      </c>
      <c r="D17" s="193" t="s">
        <v>122</v>
      </c>
      <c r="E17" s="194" t="s">
        <v>123</v>
      </c>
      <c r="F17" s="235">
        <v>1</v>
      </c>
      <c r="G17" s="69"/>
      <c r="H17" s="61"/>
      <c r="I17" s="61"/>
      <c r="J17" s="61"/>
      <c r="K17" s="61"/>
      <c r="L17" s="59"/>
      <c r="M17" s="70"/>
      <c r="N17" s="61"/>
      <c r="O17" s="61"/>
      <c r="P17" s="61"/>
      <c r="Q17" s="58"/>
      <c r="R17" s="58"/>
      <c r="S17" s="59"/>
      <c r="T17" s="59"/>
      <c r="U17" s="61"/>
      <c r="V17" s="61"/>
      <c r="W17" s="61"/>
      <c r="X17" s="58"/>
      <c r="Y17" s="61"/>
      <c r="Z17" s="59"/>
      <c r="AA17" s="70"/>
      <c r="AB17" s="58"/>
      <c r="AC17" s="61"/>
      <c r="AD17" s="61"/>
      <c r="AE17" s="61"/>
      <c r="AF17" s="70"/>
      <c r="AG17" s="59"/>
      <c r="AH17" s="70"/>
      <c r="AI17" s="58"/>
      <c r="AJ17" s="61"/>
      <c r="AK17" s="61"/>
      <c r="AL17" s="61"/>
      <c r="AM17" s="70"/>
      <c r="AN17" s="59"/>
      <c r="AO17" s="72"/>
    </row>
    <row r="18" spans="1:41" ht="18.75" customHeight="1">
      <c r="A18" s="417"/>
      <c r="B18" s="64" t="s">
        <v>124</v>
      </c>
      <c r="C18" s="65" t="s">
        <v>125</v>
      </c>
      <c r="D18" s="193" t="s">
        <v>126</v>
      </c>
      <c r="E18" s="194" t="s">
        <v>127</v>
      </c>
      <c r="F18" s="235">
        <v>1</v>
      </c>
      <c r="G18" s="69"/>
      <c r="H18" s="61"/>
      <c r="I18" s="61"/>
      <c r="J18" s="61"/>
      <c r="K18" s="58"/>
      <c r="L18" s="70"/>
      <c r="M18" s="70"/>
      <c r="N18" s="61"/>
      <c r="O18" s="61"/>
      <c r="P18" s="61"/>
      <c r="Q18" s="58"/>
      <c r="R18" s="58"/>
      <c r="S18" s="59"/>
      <c r="T18" s="59"/>
      <c r="U18" s="58"/>
      <c r="V18" s="61" t="s">
        <v>115</v>
      </c>
      <c r="W18" s="61"/>
      <c r="X18" s="61"/>
      <c r="Y18" s="61"/>
      <c r="Z18" s="59"/>
      <c r="AA18" s="70"/>
      <c r="AB18" s="61"/>
      <c r="AC18" s="61"/>
      <c r="AD18" s="61"/>
      <c r="AE18" s="61"/>
      <c r="AF18" s="59"/>
      <c r="AG18" s="59"/>
      <c r="AH18" s="70"/>
      <c r="AI18" s="61"/>
      <c r="AJ18" s="61"/>
      <c r="AK18" s="61"/>
      <c r="AL18" s="61"/>
      <c r="AM18" s="59"/>
      <c r="AN18" s="59"/>
      <c r="AO18" s="72"/>
    </row>
    <row r="19" spans="1:41" ht="18.75" customHeight="1">
      <c r="A19" s="417"/>
      <c r="B19" s="64" t="s">
        <v>129</v>
      </c>
      <c r="C19" s="65" t="s">
        <v>130</v>
      </c>
      <c r="D19" s="196" t="s">
        <v>131</v>
      </c>
      <c r="E19" s="197" t="s">
        <v>132</v>
      </c>
      <c r="F19" s="235">
        <v>1</v>
      </c>
      <c r="G19" s="91"/>
      <c r="H19" s="88"/>
      <c r="I19" s="88"/>
      <c r="J19" s="88"/>
      <c r="K19" s="58"/>
      <c r="L19" s="87"/>
      <c r="M19" s="87"/>
      <c r="N19" s="188" t="s">
        <v>23</v>
      </c>
      <c r="O19" s="188" t="s">
        <v>23</v>
      </c>
      <c r="P19" s="188" t="s">
        <v>23</v>
      </c>
      <c r="Q19" s="188" t="s">
        <v>23</v>
      </c>
      <c r="R19" s="188" t="s">
        <v>23</v>
      </c>
      <c r="S19" s="59"/>
      <c r="T19" s="59"/>
      <c r="U19" s="58"/>
      <c r="V19" s="61"/>
      <c r="W19" s="61"/>
      <c r="X19" s="61"/>
      <c r="Y19" s="61"/>
      <c r="Z19" s="59"/>
      <c r="AA19" s="70"/>
      <c r="AB19" s="385" t="s">
        <v>296</v>
      </c>
      <c r="AC19" s="303" t="s">
        <v>25</v>
      </c>
      <c r="AD19" s="303" t="s">
        <v>25</v>
      </c>
      <c r="AE19" s="303" t="s">
        <v>25</v>
      </c>
      <c r="AF19" s="59"/>
      <c r="AG19" s="59"/>
      <c r="AH19" s="87"/>
      <c r="AI19" s="61"/>
      <c r="AJ19" s="61"/>
      <c r="AK19" s="61"/>
      <c r="AL19" s="61"/>
      <c r="AM19" s="59"/>
      <c r="AN19" s="59"/>
      <c r="AO19" s="90"/>
    </row>
    <row r="20" spans="1:41" ht="18.75" customHeight="1">
      <c r="A20" s="417"/>
      <c r="B20" s="64" t="s">
        <v>133</v>
      </c>
      <c r="C20" s="65" t="s">
        <v>134</v>
      </c>
      <c r="D20" s="196" t="s">
        <v>135</v>
      </c>
      <c r="E20" s="197" t="s">
        <v>136</v>
      </c>
      <c r="F20" s="235">
        <v>1</v>
      </c>
      <c r="G20" s="91"/>
      <c r="H20" s="88"/>
      <c r="I20" s="88"/>
      <c r="J20" s="88"/>
      <c r="K20" s="58"/>
      <c r="L20" s="87"/>
      <c r="M20" s="87"/>
      <c r="N20" s="88"/>
      <c r="O20" s="88"/>
      <c r="P20" s="88"/>
      <c r="Q20" s="58"/>
      <c r="R20" s="58"/>
      <c r="S20" s="59"/>
      <c r="T20" s="59"/>
      <c r="U20" s="58"/>
      <c r="V20" s="61"/>
      <c r="W20" s="61"/>
      <c r="X20" s="61"/>
      <c r="Y20" s="61"/>
      <c r="Z20" s="59"/>
      <c r="AA20" s="70"/>
      <c r="AB20" s="61"/>
      <c r="AC20" s="61"/>
      <c r="AD20" s="61"/>
      <c r="AE20" s="61"/>
      <c r="AF20" s="59"/>
      <c r="AG20" s="59"/>
      <c r="AH20" s="87"/>
      <c r="AI20" s="61"/>
      <c r="AJ20" s="61"/>
      <c r="AK20" s="61"/>
      <c r="AL20" s="61"/>
      <c r="AM20" s="59"/>
      <c r="AN20" s="59"/>
      <c r="AO20" s="90"/>
    </row>
    <row r="21" spans="1:41" ht="18.75" customHeight="1">
      <c r="A21" s="417"/>
      <c r="B21" s="64" t="s">
        <v>137</v>
      </c>
      <c r="C21" s="65" t="s">
        <v>138</v>
      </c>
      <c r="D21" s="196" t="s">
        <v>139</v>
      </c>
      <c r="E21" s="197" t="s">
        <v>140</v>
      </c>
      <c r="F21" s="235">
        <v>1</v>
      </c>
      <c r="G21" s="91"/>
      <c r="H21" s="88"/>
      <c r="I21" s="88"/>
      <c r="J21" s="88"/>
      <c r="K21" s="58"/>
      <c r="L21" s="87"/>
      <c r="M21" s="87"/>
      <c r="N21" s="88"/>
      <c r="O21" s="88"/>
      <c r="P21" s="88"/>
      <c r="Q21" s="58"/>
      <c r="R21" s="58"/>
      <c r="S21" s="59"/>
      <c r="T21" s="59"/>
      <c r="U21" s="58"/>
      <c r="V21" s="61"/>
      <c r="W21" s="61"/>
      <c r="X21" s="61"/>
      <c r="Y21" s="61"/>
      <c r="Z21" s="59"/>
      <c r="AA21" s="70"/>
      <c r="AB21" s="61"/>
      <c r="AC21" s="61"/>
      <c r="AD21" s="61"/>
      <c r="AE21" s="61"/>
      <c r="AF21" s="59"/>
      <c r="AG21" s="59"/>
      <c r="AH21" s="87"/>
      <c r="AI21" s="61"/>
      <c r="AJ21" s="61"/>
      <c r="AK21" s="61"/>
      <c r="AL21" s="61"/>
      <c r="AM21" s="59"/>
      <c r="AN21" s="59"/>
      <c r="AO21" s="90"/>
    </row>
    <row r="22" spans="1:41" ht="18.75" customHeight="1">
      <c r="A22" s="417"/>
      <c r="B22" s="64" t="s">
        <v>141</v>
      </c>
      <c r="C22" s="65" t="s">
        <v>142</v>
      </c>
      <c r="D22" s="196" t="s">
        <v>143</v>
      </c>
      <c r="E22" s="197" t="s">
        <v>144</v>
      </c>
      <c r="F22" s="235">
        <v>1</v>
      </c>
      <c r="G22" s="91"/>
      <c r="H22" s="88"/>
      <c r="I22" s="88"/>
      <c r="J22" s="88"/>
      <c r="K22" s="92"/>
      <c r="L22" s="87"/>
      <c r="M22" s="87"/>
      <c r="N22" s="88"/>
      <c r="O22" s="88"/>
      <c r="P22" s="88"/>
      <c r="Q22" s="92"/>
      <c r="R22" s="92"/>
      <c r="S22" s="94"/>
      <c r="T22" s="94"/>
      <c r="U22" s="92"/>
      <c r="V22" s="88"/>
      <c r="W22" s="88"/>
      <c r="X22" s="88"/>
      <c r="Y22" s="88"/>
      <c r="Z22" s="94"/>
      <c r="AA22" s="87"/>
      <c r="AB22" s="88"/>
      <c r="AC22" s="88"/>
      <c r="AD22" s="88"/>
      <c r="AE22" s="88"/>
      <c r="AF22" s="94"/>
      <c r="AG22" s="94"/>
      <c r="AH22" s="87"/>
      <c r="AI22" s="88"/>
      <c r="AJ22" s="88"/>
      <c r="AK22" s="88"/>
      <c r="AL22" s="88"/>
      <c r="AM22" s="94"/>
      <c r="AN22" s="94"/>
      <c r="AO22" s="90"/>
    </row>
    <row r="23" spans="1:41" ht="18.75" customHeight="1">
      <c r="A23" s="417"/>
      <c r="B23" s="64" t="s">
        <v>146</v>
      </c>
      <c r="C23" s="65"/>
      <c r="D23" s="95" t="s">
        <v>147</v>
      </c>
      <c r="E23" s="85" t="s">
        <v>148</v>
      </c>
      <c r="F23" s="235">
        <v>1</v>
      </c>
      <c r="G23" s="242"/>
      <c r="H23" s="99"/>
      <c r="I23" s="99"/>
      <c r="J23" s="99"/>
      <c r="K23" s="99"/>
      <c r="L23" s="98"/>
      <c r="M23" s="98"/>
      <c r="N23" s="99">
        <v>8011</v>
      </c>
      <c r="O23" s="99">
        <v>8011</v>
      </c>
      <c r="P23" s="99">
        <v>8011</v>
      </c>
      <c r="Q23" s="99">
        <v>8011</v>
      </c>
      <c r="R23" s="99">
        <v>8011</v>
      </c>
      <c r="S23" s="98"/>
      <c r="T23" s="98"/>
      <c r="U23" s="99" t="s">
        <v>261</v>
      </c>
      <c r="V23" s="99" t="s">
        <v>261</v>
      </c>
      <c r="W23" s="99" t="s">
        <v>261</v>
      </c>
      <c r="X23" s="99" t="s">
        <v>261</v>
      </c>
      <c r="Y23" s="99" t="s">
        <v>261</v>
      </c>
      <c r="Z23" s="98"/>
      <c r="AA23" s="98"/>
      <c r="AB23" s="99" t="s">
        <v>169</v>
      </c>
      <c r="AC23" s="99" t="s">
        <v>169</v>
      </c>
      <c r="AD23" s="99" t="s">
        <v>169</v>
      </c>
      <c r="AE23" s="99" t="s">
        <v>169</v>
      </c>
      <c r="AF23" s="98"/>
      <c r="AG23" s="98"/>
      <c r="AH23" s="98"/>
      <c r="AI23" s="99" t="s">
        <v>155</v>
      </c>
      <c r="AJ23" s="99" t="s">
        <v>155</v>
      </c>
      <c r="AK23" s="99" t="s">
        <v>155</v>
      </c>
      <c r="AL23" s="99" t="s">
        <v>155</v>
      </c>
      <c r="AM23" s="98"/>
      <c r="AN23" s="98"/>
      <c r="AO23" s="100"/>
    </row>
    <row r="24" spans="1:41" ht="18.75" customHeight="1">
      <c r="A24" s="417"/>
      <c r="B24" s="101" t="s">
        <v>150</v>
      </c>
      <c r="C24" s="65"/>
      <c r="D24" s="84" t="s">
        <v>151</v>
      </c>
      <c r="E24" s="85" t="s">
        <v>152</v>
      </c>
      <c r="F24" s="247">
        <v>1</v>
      </c>
      <c r="G24" s="139" t="s">
        <v>154</v>
      </c>
      <c r="H24" s="140" t="s">
        <v>154</v>
      </c>
      <c r="I24" s="140" t="s">
        <v>154</v>
      </c>
      <c r="J24" s="140" t="s">
        <v>154</v>
      </c>
      <c r="K24" s="140" t="s">
        <v>154</v>
      </c>
      <c r="L24" s="141"/>
      <c r="M24" s="141"/>
      <c r="N24" s="140" t="s">
        <v>169</v>
      </c>
      <c r="O24" s="140" t="s">
        <v>169</v>
      </c>
      <c r="P24" s="140" t="s">
        <v>169</v>
      </c>
      <c r="Q24" s="140" t="s">
        <v>169</v>
      </c>
      <c r="R24" s="140" t="s">
        <v>169</v>
      </c>
      <c r="S24" s="141"/>
      <c r="T24" s="141"/>
      <c r="U24" s="140" t="s">
        <v>149</v>
      </c>
      <c r="V24" s="140" t="s">
        <v>149</v>
      </c>
      <c r="W24" s="140" t="s">
        <v>149</v>
      </c>
      <c r="X24" s="140" t="s">
        <v>149</v>
      </c>
      <c r="Y24" s="140" t="s">
        <v>149</v>
      </c>
      <c r="Z24" s="141"/>
      <c r="AA24" s="141"/>
      <c r="AB24" s="140" t="s">
        <v>167</v>
      </c>
      <c r="AC24" s="140" t="s">
        <v>167</v>
      </c>
      <c r="AD24" s="140" t="s">
        <v>167</v>
      </c>
      <c r="AE24" s="140" t="s">
        <v>167</v>
      </c>
      <c r="AF24" s="141"/>
      <c r="AG24" s="141"/>
      <c r="AH24" s="141"/>
      <c r="AI24" s="386" t="s">
        <v>25</v>
      </c>
      <c r="AJ24" s="386" t="s">
        <v>25</v>
      </c>
      <c r="AK24" s="386" t="s">
        <v>25</v>
      </c>
      <c r="AL24" s="386" t="s">
        <v>25</v>
      </c>
      <c r="AM24" s="141"/>
      <c r="AN24" s="141"/>
      <c r="AO24" s="142"/>
    </row>
    <row r="25" spans="1:41" ht="18.75" customHeight="1">
      <c r="A25" s="430" t="s">
        <v>156</v>
      </c>
      <c r="B25" s="108" t="s">
        <v>157</v>
      </c>
      <c r="C25" s="109" t="s">
        <v>158</v>
      </c>
      <c r="D25" s="110" t="s">
        <v>159</v>
      </c>
      <c r="E25" s="111" t="s">
        <v>160</v>
      </c>
      <c r="F25" s="367">
        <v>1</v>
      </c>
      <c r="G25" s="57" t="s">
        <v>157</v>
      </c>
      <c r="H25" s="58" t="s">
        <v>157</v>
      </c>
      <c r="I25" s="58" t="s">
        <v>157</v>
      </c>
      <c r="J25" s="58" t="s">
        <v>157</v>
      </c>
      <c r="K25" s="58" t="s">
        <v>157</v>
      </c>
      <c r="L25" s="115"/>
      <c r="M25" s="59"/>
      <c r="N25" s="58" t="s">
        <v>157</v>
      </c>
      <c r="O25" s="58" t="s">
        <v>157</v>
      </c>
      <c r="P25" s="58" t="s">
        <v>157</v>
      </c>
      <c r="Q25" s="58" t="s">
        <v>157</v>
      </c>
      <c r="R25" s="58" t="s">
        <v>157</v>
      </c>
      <c r="S25" s="59"/>
      <c r="T25" s="59"/>
      <c r="U25" s="58" t="s">
        <v>157</v>
      </c>
      <c r="V25" s="58" t="s">
        <v>157</v>
      </c>
      <c r="W25" s="58" t="s">
        <v>157</v>
      </c>
      <c r="X25" s="58" t="s">
        <v>157</v>
      </c>
      <c r="Y25" s="58" t="s">
        <v>157</v>
      </c>
      <c r="Z25" s="115"/>
      <c r="AA25" s="59"/>
      <c r="AB25" s="58" t="s">
        <v>157</v>
      </c>
      <c r="AC25" s="58" t="s">
        <v>157</v>
      </c>
      <c r="AD25" s="58" t="s">
        <v>157</v>
      </c>
      <c r="AE25" s="58" t="s">
        <v>157</v>
      </c>
      <c r="AF25" s="59"/>
      <c r="AG25" s="60" t="s">
        <v>360</v>
      </c>
      <c r="AH25" s="59"/>
      <c r="AI25" s="58" t="s">
        <v>157</v>
      </c>
      <c r="AJ25" s="58" t="s">
        <v>157</v>
      </c>
      <c r="AK25" s="58" t="s">
        <v>157</v>
      </c>
      <c r="AL25" s="58" t="s">
        <v>157</v>
      </c>
      <c r="AM25" s="60" t="s">
        <v>360</v>
      </c>
      <c r="AN25" s="59"/>
      <c r="AO25" s="63"/>
    </row>
    <row r="26" spans="1:41" ht="18.75" customHeight="1">
      <c r="A26" s="430"/>
      <c r="B26" s="118" t="s">
        <v>161</v>
      </c>
      <c r="C26" s="119" t="s">
        <v>158</v>
      </c>
      <c r="D26" s="120" t="s">
        <v>162</v>
      </c>
      <c r="E26" s="121" t="s">
        <v>163</v>
      </c>
      <c r="F26" s="235">
        <v>1</v>
      </c>
      <c r="G26" s="91" t="s">
        <v>161</v>
      </c>
      <c r="H26" s="88" t="s">
        <v>161</v>
      </c>
      <c r="I26" s="88" t="s">
        <v>161</v>
      </c>
      <c r="J26" s="88" t="s">
        <v>161</v>
      </c>
      <c r="K26" s="88" t="s">
        <v>161</v>
      </c>
      <c r="L26" s="70"/>
      <c r="M26" s="94"/>
      <c r="N26" s="88" t="s">
        <v>161</v>
      </c>
      <c r="O26" s="88" t="s">
        <v>161</v>
      </c>
      <c r="P26" s="88" t="s">
        <v>161</v>
      </c>
      <c r="Q26" s="88" t="s">
        <v>161</v>
      </c>
      <c r="R26" s="88" t="s">
        <v>161</v>
      </c>
      <c r="S26" s="70"/>
      <c r="T26" s="94"/>
      <c r="U26" s="88" t="s">
        <v>161</v>
      </c>
      <c r="V26" s="88" t="s">
        <v>161</v>
      </c>
      <c r="W26" s="88" t="s">
        <v>161</v>
      </c>
      <c r="X26" s="88" t="s">
        <v>161</v>
      </c>
      <c r="Y26" s="88" t="s">
        <v>161</v>
      </c>
      <c r="Z26" s="70"/>
      <c r="AA26" s="94"/>
      <c r="AB26" s="88" t="s">
        <v>161</v>
      </c>
      <c r="AC26" s="88" t="s">
        <v>161</v>
      </c>
      <c r="AD26" s="88" t="s">
        <v>161</v>
      </c>
      <c r="AE26" s="88" t="s">
        <v>161</v>
      </c>
      <c r="AF26" s="94"/>
      <c r="AG26" s="62" t="s">
        <v>360</v>
      </c>
      <c r="AH26" s="94"/>
      <c r="AI26" s="88" t="s">
        <v>161</v>
      </c>
      <c r="AJ26" s="88" t="s">
        <v>161</v>
      </c>
      <c r="AK26" s="88" t="s">
        <v>161</v>
      </c>
      <c r="AL26" s="88" t="s">
        <v>161</v>
      </c>
      <c r="AM26" s="62" t="s">
        <v>360</v>
      </c>
      <c r="AN26" s="70"/>
      <c r="AO26" s="124"/>
    </row>
    <row r="27" spans="1:41" ht="18.75" customHeight="1">
      <c r="A27" s="430"/>
      <c r="B27" s="118" t="s">
        <v>164</v>
      </c>
      <c r="C27" s="119" t="s">
        <v>158</v>
      </c>
      <c r="D27" s="119" t="s">
        <v>165</v>
      </c>
      <c r="E27" s="125" t="s">
        <v>105</v>
      </c>
      <c r="F27" s="235">
        <v>1</v>
      </c>
      <c r="G27" s="91" t="s">
        <v>361</v>
      </c>
      <c r="H27" s="88" t="s">
        <v>271</v>
      </c>
      <c r="I27" s="88" t="s">
        <v>271</v>
      </c>
      <c r="J27" s="88" t="s">
        <v>271</v>
      </c>
      <c r="K27" s="88" t="s">
        <v>271</v>
      </c>
      <c r="L27" s="70"/>
      <c r="M27" s="87"/>
      <c r="N27" s="88" t="s">
        <v>271</v>
      </c>
      <c r="O27" s="88" t="s">
        <v>271</v>
      </c>
      <c r="P27" s="88" t="s">
        <v>271</v>
      </c>
      <c r="Q27" s="88" t="s">
        <v>271</v>
      </c>
      <c r="R27" s="88" t="s">
        <v>271</v>
      </c>
      <c r="S27" s="70"/>
      <c r="T27" s="87"/>
      <c r="U27" s="88" t="s">
        <v>271</v>
      </c>
      <c r="V27" s="88" t="s">
        <v>271</v>
      </c>
      <c r="W27" s="88" t="s">
        <v>271</v>
      </c>
      <c r="X27" s="88" t="s">
        <v>271</v>
      </c>
      <c r="Y27" s="88" t="s">
        <v>271</v>
      </c>
      <c r="Z27" s="70"/>
      <c r="AA27" s="87"/>
      <c r="AB27" s="88" t="s">
        <v>271</v>
      </c>
      <c r="AC27" s="88" t="s">
        <v>271</v>
      </c>
      <c r="AD27" s="88" t="s">
        <v>271</v>
      </c>
      <c r="AE27" s="88" t="s">
        <v>271</v>
      </c>
      <c r="AF27" s="87"/>
      <c r="AG27" s="70"/>
      <c r="AH27" s="87"/>
      <c r="AI27" s="387" t="s">
        <v>271</v>
      </c>
      <c r="AJ27" s="387" t="s">
        <v>271</v>
      </c>
      <c r="AK27" s="387" t="s">
        <v>271</v>
      </c>
      <c r="AL27" s="387" t="s">
        <v>271</v>
      </c>
      <c r="AM27" s="211" t="s">
        <v>362</v>
      </c>
      <c r="AN27" s="70"/>
      <c r="AO27" s="90"/>
    </row>
    <row r="28" spans="1:41" ht="18.75" customHeight="1">
      <c r="A28" s="430"/>
      <c r="B28" s="127" t="s">
        <v>170</v>
      </c>
      <c r="C28" s="128" t="s">
        <v>158</v>
      </c>
      <c r="D28" s="128" t="s">
        <v>171</v>
      </c>
      <c r="E28" s="129" t="s">
        <v>172</v>
      </c>
      <c r="F28" s="369">
        <v>1</v>
      </c>
      <c r="G28" s="139" t="s">
        <v>271</v>
      </c>
      <c r="H28" s="140"/>
      <c r="I28" s="140"/>
      <c r="J28" s="140"/>
      <c r="K28" s="140"/>
      <c r="L28" s="141"/>
      <c r="M28" s="141"/>
      <c r="N28" s="140" t="s">
        <v>154</v>
      </c>
      <c r="O28" s="140" t="s">
        <v>154</v>
      </c>
      <c r="P28" s="140" t="s">
        <v>154</v>
      </c>
      <c r="Q28" s="140" t="s">
        <v>154</v>
      </c>
      <c r="R28" s="140" t="s">
        <v>154</v>
      </c>
      <c r="S28" s="141"/>
      <c r="T28" s="141"/>
      <c r="U28" s="140" t="s">
        <v>154</v>
      </c>
      <c r="V28" s="140" t="s">
        <v>154</v>
      </c>
      <c r="W28" s="140" t="s">
        <v>154</v>
      </c>
      <c r="X28" s="140" t="s">
        <v>154</v>
      </c>
      <c r="Y28" s="140" t="s">
        <v>154</v>
      </c>
      <c r="Z28" s="141"/>
      <c r="AA28" s="141"/>
      <c r="AB28" s="140" t="s">
        <v>154</v>
      </c>
      <c r="AC28" s="140" t="s">
        <v>154</v>
      </c>
      <c r="AD28" s="140" t="s">
        <v>154</v>
      </c>
      <c r="AE28" s="140" t="s">
        <v>154</v>
      </c>
      <c r="AF28" s="141"/>
      <c r="AG28" s="141"/>
      <c r="AH28" s="141"/>
      <c r="AI28" s="140" t="s">
        <v>224</v>
      </c>
      <c r="AJ28" s="140" t="s">
        <v>224</v>
      </c>
      <c r="AK28" s="140" t="s">
        <v>224</v>
      </c>
      <c r="AL28" s="140" t="s">
        <v>224</v>
      </c>
      <c r="AM28" s="141"/>
      <c r="AN28" s="141"/>
      <c r="AO28" s="142"/>
    </row>
    <row r="29" spans="1:41" ht="18.75" customHeight="1">
      <c r="A29" s="431" t="s">
        <v>174</v>
      </c>
      <c r="B29" s="431"/>
      <c r="C29" s="431"/>
      <c r="D29" s="431"/>
      <c r="E29" s="431"/>
      <c r="F29" s="367">
        <v>1</v>
      </c>
      <c r="G29" s="133"/>
      <c r="H29" s="134"/>
      <c r="I29" s="134"/>
      <c r="J29" s="135"/>
      <c r="K29" s="134"/>
      <c r="L29" s="116"/>
      <c r="M29" s="116"/>
      <c r="N29" s="134"/>
      <c r="O29" s="134"/>
      <c r="P29" s="134"/>
      <c r="Q29" s="134"/>
      <c r="R29" s="134"/>
      <c r="S29" s="116"/>
      <c r="T29" s="116"/>
      <c r="U29" s="134"/>
      <c r="V29" s="134"/>
      <c r="W29" s="134"/>
      <c r="X29" s="134"/>
      <c r="Y29" s="134"/>
      <c r="Z29" s="116"/>
      <c r="AA29" s="116"/>
      <c r="AB29" s="114"/>
      <c r="AC29" s="114"/>
      <c r="AD29" s="114"/>
      <c r="AE29" s="114"/>
      <c r="AF29" s="116"/>
      <c r="AG29" s="116"/>
      <c r="AH29" s="116"/>
      <c r="AI29" s="114"/>
      <c r="AJ29" s="114"/>
      <c r="AK29" s="114"/>
      <c r="AL29" s="114"/>
      <c r="AM29" s="116"/>
      <c r="AN29" s="116"/>
      <c r="AO29" s="117"/>
    </row>
    <row r="30" spans="1:41" ht="18.75" customHeight="1">
      <c r="A30" s="431"/>
      <c r="B30" s="431"/>
      <c r="C30" s="431"/>
      <c r="D30" s="431"/>
      <c r="E30" s="431"/>
      <c r="F30" s="235">
        <v>1</v>
      </c>
      <c r="G30" s="69"/>
      <c r="H30" s="136"/>
      <c r="I30" s="136"/>
      <c r="J30" s="136"/>
      <c r="K30" s="136"/>
      <c r="L30" s="137"/>
      <c r="M30" s="137"/>
      <c r="N30" s="136"/>
      <c r="O30" s="136"/>
      <c r="P30" s="136"/>
      <c r="Q30" s="136"/>
      <c r="R30" s="136"/>
      <c r="S30" s="137"/>
      <c r="T30" s="137"/>
      <c r="U30" s="136"/>
      <c r="V30" s="136"/>
      <c r="W30" s="136"/>
      <c r="X30" s="136"/>
      <c r="Y30" s="136"/>
      <c r="Z30" s="137"/>
      <c r="AA30" s="137"/>
      <c r="AB30" s="136"/>
      <c r="AC30" s="136"/>
      <c r="AD30" s="136"/>
      <c r="AE30" s="136"/>
      <c r="AF30" s="137"/>
      <c r="AG30" s="137"/>
      <c r="AH30" s="137"/>
      <c r="AI30" s="136"/>
      <c r="AJ30" s="136"/>
      <c r="AK30" s="136"/>
      <c r="AL30" s="136"/>
      <c r="AM30" s="137"/>
      <c r="AN30" s="137"/>
      <c r="AO30" s="138"/>
    </row>
    <row r="31" spans="1:41" ht="18.75" customHeight="1">
      <c r="A31" s="431"/>
      <c r="B31" s="431"/>
      <c r="C31" s="431"/>
      <c r="D31" s="431"/>
      <c r="E31" s="431"/>
      <c r="F31" s="247">
        <v>1</v>
      </c>
      <c r="G31" s="91"/>
      <c r="H31" s="88"/>
      <c r="I31" s="88"/>
      <c r="J31" s="88"/>
      <c r="K31" s="88"/>
      <c r="L31" s="87"/>
      <c r="M31" s="87"/>
      <c r="N31" s="88"/>
      <c r="O31" s="88"/>
      <c r="P31" s="88"/>
      <c r="Q31" s="88"/>
      <c r="R31" s="88"/>
      <c r="S31" s="87"/>
      <c r="T31" s="87"/>
      <c r="U31" s="88"/>
      <c r="V31" s="88"/>
      <c r="W31" s="88"/>
      <c r="X31" s="88"/>
      <c r="Y31" s="88"/>
      <c r="Z31" s="87"/>
      <c r="AA31" s="87"/>
      <c r="AB31" s="88"/>
      <c r="AC31" s="88"/>
      <c r="AD31" s="88"/>
      <c r="AE31" s="88"/>
      <c r="AF31" s="87"/>
      <c r="AG31" s="87"/>
      <c r="AH31" s="87"/>
      <c r="AI31" s="88"/>
      <c r="AJ31" s="88"/>
      <c r="AK31" s="88"/>
      <c r="AL31" s="88"/>
      <c r="AM31" s="87"/>
      <c r="AN31" s="87"/>
      <c r="AO31" s="90"/>
    </row>
    <row r="32" spans="1:41" ht="24" customHeight="1">
      <c r="F32" s="143"/>
      <c r="G32" s="316">
        <f>COUNTA(G29:G31)</f>
        <v>0</v>
      </c>
      <c r="H32" s="316">
        <f>COUNTA(H29:H31)</f>
        <v>0</v>
      </c>
      <c r="I32" s="316">
        <f>COUNTA(I29:I31)</f>
        <v>0</v>
      </c>
      <c r="J32" s="316">
        <f>COUNTA(J29:J31)</f>
        <v>0</v>
      </c>
      <c r="K32" s="316">
        <f>COUNTA(K29:K31)</f>
        <v>0</v>
      </c>
      <c r="L32" s="317"/>
      <c r="M32" s="317"/>
      <c r="N32" s="316">
        <f>COUNTA(N29:N31)</f>
        <v>0</v>
      </c>
      <c r="O32" s="316">
        <f>COUNTA(O29:O31)</f>
        <v>0</v>
      </c>
      <c r="P32" s="316">
        <f>COUNTA(P29:P31)</f>
        <v>0</v>
      </c>
      <c r="Q32" s="316">
        <f>COUNTA(Q29:Q31)</f>
        <v>0</v>
      </c>
      <c r="R32" s="316">
        <f>COUNTA(R29:R31)</f>
        <v>0</v>
      </c>
      <c r="S32" s="318"/>
      <c r="T32" s="318"/>
      <c r="U32" s="316">
        <f>COUNTA(U29:U31)</f>
        <v>0</v>
      </c>
      <c r="V32" s="370">
        <f>COUNTA(V29:V31)</f>
        <v>0</v>
      </c>
      <c r="W32" s="316">
        <f>COUNTA(W29:W31)</f>
        <v>0</v>
      </c>
      <c r="X32" s="316">
        <f>COUNTA(X29:X31)</f>
        <v>0</v>
      </c>
      <c r="Y32" s="316">
        <f>COUNTA(Y29:Y31)</f>
        <v>0</v>
      </c>
      <c r="Z32" s="318"/>
      <c r="AA32" s="318"/>
      <c r="AB32" s="316">
        <f>COUNTA(AB29:AB31)</f>
        <v>0</v>
      </c>
      <c r="AC32" s="316">
        <f>COUNTA(AC29:AC31)</f>
        <v>0</v>
      </c>
      <c r="AD32" s="316">
        <f>COUNTA(AD29:AD31)</f>
        <v>0</v>
      </c>
      <c r="AE32" s="316">
        <f>COUNTA(AE29:AE31)</f>
        <v>0</v>
      </c>
      <c r="AF32" s="318">
        <f>COUNTA(AF29:AF31)</f>
        <v>0</v>
      </c>
      <c r="AG32" s="318"/>
      <c r="AH32" s="318"/>
      <c r="AI32" s="316">
        <f>COUNTA(AI29:AI31)</f>
        <v>0</v>
      </c>
      <c r="AJ32" s="316">
        <f>COUNTA(AJ29:AJ31)</f>
        <v>0</v>
      </c>
      <c r="AK32" s="316">
        <f>COUNTA(AK29:AK31)</f>
        <v>0</v>
      </c>
      <c r="AL32" s="316">
        <f>COUNTA(AL29:AL31)</f>
        <v>0</v>
      </c>
      <c r="AM32" s="388">
        <f>COUNTA(AM29:AM31)</f>
        <v>0</v>
      </c>
      <c r="AN32" s="318"/>
      <c r="AO32" s="319"/>
    </row>
    <row r="33" spans="4:41" ht="24" customHeight="1">
      <c r="D33" s="86" t="s">
        <v>176</v>
      </c>
      <c r="E33" s="86">
        <f t="shared" ref="E33:E38" si="0">SUM(L33,S33,Z33,AG33,AN33)</f>
        <v>19</v>
      </c>
      <c r="F33" s="86" t="s">
        <v>23</v>
      </c>
      <c r="G33" s="148">
        <f>COUNTIF(G8:G31,"TP")</f>
        <v>1</v>
      </c>
      <c r="H33" s="148">
        <f>COUNTIF(H8:H31,"TP")</f>
        <v>1</v>
      </c>
      <c r="I33" s="148">
        <f>COUNTIF(I8:I31,"TP")</f>
        <v>1</v>
      </c>
      <c r="J33" s="148">
        <f>COUNTIF(J8:J31,"TP")</f>
        <v>1</v>
      </c>
      <c r="K33" s="148">
        <f>COUNTIF(K8:K31,"TP")</f>
        <v>1</v>
      </c>
      <c r="L33" s="149">
        <f t="shared" ref="L33:L38" si="1">SUM(G33:K33)</f>
        <v>5</v>
      </c>
      <c r="M33" s="149"/>
      <c r="N33" s="148">
        <f>COUNTIF(N8:N31,"TP")</f>
        <v>1</v>
      </c>
      <c r="O33" s="148">
        <f>COUNTIF(O8:O31,"TP")</f>
        <v>1</v>
      </c>
      <c r="P33" s="148">
        <f>COUNTIF(P8:P31,"TP")</f>
        <v>1</v>
      </c>
      <c r="Q33" s="148">
        <f>COUNTIF(Q8:Q31,"TP")</f>
        <v>1</v>
      </c>
      <c r="R33" s="148">
        <f>COUNTIF(R8:R31,"TP")</f>
        <v>1</v>
      </c>
      <c r="S33" s="150">
        <f t="shared" ref="S33:S38" si="2">SUM(N33:R33)</f>
        <v>5</v>
      </c>
      <c r="T33" s="150"/>
      <c r="U33" s="148">
        <f>COUNTIF(U8:U31,"TP")</f>
        <v>1</v>
      </c>
      <c r="V33" s="148">
        <f>COUNTIF(V8:V31,"TP")</f>
        <v>1</v>
      </c>
      <c r="W33" s="148">
        <f>COUNTIF(W8:W31,"TP")</f>
        <v>1</v>
      </c>
      <c r="X33" s="148">
        <f>COUNTIF(X8:X31,"TP")</f>
        <v>1</v>
      </c>
      <c r="Y33" s="148">
        <f>COUNTIF(Y8:Y31,"TP")</f>
        <v>1</v>
      </c>
      <c r="Z33" s="150">
        <f t="shared" ref="Z33:Z38" si="3">SUM(U33:Y33)</f>
        <v>5</v>
      </c>
      <c r="AA33" s="150"/>
      <c r="AB33" s="148">
        <f>COUNTIF(AB8:AB31,"TP")</f>
        <v>1</v>
      </c>
      <c r="AC33" s="148">
        <f>COUNTIF(AC8:AC31,"TP")</f>
        <v>1</v>
      </c>
      <c r="AD33" s="148">
        <f>COUNTIF(AD8:AD31,"TP")</f>
        <v>1</v>
      </c>
      <c r="AE33" s="148">
        <f>COUNTIF(AE8:AE31,"TP")</f>
        <v>1</v>
      </c>
      <c r="AF33" s="146">
        <f>COUNTIF(AF8:AF31,"TP")</f>
        <v>0</v>
      </c>
      <c r="AG33" s="150">
        <f t="shared" ref="AG33:AG38" si="4">SUM(AB33:AF33)</f>
        <v>4</v>
      </c>
      <c r="AH33" s="150"/>
      <c r="AI33" s="148">
        <f>COUNTIF(AI8:AI31,"TP")</f>
        <v>0</v>
      </c>
      <c r="AJ33" s="148">
        <f>COUNTIF(AJ8:AJ31,"TP")</f>
        <v>0</v>
      </c>
      <c r="AK33" s="148">
        <f>COUNTIF(AK8:AK31,"TP")</f>
        <v>0</v>
      </c>
      <c r="AL33" s="148">
        <f>COUNTIF(AL8:AL31,"TP")</f>
        <v>0</v>
      </c>
      <c r="AM33" s="150">
        <f>COUNTIF(AM8:AM31,"TP")</f>
        <v>0</v>
      </c>
      <c r="AN33" s="150">
        <f t="shared" ref="AN33:AN38" si="5">SUM(AI33:AM33)</f>
        <v>0</v>
      </c>
      <c r="AO33" s="151"/>
    </row>
    <row r="34" spans="4:41" ht="24" customHeight="1">
      <c r="D34" s="152" t="s">
        <v>176</v>
      </c>
      <c r="E34" s="152">
        <f t="shared" si="0"/>
        <v>0</v>
      </c>
      <c r="F34" s="152" t="s">
        <v>24</v>
      </c>
      <c r="G34" s="148">
        <f>COUNTIF(G8:G31,"CSE") + COUNTIF(G8:G31,"RPX")</f>
        <v>0</v>
      </c>
      <c r="H34" s="148">
        <f>COUNTIF(H8:H31,"CSE") + COUNTIF(H8:H31,"RPX")</f>
        <v>0</v>
      </c>
      <c r="I34" s="148">
        <f>COUNTIF(I8:I31,"CSE") + COUNTIF(I8:I31,"RPX")</f>
        <v>0</v>
      </c>
      <c r="J34" s="148">
        <f>COUNTIF(J8:J31,"CSE") + COUNTIF(J8:J31,"RPX")</f>
        <v>0</v>
      </c>
      <c r="K34" s="148">
        <f>COUNTIF(K8:K31,"CSE") + COUNTIF(K8:K31,"RPX")</f>
        <v>0</v>
      </c>
      <c r="L34" s="149">
        <f t="shared" si="1"/>
        <v>0</v>
      </c>
      <c r="M34" s="149"/>
      <c r="N34" s="148">
        <f>COUNTIF(N8:N31,"CSE") + COUNTIF(N8:N31,"RPX")</f>
        <v>0</v>
      </c>
      <c r="O34" s="148">
        <f>COUNTIF(O8:O31,"CSE") + COUNTIF(O8:O31,"RPX")</f>
        <v>0</v>
      </c>
      <c r="P34" s="148">
        <f>COUNTIF(P8:P31,"CSE") + COUNTIF(P8:P31,"RPX")</f>
        <v>0</v>
      </c>
      <c r="Q34" s="148">
        <f>COUNTIF(Q8:Q31,"CSE") + COUNTIF(Q8:Q31,"RPX")</f>
        <v>0</v>
      </c>
      <c r="R34" s="148">
        <f>COUNTIF(R8:R31,"CSE") + COUNTIF(R8:R31,"RPX")</f>
        <v>0</v>
      </c>
      <c r="S34" s="150">
        <f t="shared" si="2"/>
        <v>0</v>
      </c>
      <c r="T34" s="150"/>
      <c r="U34" s="148">
        <f>COUNTIF(U9:U31,"CSE") + COUNTIF(U9:U31,"RPX")</f>
        <v>0</v>
      </c>
      <c r="V34" s="148">
        <f>COUNTIF(V9:V31,"CSE") + COUNTIF(V9:V31,"RPX")</f>
        <v>0</v>
      </c>
      <c r="W34" s="148">
        <f>COUNTIF(W9:W31,"CSE") + COUNTIF(W9:W31,"RPX")</f>
        <v>0</v>
      </c>
      <c r="X34" s="148">
        <f>COUNTIF(X9:X31,"CSE") + COUNTIF(X9:X31,"RPX")</f>
        <v>0</v>
      </c>
      <c r="Y34" s="148">
        <f>COUNTIF(Y9:Y31,"CSE") + COUNTIF(Y9:Y31,"RPX")</f>
        <v>0</v>
      </c>
      <c r="Z34" s="150">
        <f t="shared" si="3"/>
        <v>0</v>
      </c>
      <c r="AA34" s="150"/>
      <c r="AB34" s="148">
        <f>COUNTIF(AB8:AB31,"CSE") + COUNTIF(AB8:AB31,"RPX")</f>
        <v>0</v>
      </c>
      <c r="AC34" s="148">
        <f>COUNTIF(AC8:AC31,"CSE") + COUNTIF(AC8:AC31,"RPX")</f>
        <v>0</v>
      </c>
      <c r="AD34" s="148">
        <f>COUNTIF(AD8:AD31,"CSE") + COUNTIF(AD8:AD31,"RPX")</f>
        <v>0</v>
      </c>
      <c r="AE34" s="148">
        <f>COUNTIF(AE8:AE31,"CSE") + COUNTIF(AE8:AE31,"RPX")</f>
        <v>0</v>
      </c>
      <c r="AF34" s="146">
        <f>COUNTIF(AF8:AF31,"CSE") + COUNTIF(AF8:AF31,"RPX")</f>
        <v>0</v>
      </c>
      <c r="AG34" s="150">
        <f t="shared" si="4"/>
        <v>0</v>
      </c>
      <c r="AH34" s="150"/>
      <c r="AI34" s="148">
        <f>COUNTIF(AI8:AI31,"CSE") + COUNTIF(AI8:AI31,"RPX")</f>
        <v>0</v>
      </c>
      <c r="AJ34" s="148">
        <f>COUNTIF(AJ8:AJ31,"CSE") + COUNTIF(AJ8:AJ31,"RPX")</f>
        <v>0</v>
      </c>
      <c r="AK34" s="148">
        <f>COUNTIF(AK8:AK31,"CSE") + COUNTIF(AK8:AK31,"RPX")</f>
        <v>0</v>
      </c>
      <c r="AL34" s="148">
        <f>COUNTIF(AL8:AL31,"CSE") + COUNTIF(AL8:AL31,"RPX")</f>
        <v>0</v>
      </c>
      <c r="AM34" s="150">
        <f>COUNTIF(AM8:AM31,"CSE") + COUNTIF(AM8:AM31,"RPX")</f>
        <v>0</v>
      </c>
      <c r="AN34" s="150">
        <f t="shared" si="5"/>
        <v>0</v>
      </c>
      <c r="AO34" s="151"/>
    </row>
    <row r="35" spans="4:41" ht="24" customHeight="1">
      <c r="D35" s="153" t="s">
        <v>176</v>
      </c>
      <c r="E35" s="153">
        <f t="shared" si="0"/>
        <v>42</v>
      </c>
      <c r="F35" s="153" t="s">
        <v>25</v>
      </c>
      <c r="G35" s="148">
        <f>COUNTIF(G8:G31,"CA/RC")</f>
        <v>0</v>
      </c>
      <c r="H35" s="148">
        <f>COUNTIF(H8:H31,"CA/RC")</f>
        <v>0</v>
      </c>
      <c r="I35" s="148">
        <f>COUNTIF(I8:I31,"CA/RC")</f>
        <v>0</v>
      </c>
      <c r="J35" s="148">
        <f>COUNTIF(J8:J31,"CA/RC")</f>
        <v>0</v>
      </c>
      <c r="K35" s="148">
        <f>COUNTIF(K8:K31,"CA/RC")</f>
        <v>0</v>
      </c>
      <c r="L35" s="149">
        <f t="shared" si="1"/>
        <v>0</v>
      </c>
      <c r="M35" s="149"/>
      <c r="N35" s="148">
        <f>COUNTIF(N8:N31,"CA/RC")</f>
        <v>2</v>
      </c>
      <c r="O35" s="148">
        <f>COUNTIF(O8:O31,"CA/RC")</f>
        <v>2</v>
      </c>
      <c r="P35" s="148">
        <f>COUNTIF(P8:P31,"CA/RC")</f>
        <v>2</v>
      </c>
      <c r="Q35" s="148">
        <f>COUNTIF(Q8:Q31,"CA/RC")</f>
        <v>2</v>
      </c>
      <c r="R35" s="148">
        <f>COUNTIF(R8:R31,"CA/RC")</f>
        <v>2</v>
      </c>
      <c r="S35" s="150">
        <f t="shared" si="2"/>
        <v>10</v>
      </c>
      <c r="T35" s="150"/>
      <c r="U35" s="148">
        <f>COUNTIF(U8:U31,"CA/RC")</f>
        <v>2</v>
      </c>
      <c r="V35" s="148">
        <f>COUNTIF(V8:V31,"CA/RC")</f>
        <v>2</v>
      </c>
      <c r="W35" s="148">
        <f>COUNTIF(W8:W31,"CA/RC")</f>
        <v>2</v>
      </c>
      <c r="X35" s="148">
        <f>COUNTIF(X8:X31,"CA/RC")</f>
        <v>2</v>
      </c>
      <c r="Y35" s="148">
        <f>COUNTIF(Y8:Y31,"CA/RC")</f>
        <v>1</v>
      </c>
      <c r="Z35" s="150">
        <f t="shared" si="3"/>
        <v>9</v>
      </c>
      <c r="AA35" s="150"/>
      <c r="AB35" s="148">
        <f>COUNTIF(AB8:AB31,"CA/RC")</f>
        <v>1</v>
      </c>
      <c r="AC35" s="148">
        <f>COUNTIF(AC8:AC31,"CA/RC")</f>
        <v>2</v>
      </c>
      <c r="AD35" s="148">
        <f>COUNTIF(AD8:AD31,"CA/RC")</f>
        <v>2</v>
      </c>
      <c r="AE35" s="148">
        <f>COUNTIF(AE8:AE31,"CA/RC")</f>
        <v>2</v>
      </c>
      <c r="AF35" s="146">
        <f>COUNTIF(AF8:AF31,"CA/RC")</f>
        <v>0</v>
      </c>
      <c r="AG35" s="150">
        <f t="shared" si="4"/>
        <v>7</v>
      </c>
      <c r="AH35" s="150"/>
      <c r="AI35" s="148">
        <f>COUNTIF(AI8:AI31,"CA/RC")</f>
        <v>4</v>
      </c>
      <c r="AJ35" s="148">
        <f>COUNTIF(AJ8:AJ31,"CA/RC")</f>
        <v>4</v>
      </c>
      <c r="AK35" s="148">
        <f>COUNTIF(AK8:AK31,"CA/RC")</f>
        <v>4</v>
      </c>
      <c r="AL35" s="148">
        <f>COUNTIF(AL8:AL31,"CA/RC")</f>
        <v>4</v>
      </c>
      <c r="AM35" s="150">
        <f>COUNTIF(AM8:AM31,"CA/RC")</f>
        <v>0</v>
      </c>
      <c r="AN35" s="150">
        <f t="shared" si="5"/>
        <v>16</v>
      </c>
      <c r="AO35" s="151"/>
    </row>
    <row r="36" spans="4:41" ht="24" customHeight="1">
      <c r="D36" s="154" t="s">
        <v>176</v>
      </c>
      <c r="E36" s="154">
        <f t="shared" si="0"/>
        <v>0</v>
      </c>
      <c r="F36" s="154" t="s">
        <v>26</v>
      </c>
      <c r="G36" s="148">
        <f>COUNTIF(G8:G31,"ATM/ATA")</f>
        <v>0</v>
      </c>
      <c r="H36" s="148">
        <f>COUNTIF(H8:H31,"ATM/ATA")</f>
        <v>0</v>
      </c>
      <c r="I36" s="148">
        <f>COUNTIF(I8:I31,"ATM/ATA")</f>
        <v>0</v>
      </c>
      <c r="J36" s="148">
        <f>COUNTIF(J8:J31,"ATM/ATA")</f>
        <v>0</v>
      </c>
      <c r="K36" s="148">
        <f>COUNTIF(K8:K31,"ATM/ATA")</f>
        <v>0</v>
      </c>
      <c r="L36" s="149">
        <f t="shared" si="1"/>
        <v>0</v>
      </c>
      <c r="M36" s="149"/>
      <c r="N36" s="148">
        <f>COUNTIF(N8:N31,"ATM/ATA")</f>
        <v>0</v>
      </c>
      <c r="O36" s="148">
        <f>COUNTIF(O8:O31,"ATM/ATA")</f>
        <v>0</v>
      </c>
      <c r="P36" s="148">
        <f>COUNTIF(P8:P31,"ATM/ATA")</f>
        <v>0</v>
      </c>
      <c r="Q36" s="148">
        <f>COUNTIF(Q8:Q31,"ATM/ATA")</f>
        <v>0</v>
      </c>
      <c r="R36" s="148">
        <f>COUNTIF(R8:R31,"ATM/ATA")</f>
        <v>0</v>
      </c>
      <c r="S36" s="150">
        <f t="shared" si="2"/>
        <v>0</v>
      </c>
      <c r="T36" s="150"/>
      <c r="U36" s="148">
        <f>COUNTIF(U8:U31,"ATM/ATA")</f>
        <v>0</v>
      </c>
      <c r="V36" s="148">
        <f>COUNTIF(V8:V31,"ATM/ATA")</f>
        <v>0</v>
      </c>
      <c r="W36" s="148">
        <f>COUNTIF(W8:W31,"ATM/ATA")</f>
        <v>0</v>
      </c>
      <c r="X36" s="148">
        <f>COUNTIF(X8:X31,"ATM/ATA")</f>
        <v>0</v>
      </c>
      <c r="Y36" s="148">
        <f>COUNTIF(Y8:Y31,"ATM/ATA")</f>
        <v>0</v>
      </c>
      <c r="Z36" s="150">
        <f t="shared" si="3"/>
        <v>0</v>
      </c>
      <c r="AA36" s="150"/>
      <c r="AB36" s="148">
        <f>COUNTIF(AB8:AB31,"ATM/ATA")</f>
        <v>0</v>
      </c>
      <c r="AC36" s="148">
        <f>COUNTIF(AC8:AC31,"ATM/ATA")</f>
        <v>0</v>
      </c>
      <c r="AD36" s="148">
        <f>COUNTIF(AD8:AD31,"ATM/ATA")</f>
        <v>0</v>
      </c>
      <c r="AE36" s="148">
        <f>COUNTIF(AE8:AE31,"ATM/ATA")</f>
        <v>0</v>
      </c>
      <c r="AF36" s="146">
        <f>COUNTIF(AF8:AF31,"ATM/ATA")</f>
        <v>0</v>
      </c>
      <c r="AG36" s="150">
        <f t="shared" si="4"/>
        <v>0</v>
      </c>
      <c r="AH36" s="150"/>
      <c r="AI36" s="148">
        <f>COUNTIF(AI8:AI31,"ATM/ATA")</f>
        <v>0</v>
      </c>
      <c r="AJ36" s="148">
        <f>COUNTIF(AJ8:AJ31,"ATM/ATA")</f>
        <v>0</v>
      </c>
      <c r="AK36" s="148">
        <f>COUNTIF(AK8:AK31,"ATM/ATA")</f>
        <v>0</v>
      </c>
      <c r="AL36" s="148">
        <f>COUNTIF(AL8:AL31,"ATM/ATA")</f>
        <v>0</v>
      </c>
      <c r="AM36" s="150">
        <f>COUNTIF(AM8:AM31,"ATM/ATA")</f>
        <v>0</v>
      </c>
      <c r="AN36" s="150">
        <f t="shared" si="5"/>
        <v>0</v>
      </c>
      <c r="AO36" s="151"/>
    </row>
    <row r="37" spans="4:41" ht="24" customHeight="1">
      <c r="D37" s="122" t="s">
        <v>176</v>
      </c>
      <c r="E37" s="122">
        <f t="shared" si="0"/>
        <v>0</v>
      </c>
      <c r="F37" s="122" t="s">
        <v>27</v>
      </c>
      <c r="G37" s="148">
        <f>COUNTIF(G8:G31,"ASA")</f>
        <v>0</v>
      </c>
      <c r="H37" s="148">
        <f>COUNTIF(H8:H31,"ASA")</f>
        <v>0</v>
      </c>
      <c r="I37" s="148">
        <f>COUNTIF(I8:I31,"ASA")</f>
        <v>0</v>
      </c>
      <c r="J37" s="148">
        <f>COUNTIF(J8:J31,"ASA")</f>
        <v>0</v>
      </c>
      <c r="K37" s="148">
        <f>COUNTIF(K8:K31,"ASA")</f>
        <v>0</v>
      </c>
      <c r="L37" s="149">
        <f t="shared" si="1"/>
        <v>0</v>
      </c>
      <c r="M37" s="149"/>
      <c r="N37" s="148">
        <f>COUNTIF(N8:N31,"ASA")</f>
        <v>0</v>
      </c>
      <c r="O37" s="148">
        <f>COUNTIF(O8:O31,"ASA")</f>
        <v>0</v>
      </c>
      <c r="P37" s="148">
        <f>COUNTIF(P8:P31,"ASA")</f>
        <v>0</v>
      </c>
      <c r="Q37" s="148">
        <f>COUNTIF(Q8:Q31,"ASA")</f>
        <v>0</v>
      </c>
      <c r="R37" s="148">
        <f>COUNTIF(R8:R31,"ASA")</f>
        <v>0</v>
      </c>
      <c r="S37" s="150">
        <f t="shared" si="2"/>
        <v>0</v>
      </c>
      <c r="T37" s="150"/>
      <c r="U37" s="148">
        <f>COUNTIF(U8:U31,"ASA")</f>
        <v>0</v>
      </c>
      <c r="V37" s="148">
        <f>COUNTIF(V8:V31,"ASA")</f>
        <v>0</v>
      </c>
      <c r="W37" s="148">
        <f>COUNTIF(W8:W31,"ASA")</f>
        <v>0</v>
      </c>
      <c r="X37" s="148">
        <f>COUNTIF(X8:X31,"ASA")</f>
        <v>0</v>
      </c>
      <c r="Y37" s="148">
        <f>COUNTIF(Y8:Y31,"ASA")</f>
        <v>0</v>
      </c>
      <c r="Z37" s="150">
        <f t="shared" si="3"/>
        <v>0</v>
      </c>
      <c r="AA37" s="150"/>
      <c r="AB37" s="148">
        <f>COUNTIF(AB8:AB31,"ASA")</f>
        <v>0</v>
      </c>
      <c r="AC37" s="148">
        <f>COUNTIF(AC8:AC31,"ASA")</f>
        <v>0</v>
      </c>
      <c r="AD37" s="148">
        <f>COUNTIF(AD8:AD31,"ASA")</f>
        <v>0</v>
      </c>
      <c r="AE37" s="148">
        <f>COUNTIF(AE8:AE31,"ASA")</f>
        <v>0</v>
      </c>
      <c r="AF37" s="146">
        <f>COUNTIF(AF8:AF31,"ASA")</f>
        <v>0</v>
      </c>
      <c r="AG37" s="150">
        <f t="shared" si="4"/>
        <v>0</v>
      </c>
      <c r="AH37" s="150"/>
      <c r="AI37" s="148">
        <f>COUNTIF(AI8:AI31,"ASA")</f>
        <v>0</v>
      </c>
      <c r="AJ37" s="148">
        <f>COUNTIF(AJ8:AJ31,"ASA")</f>
        <v>0</v>
      </c>
      <c r="AK37" s="148">
        <f>COUNTIF(AK8:AK31,"ASA")</f>
        <v>0</v>
      </c>
      <c r="AL37" s="148">
        <f>COUNTIF(AL8:AL31,"ASA")</f>
        <v>0</v>
      </c>
      <c r="AM37" s="150">
        <f>COUNTIF(AM8:AM31,"ASA")</f>
        <v>0</v>
      </c>
      <c r="AN37" s="150">
        <f t="shared" si="5"/>
        <v>0</v>
      </c>
      <c r="AO37" s="151"/>
    </row>
    <row r="38" spans="4:41" ht="24" customHeight="1">
      <c r="D38" s="155" t="s">
        <v>176</v>
      </c>
      <c r="E38" s="155">
        <f t="shared" si="0"/>
        <v>0</v>
      </c>
      <c r="F38" s="155" t="s">
        <v>28</v>
      </c>
      <c r="G38" s="148">
        <f>COUNTIF(G8:G31,"FORM")</f>
        <v>0</v>
      </c>
      <c r="H38" s="148">
        <f>COUNTIF(H8:H31,"FORM")</f>
        <v>0</v>
      </c>
      <c r="I38" s="148">
        <f>COUNTIF(I8:I31,"FORM")</f>
        <v>0</v>
      </c>
      <c r="J38" s="148">
        <f>COUNTIF(J8:J31,"FORM")</f>
        <v>0</v>
      </c>
      <c r="K38" s="148">
        <f>COUNTIF(K8:K31,"FORM")</f>
        <v>0</v>
      </c>
      <c r="L38" s="149">
        <f t="shared" si="1"/>
        <v>0</v>
      </c>
      <c r="M38" s="149"/>
      <c r="N38" s="148">
        <f>COUNTIF(N8:N31,"FORM")</f>
        <v>0</v>
      </c>
      <c r="O38" s="148">
        <f>COUNTIF(O8:O31,"FORM")</f>
        <v>0</v>
      </c>
      <c r="P38" s="148">
        <f>COUNTIF(P8:P31,"FORM")</f>
        <v>0</v>
      </c>
      <c r="Q38" s="148">
        <f>COUNTIF(Q8:Q31,"FORM")</f>
        <v>0</v>
      </c>
      <c r="R38" s="148">
        <f>COUNTIF(R8:R31,"FORM")</f>
        <v>0</v>
      </c>
      <c r="S38" s="150">
        <f t="shared" si="2"/>
        <v>0</v>
      </c>
      <c r="T38" s="150"/>
      <c r="U38" s="148">
        <f>COUNTIF(U8:U31,"FORM")</f>
        <v>0</v>
      </c>
      <c r="V38" s="148">
        <f>COUNTIF(V8:V31,"FORM")</f>
        <v>0</v>
      </c>
      <c r="W38" s="148">
        <f>COUNTIF(W8:W31,"FORM")</f>
        <v>0</v>
      </c>
      <c r="X38" s="148">
        <f>COUNTIF(X8:X31,"FORM")</f>
        <v>0</v>
      </c>
      <c r="Y38" s="148">
        <f>COUNTIF(Y8:Y31,"FORM")</f>
        <v>0</v>
      </c>
      <c r="Z38" s="150">
        <f t="shared" si="3"/>
        <v>0</v>
      </c>
      <c r="AA38" s="150"/>
      <c r="AB38" s="148">
        <f>COUNTIF(AB8:AB31,"FORM")</f>
        <v>0</v>
      </c>
      <c r="AC38" s="148">
        <f>COUNTIF(AC8:AC31,"FORM")</f>
        <v>0</v>
      </c>
      <c r="AD38" s="148">
        <f>COUNTIF(AD8:AD31,"FORM")</f>
        <v>0</v>
      </c>
      <c r="AE38" s="148">
        <f>COUNTIF(AE8:AE31,"FORM")</f>
        <v>0</v>
      </c>
      <c r="AF38" s="146">
        <f>COUNTIF(AF8:AF31,"FORM")</f>
        <v>0</v>
      </c>
      <c r="AG38" s="150">
        <f t="shared" si="4"/>
        <v>0</v>
      </c>
      <c r="AH38" s="150"/>
      <c r="AI38" s="148">
        <f>COUNTIF(AI8:AI31,"FORM")</f>
        <v>0</v>
      </c>
      <c r="AJ38" s="148">
        <f>COUNTIF(AJ8:AJ31,"FORM")</f>
        <v>0</v>
      </c>
      <c r="AK38" s="148">
        <f>COUNTIF(AK8:AK31,"FORM")</f>
        <v>0</v>
      </c>
      <c r="AL38" s="148">
        <f>COUNTIF(AL8:AL31,"FORM")</f>
        <v>0</v>
      </c>
      <c r="AM38" s="150">
        <f>COUNTIF(AM8:AM31,"FORM")</f>
        <v>0</v>
      </c>
      <c r="AN38" s="150">
        <f t="shared" si="5"/>
        <v>0</v>
      </c>
      <c r="AO38" s="151"/>
    </row>
    <row r="39" spans="4:41" ht="24" customHeight="1">
      <c r="D39" s="156" t="s">
        <v>177</v>
      </c>
      <c r="E39" s="156">
        <f>AVERAGE(G39:AM39)</f>
        <v>2.652173913043478</v>
      </c>
      <c r="F39" s="215" t="s">
        <v>178</v>
      </c>
      <c r="G39" s="158">
        <f>SUM(G33:G38)</f>
        <v>1</v>
      </c>
      <c r="H39" s="158">
        <f>SUM(H33:H38)</f>
        <v>1</v>
      </c>
      <c r="I39" s="158">
        <f>SUM(I33:I38)</f>
        <v>1</v>
      </c>
      <c r="J39" s="158">
        <f>SUM(J33:J38)</f>
        <v>1</v>
      </c>
      <c r="K39" s="158">
        <f>SUM(K33:K38)</f>
        <v>1</v>
      </c>
      <c r="L39" s="158"/>
      <c r="M39" s="158"/>
      <c r="N39" s="158">
        <f>SUM(N33:N38)</f>
        <v>3</v>
      </c>
      <c r="O39" s="158">
        <f>SUM(O33:O38)</f>
        <v>3</v>
      </c>
      <c r="P39" s="158">
        <f>SUM(P33:P38)</f>
        <v>3</v>
      </c>
      <c r="Q39" s="158">
        <f>SUM(Q33:Q38)</f>
        <v>3</v>
      </c>
      <c r="R39" s="158">
        <f>SUM(R33:R38)</f>
        <v>3</v>
      </c>
      <c r="S39" s="158"/>
      <c r="T39" s="158"/>
      <c r="U39" s="158">
        <f>SUM(U33:U38)</f>
        <v>3</v>
      </c>
      <c r="V39" s="158">
        <f>SUM(V33:V38)</f>
        <v>3</v>
      </c>
      <c r="W39" s="158">
        <f>SUM(W33:W38)</f>
        <v>3</v>
      </c>
      <c r="X39" s="158">
        <f>SUM(X33:X38)</f>
        <v>3</v>
      </c>
      <c r="Y39" s="158">
        <f>SUM(Y33:Y38)</f>
        <v>2</v>
      </c>
      <c r="Z39" s="158"/>
      <c r="AA39" s="158"/>
      <c r="AB39" s="158">
        <f>SUM(AB33:AB38)</f>
        <v>2</v>
      </c>
      <c r="AC39" s="158">
        <f>SUM(AC33:AC38)</f>
        <v>3</v>
      </c>
      <c r="AD39" s="158">
        <f>SUM(AD33:AD38)</f>
        <v>3</v>
      </c>
      <c r="AE39" s="158">
        <f>SUM(AE33:AE38)</f>
        <v>3</v>
      </c>
      <c r="AF39" s="158"/>
      <c r="AG39" s="158"/>
      <c r="AH39" s="158"/>
      <c r="AI39" s="158">
        <f>SUM(AI33:AI38)</f>
        <v>4</v>
      </c>
      <c r="AJ39" s="158">
        <f>SUM(AJ33:AJ38)</f>
        <v>4</v>
      </c>
      <c r="AK39" s="158">
        <f>SUM(AK33:AK38)</f>
        <v>4</v>
      </c>
      <c r="AL39" s="158">
        <f>SUM(AL33:AL38)</f>
        <v>4</v>
      </c>
      <c r="AM39" s="158"/>
      <c r="AN39" s="158"/>
      <c r="AO39" s="159"/>
    </row>
    <row r="40" spans="4:41" ht="24" customHeight="1">
      <c r="D40" s="156" t="s">
        <v>177</v>
      </c>
      <c r="E40" s="156">
        <f>AVERAGE(G40:AM40)</f>
        <v>17.347826086956523</v>
      </c>
      <c r="F40" s="215" t="s">
        <v>179</v>
      </c>
      <c r="G40" s="158">
        <f>(20+G32)-G39</f>
        <v>19</v>
      </c>
      <c r="H40" s="158">
        <f>(20+H32)-H39</f>
        <v>19</v>
      </c>
      <c r="I40" s="158">
        <f>(20+I32)-I39</f>
        <v>19</v>
      </c>
      <c r="J40" s="158">
        <f>(20+J32)-J39</f>
        <v>19</v>
      </c>
      <c r="K40" s="158">
        <f>(20+K32)-K39</f>
        <v>19</v>
      </c>
      <c r="L40" s="158"/>
      <c r="M40" s="158"/>
      <c r="N40" s="158">
        <f>(20+N32)-N39</f>
        <v>17</v>
      </c>
      <c r="O40" s="158">
        <f>(20+O32)-O39</f>
        <v>17</v>
      </c>
      <c r="P40" s="158">
        <f>(20+P32)-P39</f>
        <v>17</v>
      </c>
      <c r="Q40" s="158">
        <f>(20+Q32)-Q39</f>
        <v>17</v>
      </c>
      <c r="R40" s="158">
        <f>(20+R32)-R39</f>
        <v>17</v>
      </c>
      <c r="S40" s="158"/>
      <c r="T40" s="158"/>
      <c r="U40" s="158">
        <f>(20+U32)-U39</f>
        <v>17</v>
      </c>
      <c r="V40" s="158">
        <f>(20+V32)-V39</f>
        <v>17</v>
      </c>
      <c r="W40" s="158">
        <f>(20+W32)-W39</f>
        <v>17</v>
      </c>
      <c r="X40" s="158">
        <f>(20+X32)-X39</f>
        <v>17</v>
      </c>
      <c r="Y40" s="158">
        <f>(20+Y32)-Y39</f>
        <v>18</v>
      </c>
      <c r="Z40" s="158"/>
      <c r="AA40" s="158"/>
      <c r="AB40" s="158">
        <f>(20+AB32)-AB39</f>
        <v>18</v>
      </c>
      <c r="AC40" s="158">
        <f>(20+AC32)-AC39</f>
        <v>17</v>
      </c>
      <c r="AD40" s="158">
        <f>(20+AD32)-AD39</f>
        <v>17</v>
      </c>
      <c r="AE40" s="158">
        <f>(20+AE32)-AE39</f>
        <v>17</v>
      </c>
      <c r="AF40" s="158"/>
      <c r="AG40" s="158"/>
      <c r="AH40" s="158"/>
      <c r="AI40" s="158">
        <f>(20+AI32)-AI39</f>
        <v>16</v>
      </c>
      <c r="AJ40" s="158">
        <f>(20+AJ32)-AJ39</f>
        <v>16</v>
      </c>
      <c r="AK40" s="158">
        <f>(20+AK32)-AK39</f>
        <v>16</v>
      </c>
      <c r="AL40" s="158">
        <f>(20+AL32)-AL39</f>
        <v>16</v>
      </c>
      <c r="AM40" s="158"/>
      <c r="AN40" s="158"/>
      <c r="AO40" s="159"/>
    </row>
    <row r="41" spans="4:41" ht="24" customHeight="1">
      <c r="D41" s="156" t="s">
        <v>177</v>
      </c>
      <c r="E41" s="156">
        <f>AVERAGE(G41:AM41)</f>
        <v>16</v>
      </c>
      <c r="F41" s="216" t="s">
        <v>180</v>
      </c>
      <c r="G41" s="161">
        <v>16</v>
      </c>
      <c r="H41" s="161">
        <v>16</v>
      </c>
      <c r="I41" s="161">
        <v>16</v>
      </c>
      <c r="J41" s="161">
        <v>16</v>
      </c>
      <c r="K41" s="161">
        <v>16</v>
      </c>
      <c r="L41" s="161"/>
      <c r="M41" s="161"/>
      <c r="N41" s="161">
        <v>16</v>
      </c>
      <c r="O41" s="161">
        <v>16</v>
      </c>
      <c r="P41" s="161">
        <v>16</v>
      </c>
      <c r="Q41" s="161">
        <v>16</v>
      </c>
      <c r="R41" s="161">
        <v>16</v>
      </c>
      <c r="S41" s="162"/>
      <c r="T41" s="162"/>
      <c r="U41" s="161">
        <v>16</v>
      </c>
      <c r="V41" s="161">
        <v>16</v>
      </c>
      <c r="W41" s="161">
        <v>16</v>
      </c>
      <c r="X41" s="161">
        <v>16</v>
      </c>
      <c r="Y41" s="161">
        <v>16</v>
      </c>
      <c r="Z41" s="162"/>
      <c r="AA41" s="162"/>
      <c r="AB41" s="161">
        <v>16</v>
      </c>
      <c r="AC41" s="161">
        <v>16</v>
      </c>
      <c r="AD41" s="161">
        <v>16</v>
      </c>
      <c r="AE41" s="161">
        <v>16</v>
      </c>
      <c r="AF41" s="161"/>
      <c r="AG41" s="162"/>
      <c r="AH41" s="162"/>
      <c r="AI41" s="161">
        <v>16</v>
      </c>
      <c r="AJ41" s="161">
        <v>16</v>
      </c>
      <c r="AK41" s="161">
        <v>16</v>
      </c>
      <c r="AL41" s="161">
        <v>16</v>
      </c>
      <c r="AM41" s="161"/>
      <c r="AN41" s="162"/>
      <c r="AO41" s="163"/>
    </row>
    <row r="42" spans="4:41" ht="24" customHeight="1">
      <c r="D42" s="156" t="s">
        <v>177</v>
      </c>
      <c r="E42" s="156">
        <f>AVERAGE(G42:AM42)</f>
        <v>1.3478260869565217</v>
      </c>
      <c r="F42" s="217" t="s">
        <v>181</v>
      </c>
      <c r="G42" s="166">
        <f>G40-G41</f>
        <v>3</v>
      </c>
      <c r="H42" s="166">
        <f>H40-H41</f>
        <v>3</v>
      </c>
      <c r="I42" s="166">
        <f>I40-I41</f>
        <v>3</v>
      </c>
      <c r="J42" s="166">
        <f>J40-J41</f>
        <v>3</v>
      </c>
      <c r="K42" s="166">
        <f>K40-K41</f>
        <v>3</v>
      </c>
      <c r="L42" s="166"/>
      <c r="M42" s="166"/>
      <c r="N42" s="166">
        <f>N40-N41</f>
        <v>1</v>
      </c>
      <c r="O42" s="166">
        <f>O40-O41</f>
        <v>1</v>
      </c>
      <c r="P42" s="166">
        <f>P40-P41</f>
        <v>1</v>
      </c>
      <c r="Q42" s="166">
        <f>Q40-Q41</f>
        <v>1</v>
      </c>
      <c r="R42" s="166">
        <f>R40-R41</f>
        <v>1</v>
      </c>
      <c r="S42" s="166"/>
      <c r="T42" s="166"/>
      <c r="U42" s="166">
        <f>U40-U41</f>
        <v>1</v>
      </c>
      <c r="V42" s="166">
        <f>V40-V41</f>
        <v>1</v>
      </c>
      <c r="W42" s="166">
        <f>W40-W41</f>
        <v>1</v>
      </c>
      <c r="X42" s="166">
        <f>X40-X41</f>
        <v>1</v>
      </c>
      <c r="Y42" s="166">
        <f>Y40-Y41</f>
        <v>2</v>
      </c>
      <c r="Z42" s="166"/>
      <c r="AA42" s="166"/>
      <c r="AB42" s="166">
        <f>AB40-AB41</f>
        <v>2</v>
      </c>
      <c r="AC42" s="166">
        <f>AC40-AC41</f>
        <v>1</v>
      </c>
      <c r="AD42" s="166">
        <f>AD40-AD41</f>
        <v>1</v>
      </c>
      <c r="AE42" s="166">
        <f>AE40-AE41</f>
        <v>1</v>
      </c>
      <c r="AF42" s="166"/>
      <c r="AG42" s="166"/>
      <c r="AH42" s="166"/>
      <c r="AI42" s="166">
        <f>AI40-AI41</f>
        <v>0</v>
      </c>
      <c r="AJ42" s="166">
        <f>AJ40-AJ41</f>
        <v>0</v>
      </c>
      <c r="AK42" s="166">
        <f>AK40-AK41</f>
        <v>0</v>
      </c>
      <c r="AL42" s="166">
        <f>AL40-AL41</f>
        <v>0</v>
      </c>
      <c r="AM42" s="166"/>
      <c r="AN42" s="166"/>
      <c r="AO42" s="167"/>
    </row>
    <row r="43" spans="4:41" ht="18.75" customHeight="1">
      <c r="F43" s="13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 spans="4:41" ht="18.75" customHeight="1">
      <c r="F44" s="13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 spans="4:41" ht="18.75" customHeight="1">
      <c r="F45" s="13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 spans="4:41" ht="18.75" customHeight="1">
      <c r="F46" s="13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</row>
    <row r="47" spans="4:41" ht="18.75" customHeight="1">
      <c r="F47" s="13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 spans="4:41" ht="18.75" customHeight="1">
      <c r="F48" s="13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 spans="6:37" ht="18.75" customHeight="1">
      <c r="F49" s="13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 spans="6:37" ht="18.75" customHeight="1">
      <c r="F50" s="13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 spans="6:37" ht="18.75" customHeight="1">
      <c r="F51" s="13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 spans="6:37" ht="18.75" customHeight="1">
      <c r="F52" s="13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 spans="6:37" ht="18.75" customHeight="1">
      <c r="F53" s="13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 spans="6:37" ht="18.75" customHeight="1">
      <c r="F54" s="13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 spans="6:37" ht="18.75" customHeight="1">
      <c r="F55" s="13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</row>
    <row r="56" spans="6:37" ht="18.75" customHeight="1">
      <c r="F56" s="13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 spans="6:37" ht="18.75" customHeight="1">
      <c r="F57" s="13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 spans="6:37" ht="18.75" customHeight="1">
      <c r="F58" s="13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</row>
    <row r="59" spans="6:37" ht="18.75" customHeight="1">
      <c r="F59" s="13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</row>
    <row r="60" spans="6:37" ht="18.75" customHeight="1">
      <c r="F60" s="13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 spans="6:37" ht="18.75" customHeight="1">
      <c r="F61" s="13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</row>
    <row r="62" spans="6:37" ht="18.75" customHeight="1">
      <c r="F62" s="13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 spans="6:37" ht="18.75" customHeight="1">
      <c r="F63" s="13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</row>
    <row r="64" spans="6:37" ht="18.75" customHeight="1">
      <c r="F64" s="13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</row>
    <row r="65" spans="6:37" ht="18.75" customHeight="1">
      <c r="F65" s="13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 spans="6:37" ht="18.75" customHeight="1">
      <c r="F66" s="13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</row>
    <row r="67" spans="6:37" ht="18.75" customHeight="1">
      <c r="F67" s="13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</row>
    <row r="68" spans="6:37" ht="18.75" customHeight="1">
      <c r="F68" s="13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</row>
    <row r="69" spans="6:37" ht="18.75" customHeight="1">
      <c r="F69" s="13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</row>
    <row r="70" spans="6:37" ht="18.75" customHeight="1">
      <c r="F70" s="13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</row>
    <row r="71" spans="6:37" ht="18.75" customHeight="1">
      <c r="F71" s="13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</row>
    <row r="72" spans="6:37" ht="18.75" customHeight="1">
      <c r="F72" s="13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 spans="6:37" ht="18.75" customHeight="1">
      <c r="F73" s="13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</row>
    <row r="74" spans="6:37" ht="18.75" customHeight="1">
      <c r="F74" s="13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</row>
    <row r="75" spans="6:37" ht="18.75" customHeight="1">
      <c r="F75" s="13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 spans="6:37" ht="18.75" customHeight="1">
      <c r="F76" s="13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</row>
    <row r="77" spans="6:37" ht="18.75" customHeight="1">
      <c r="F77" s="13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</row>
    <row r="78" spans="6:37" ht="18.75" customHeight="1">
      <c r="F78" s="13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 spans="6:37" ht="18.75" customHeight="1">
      <c r="F79" s="13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 spans="6:37" ht="18.75" customHeight="1">
      <c r="F80" s="13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</row>
    <row r="81" spans="6:37" ht="18.75" customHeight="1">
      <c r="F81" s="13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</row>
    <row r="82" spans="6:37" ht="18.75" customHeight="1">
      <c r="F82" s="13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</row>
    <row r="83" spans="6:37" ht="18.75" customHeight="1">
      <c r="F83" s="13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  <row r="84" spans="6:37" ht="18.75" customHeight="1">
      <c r="F84" s="13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</row>
    <row r="85" spans="6:37" ht="18.75" customHeight="1">
      <c r="F85" s="13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</row>
    <row r="86" spans="6:37" ht="18.75" customHeight="1">
      <c r="F86" s="13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</row>
    <row r="87" spans="6:37" ht="18.75" customHeight="1">
      <c r="F87" s="13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</row>
    <row r="88" spans="6:37" ht="18.75" customHeight="1">
      <c r="F88" s="13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</row>
    <row r="89" spans="6:37" ht="18.75" customHeight="1">
      <c r="F89" s="13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</row>
    <row r="90" spans="6:37" ht="18.75" customHeight="1">
      <c r="F90" s="13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</row>
    <row r="91" spans="6:37" ht="18.75" customHeight="1">
      <c r="F91" s="13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</row>
    <row r="92" spans="6:37" ht="18.75" customHeight="1">
      <c r="F92" s="13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</row>
    <row r="93" spans="6:37" ht="18.75" customHeight="1">
      <c r="F93" s="13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</row>
    <row r="94" spans="6:37" ht="18.75" customHeight="1">
      <c r="F94" s="13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</row>
    <row r="95" spans="6:37" ht="18.75" customHeight="1">
      <c r="F95" s="13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</row>
    <row r="96" spans="6:37" ht="18.75" customHeight="1">
      <c r="F96" s="13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</row>
    <row r="97" spans="6:37" ht="18.75" customHeight="1">
      <c r="F97" s="13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</row>
    <row r="98" spans="6:37" ht="18.75" customHeight="1">
      <c r="F98" s="13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</row>
    <row r="99" spans="6:37" ht="18.75" customHeight="1">
      <c r="F99" s="13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</row>
    <row r="100" spans="6:37" ht="18.75" customHeight="1">
      <c r="F100" s="13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</row>
    <row r="101" spans="6:37" ht="18.75" customHeight="1">
      <c r="F101" s="13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 spans="6:37" ht="18.75" customHeight="1">
      <c r="F102" s="13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</row>
    <row r="103" spans="6:37" ht="18.75" customHeight="1">
      <c r="F103" s="13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</row>
    <row r="104" spans="6:37" ht="18.75" customHeight="1">
      <c r="F104" s="13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</row>
    <row r="105" spans="6:37" ht="18.75" customHeight="1">
      <c r="F105" s="13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</row>
    <row r="106" spans="6:37" ht="18.75" customHeight="1">
      <c r="F106" s="13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</row>
    <row r="107" spans="6:37" ht="18.75" customHeight="1">
      <c r="F107" s="13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</row>
    <row r="108" spans="6:37" ht="18.75" customHeight="1">
      <c r="F108" s="13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</row>
    <row r="109" spans="6:37" ht="18.75" customHeight="1">
      <c r="F109" s="13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</row>
    <row r="110" spans="6:37" ht="18.75" customHeight="1">
      <c r="F110" s="13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</row>
    <row r="111" spans="6:37" ht="18.75" customHeight="1">
      <c r="F111" s="13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</row>
    <row r="112" spans="6:37" ht="18.75" customHeight="1">
      <c r="F112" s="13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</row>
    <row r="113" spans="6:37" ht="18.75" customHeight="1">
      <c r="F113" s="13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</row>
    <row r="114" spans="6:37" ht="18.75" customHeight="1">
      <c r="F114" s="13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</row>
    <row r="115" spans="6:37" ht="18.75" customHeight="1">
      <c r="F115" s="13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</row>
    <row r="116" spans="6:37" ht="18.75" customHeight="1">
      <c r="F116" s="13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</row>
    <row r="117" spans="6:37" ht="18.75" customHeight="1">
      <c r="F117" s="13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</row>
    <row r="118" spans="6:37" ht="18.75" customHeight="1">
      <c r="F118" s="13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</row>
    <row r="119" spans="6:37" ht="18.75" customHeight="1">
      <c r="F119" s="13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</row>
    <row r="120" spans="6:37" ht="18.75" customHeight="1">
      <c r="F120" s="13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 spans="6:37" ht="18.75" customHeight="1">
      <c r="F121" s="13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</row>
    <row r="122" spans="6:37" ht="18.75" customHeight="1">
      <c r="F122" s="13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</row>
    <row r="123" spans="6:37" ht="18.75" customHeight="1">
      <c r="F123" s="13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</row>
    <row r="124" spans="6:37" ht="18.75" customHeight="1">
      <c r="F124" s="13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</row>
    <row r="125" spans="6:37" ht="18.75" customHeight="1">
      <c r="F125" s="13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</row>
    <row r="126" spans="6:37" ht="18.75" customHeight="1">
      <c r="F126" s="13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</row>
    <row r="127" spans="6:37" ht="18.75" customHeight="1">
      <c r="F127" s="13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</row>
    <row r="128" spans="6:37" ht="18.75" customHeight="1">
      <c r="F128" s="13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</row>
    <row r="129" spans="6:37" ht="18.75" customHeight="1">
      <c r="F129" s="13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</row>
    <row r="130" spans="6:37" ht="18.75" customHeight="1">
      <c r="F130" s="13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</row>
    <row r="131" spans="6:37" ht="18.75" customHeight="1">
      <c r="F131" s="13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</row>
    <row r="132" spans="6:37" ht="18.75" customHeight="1">
      <c r="F132" s="13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</row>
    <row r="133" spans="6:37" ht="18.75" customHeight="1">
      <c r="F133" s="13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</row>
    <row r="134" spans="6:37" ht="18.75" customHeight="1">
      <c r="F134" s="13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</row>
    <row r="135" spans="6:37" ht="18.75" customHeight="1">
      <c r="F135" s="13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</row>
    <row r="136" spans="6:37" ht="18.75" customHeight="1">
      <c r="F136" s="13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</row>
    <row r="137" spans="6:37" ht="18.75" customHeight="1">
      <c r="F137" s="13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</row>
    <row r="138" spans="6:37" ht="18.75" customHeight="1">
      <c r="F138" s="13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</row>
    <row r="139" spans="6:37" ht="18.75" customHeight="1">
      <c r="F139" s="13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</row>
    <row r="140" spans="6:37" ht="18.75" customHeight="1">
      <c r="F140" s="13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</row>
    <row r="141" spans="6:37" ht="18.75" customHeight="1">
      <c r="F141" s="13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</row>
    <row r="142" spans="6:37" ht="18.75" customHeight="1">
      <c r="F142" s="13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</row>
    <row r="143" spans="6:37" ht="18.75" customHeight="1">
      <c r="F143" s="13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</row>
    <row r="144" spans="6:37" ht="18.75" customHeight="1">
      <c r="F144" s="13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</row>
    <row r="145" spans="6:37" ht="18.75" customHeight="1">
      <c r="F145" s="13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</row>
    <row r="146" spans="6:37" ht="18.75" customHeight="1">
      <c r="F146" s="13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</row>
    <row r="147" spans="6:37" ht="18.75" customHeight="1">
      <c r="F147" s="13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</row>
    <row r="148" spans="6:37" ht="18.75" customHeight="1">
      <c r="F148" s="13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</row>
    <row r="149" spans="6:37" ht="18.75" customHeight="1">
      <c r="F149" s="13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</row>
    <row r="150" spans="6:37" ht="18.75" customHeight="1">
      <c r="F150" s="13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</row>
    <row r="151" spans="6:37" ht="18.75" customHeight="1">
      <c r="F151" s="13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</row>
    <row r="152" spans="6:37" ht="18.75" customHeight="1">
      <c r="F152" s="13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</row>
    <row r="153" spans="6:37" ht="18.75" customHeight="1">
      <c r="F153" s="13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</row>
    <row r="154" spans="6:37" ht="18.75" customHeight="1">
      <c r="F154" s="13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</row>
    <row r="155" spans="6:37" ht="18.75" customHeight="1">
      <c r="F155" s="13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</row>
    <row r="156" spans="6:37" ht="18.75" customHeight="1">
      <c r="F156" s="13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</row>
    <row r="157" spans="6:37" ht="18.75" customHeight="1">
      <c r="F157" s="13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</row>
    <row r="158" spans="6:37" ht="18.75" customHeight="1">
      <c r="F158" s="13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</row>
    <row r="159" spans="6:37" ht="18.75" customHeight="1">
      <c r="F159" s="13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</row>
    <row r="160" spans="6:37" ht="18.75" customHeight="1">
      <c r="F160" s="13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</row>
    <row r="161" spans="6:37" ht="18.75" customHeight="1">
      <c r="F161" s="13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</row>
    <row r="162" spans="6:37" ht="18.75" customHeight="1">
      <c r="F162" s="13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</row>
    <row r="163" spans="6:37" ht="18.75" customHeight="1">
      <c r="F163" s="13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</row>
    <row r="164" spans="6:37" ht="18.75" customHeight="1">
      <c r="F164" s="13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</row>
    <row r="165" spans="6:37" ht="18.75" customHeight="1">
      <c r="F165" s="13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</row>
    <row r="166" spans="6:37" ht="18.75" customHeight="1">
      <c r="F166" s="13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</row>
    <row r="167" spans="6:37" ht="18.75" customHeight="1">
      <c r="F167" s="13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</row>
    <row r="168" spans="6:37" ht="18.75" customHeight="1">
      <c r="F168" s="13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</row>
    <row r="169" spans="6:37" ht="18.75" customHeight="1">
      <c r="F169" s="13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</row>
    <row r="170" spans="6:37" ht="18.75" customHeight="1">
      <c r="F170" s="13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</row>
    <row r="171" spans="6:37" ht="18.75" customHeight="1">
      <c r="F171" s="13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</row>
    <row r="172" spans="6:37" ht="18.75" customHeight="1">
      <c r="F172" s="13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</row>
    <row r="173" spans="6:37" ht="18.75" customHeight="1">
      <c r="F173" s="13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</row>
    <row r="174" spans="6:37" ht="18.75" customHeight="1">
      <c r="F174" s="13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</row>
    <row r="175" spans="6:37" ht="18.75" customHeight="1">
      <c r="F175" s="13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</row>
    <row r="176" spans="6:37" ht="18.75" customHeight="1">
      <c r="F176" s="13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</row>
    <row r="177" spans="6:37" ht="18.75" customHeight="1">
      <c r="F177" s="13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</row>
    <row r="178" spans="6:37" ht="18.75" customHeight="1">
      <c r="F178" s="13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</row>
    <row r="179" spans="6:37" ht="18.75" customHeight="1">
      <c r="F179" s="13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</row>
    <row r="180" spans="6:37" ht="18.75" customHeight="1">
      <c r="F180" s="13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</row>
    <row r="181" spans="6:37" ht="18.75" customHeight="1">
      <c r="F181" s="13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</row>
    <row r="182" spans="6:37" ht="18.75" customHeight="1">
      <c r="F182" s="13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</row>
    <row r="183" spans="6:37" ht="18.75" customHeight="1">
      <c r="F183" s="13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</row>
    <row r="184" spans="6:37" ht="18.75" customHeight="1">
      <c r="F184" s="13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</row>
    <row r="185" spans="6:37" ht="18.75" customHeight="1">
      <c r="F185" s="13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</row>
    <row r="186" spans="6:37" ht="18.75" customHeight="1">
      <c r="F186" s="13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</row>
    <row r="187" spans="6:37" ht="18.75" customHeight="1">
      <c r="F187" s="13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</row>
    <row r="188" spans="6:37" ht="18.75" customHeight="1">
      <c r="F188" s="13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</row>
    <row r="189" spans="6:37" ht="18.75" customHeight="1">
      <c r="F189" s="13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</row>
    <row r="190" spans="6:37" ht="18.75" customHeight="1">
      <c r="F190" s="13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</row>
    <row r="191" spans="6:37" ht="18.75" customHeight="1">
      <c r="F191" s="13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</row>
    <row r="192" spans="6:37" ht="18.75" customHeight="1">
      <c r="F192" s="13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</row>
    <row r="193" spans="6:37" ht="18.75" customHeight="1">
      <c r="F193" s="13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</row>
    <row r="194" spans="6:37" ht="18.75" customHeight="1">
      <c r="F194" s="13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</row>
    <row r="195" spans="6:37" ht="18.75" customHeight="1">
      <c r="F195" s="13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</row>
    <row r="196" spans="6:37" ht="18.75" customHeight="1">
      <c r="F196" s="13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</row>
    <row r="197" spans="6:37" ht="18.75" customHeight="1">
      <c r="F197" s="13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</row>
    <row r="198" spans="6:37" ht="18.75" customHeight="1">
      <c r="F198" s="13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</row>
    <row r="199" spans="6:37" ht="18.75" customHeight="1">
      <c r="F199" s="13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</row>
    <row r="200" spans="6:37" ht="18.75" customHeight="1">
      <c r="F200" s="13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</row>
    <row r="201" spans="6:37" ht="18.75" customHeight="1">
      <c r="F201" s="13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</row>
    <row r="202" spans="6:37" ht="18.75" customHeight="1">
      <c r="F202" s="13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</row>
    <row r="203" spans="6:37" ht="18.75" customHeight="1">
      <c r="F203" s="13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</row>
    <row r="204" spans="6:37" ht="18.75" customHeight="1">
      <c r="F204" s="13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</row>
    <row r="205" spans="6:37" ht="18.75" customHeight="1">
      <c r="F205" s="13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</row>
    <row r="206" spans="6:37" ht="18.75" customHeight="1">
      <c r="F206" s="13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</row>
    <row r="207" spans="6:37" ht="18.75" customHeight="1">
      <c r="F207" s="13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</row>
    <row r="208" spans="6:37" ht="18.75" customHeight="1">
      <c r="F208" s="13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</row>
    <row r="209" spans="6:37" ht="18.75" customHeight="1">
      <c r="F209" s="13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</row>
    <row r="210" spans="6:37" ht="18.75" customHeight="1">
      <c r="F210" s="13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</row>
    <row r="211" spans="6:37" ht="18.75" customHeight="1">
      <c r="F211" s="13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</row>
    <row r="212" spans="6:37" ht="18.75" customHeight="1">
      <c r="F212" s="13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</row>
    <row r="213" spans="6:37" ht="18.75" customHeight="1">
      <c r="F213" s="13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</row>
    <row r="214" spans="6:37" ht="18.75" customHeight="1">
      <c r="F214" s="13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</row>
    <row r="215" spans="6:37" ht="18.75" customHeight="1">
      <c r="F215" s="13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</row>
    <row r="216" spans="6:37" ht="18.75" customHeight="1">
      <c r="F216" s="13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</row>
    <row r="217" spans="6:37" ht="18.75" customHeight="1">
      <c r="F217" s="13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</row>
    <row r="218" spans="6:37" ht="18.75" customHeight="1">
      <c r="F218" s="13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</row>
    <row r="219" spans="6:37" ht="18.75" customHeight="1">
      <c r="F219" s="13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</row>
    <row r="220" spans="6:37" ht="18.75" customHeight="1">
      <c r="F220" s="13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</row>
    <row r="221" spans="6:37" ht="18.75" customHeight="1">
      <c r="F221" s="13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</row>
    <row r="222" spans="6:37" ht="18.75" customHeight="1">
      <c r="F222" s="13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</row>
    <row r="223" spans="6:37" ht="18.75" customHeight="1">
      <c r="F223" s="13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</row>
    <row r="224" spans="6:37" ht="18.75" customHeight="1">
      <c r="F224" s="13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</row>
    <row r="225" spans="6:37" ht="18.75" customHeight="1">
      <c r="F225" s="13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</row>
    <row r="226" spans="6:37" ht="18.75" customHeight="1">
      <c r="F226" s="13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</row>
    <row r="227" spans="6:37" ht="18.75" customHeight="1">
      <c r="F227" s="13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</row>
    <row r="228" spans="6:37" ht="18.75" customHeight="1">
      <c r="F228" s="13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</row>
    <row r="229" spans="6:37" ht="18.75" customHeight="1">
      <c r="F229" s="13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</row>
    <row r="230" spans="6:37" ht="18.75" customHeight="1">
      <c r="F230" s="13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</row>
    <row r="231" spans="6:37" ht="18.75" customHeight="1">
      <c r="F231" s="13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</row>
    <row r="232" spans="6:37" ht="18.75" customHeight="1">
      <c r="F232" s="13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</row>
    <row r="233" spans="6:37" ht="18.75" customHeight="1">
      <c r="F233" s="13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</row>
    <row r="234" spans="6:37" ht="18.75" customHeight="1">
      <c r="F234" s="13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</row>
    <row r="235" spans="6:37" ht="18.75" customHeight="1">
      <c r="F235" s="13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</row>
    <row r="236" spans="6:37" ht="18.75" customHeight="1">
      <c r="F236" s="13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</row>
    <row r="237" spans="6:37" ht="18.75" customHeight="1">
      <c r="F237" s="13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</row>
    <row r="238" spans="6:37" ht="18.75" customHeight="1">
      <c r="F238" s="13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</row>
    <row r="239" spans="6:37" ht="18.75" customHeight="1">
      <c r="F239" s="13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</row>
    <row r="240" spans="6:37" ht="18.75" customHeight="1">
      <c r="F240" s="13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</row>
    <row r="241" spans="6:37" ht="18.75" customHeight="1">
      <c r="F241" s="13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</row>
    <row r="242" spans="6:37" ht="18.75" customHeight="1">
      <c r="F242" s="13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</row>
    <row r="243" spans="6:37" ht="18.75" customHeight="1">
      <c r="F243" s="13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</row>
    <row r="244" spans="6:37" ht="18.75" customHeight="1">
      <c r="F244" s="13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</row>
    <row r="245" spans="6:37" ht="18.75" customHeight="1">
      <c r="F245" s="13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</row>
    <row r="246" spans="6:37" ht="18.75" customHeight="1">
      <c r="F246" s="13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</row>
    <row r="247" spans="6:37" ht="18.75" customHeight="1">
      <c r="F247" s="13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</row>
    <row r="248" spans="6:37" ht="18.75" customHeight="1">
      <c r="F248" s="13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</row>
    <row r="249" spans="6:37" ht="18.75" customHeight="1">
      <c r="F249" s="13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</row>
    <row r="250" spans="6:37" ht="18.75" customHeight="1">
      <c r="F250" s="13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</row>
    <row r="251" spans="6:37" ht="18.75" customHeight="1">
      <c r="F251" s="13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</row>
    <row r="252" spans="6:37" ht="18.75" customHeight="1">
      <c r="F252" s="13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</row>
    <row r="253" spans="6:37" ht="18.75" customHeight="1">
      <c r="F253" s="13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</row>
    <row r="254" spans="6:37" ht="18.75" customHeight="1">
      <c r="F254" s="13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</row>
    <row r="255" spans="6:37" ht="18.75" customHeight="1">
      <c r="F255" s="13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</row>
    <row r="256" spans="6:37" ht="18.75" customHeight="1">
      <c r="F256" s="13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</row>
    <row r="257" spans="6:37" ht="18.75" customHeight="1">
      <c r="F257" s="13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</row>
    <row r="258" spans="6:37" ht="18.75" customHeight="1">
      <c r="F258" s="13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</row>
    <row r="259" spans="6:37" ht="18.75" customHeight="1">
      <c r="F259" s="13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</row>
    <row r="260" spans="6:37" ht="18.75" customHeight="1">
      <c r="F260" s="13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</row>
    <row r="261" spans="6:37" ht="18.75" customHeight="1">
      <c r="F261" s="13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</row>
    <row r="262" spans="6:37" ht="18.75" customHeight="1">
      <c r="F262" s="13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</row>
    <row r="263" spans="6:37" ht="18.75" customHeight="1">
      <c r="F263" s="13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</row>
    <row r="264" spans="6:37" ht="18.75" customHeight="1">
      <c r="F264" s="13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</row>
    <row r="265" spans="6:37" ht="18.75" customHeight="1">
      <c r="F265" s="13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</row>
    <row r="266" spans="6:37" ht="18.75" customHeight="1">
      <c r="F266" s="13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</row>
    <row r="267" spans="6:37" ht="18.75" customHeight="1">
      <c r="F267" s="13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</row>
    <row r="268" spans="6:37" ht="18.75" customHeight="1">
      <c r="F268" s="13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</row>
    <row r="269" spans="6:37" ht="18.75" customHeight="1">
      <c r="F269" s="13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</row>
    <row r="270" spans="6:37" ht="18.75" customHeight="1">
      <c r="F270" s="13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</row>
    <row r="271" spans="6:37" ht="18.75" customHeight="1">
      <c r="F271" s="13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</row>
    <row r="272" spans="6:37" ht="18.75" customHeight="1">
      <c r="F272" s="13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</row>
    <row r="273" spans="6:37" ht="18.75" customHeight="1">
      <c r="F273" s="13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</row>
    <row r="274" spans="6:37" ht="18.75" customHeight="1">
      <c r="F274" s="13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</row>
    <row r="275" spans="6:37" ht="18.75" customHeight="1">
      <c r="F275" s="13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</row>
    <row r="276" spans="6:37" ht="18.75" customHeight="1">
      <c r="F276" s="13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</row>
    <row r="277" spans="6:37" ht="18.75" customHeight="1">
      <c r="F277" s="13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</row>
    <row r="278" spans="6:37" ht="18.75" customHeight="1">
      <c r="F278" s="13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</row>
    <row r="279" spans="6:37" ht="18.75" customHeight="1">
      <c r="F279" s="13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</row>
    <row r="280" spans="6:37" ht="18.75" customHeight="1">
      <c r="F280" s="13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</row>
    <row r="281" spans="6:37" ht="18.75" customHeight="1">
      <c r="F281" s="13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</row>
    <row r="282" spans="6:37" ht="18.75" customHeight="1">
      <c r="F282" s="13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</row>
    <row r="283" spans="6:37" ht="18.75" customHeight="1">
      <c r="F283" s="13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</row>
    <row r="284" spans="6:37" ht="18.75" customHeight="1">
      <c r="F284" s="13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</row>
    <row r="285" spans="6:37" ht="18.75" customHeight="1">
      <c r="F285" s="13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</row>
    <row r="286" spans="6:37" ht="18.75" customHeight="1">
      <c r="F286" s="13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</row>
    <row r="287" spans="6:37" ht="18.75" customHeight="1">
      <c r="F287" s="13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</row>
    <row r="288" spans="6:37" ht="18.75" customHeight="1">
      <c r="F288" s="13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</row>
    <row r="289" spans="6:37" ht="18.75" customHeight="1">
      <c r="F289" s="13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</row>
    <row r="290" spans="6:37" ht="18.75" customHeight="1">
      <c r="F290" s="13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</row>
    <row r="291" spans="6:37" ht="18.75" customHeight="1">
      <c r="F291" s="13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</row>
    <row r="292" spans="6:37" ht="18.75" customHeight="1">
      <c r="F292" s="13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</row>
    <row r="293" spans="6:37" ht="18.75" customHeight="1">
      <c r="F293" s="13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</row>
    <row r="294" spans="6:37" ht="18.75" customHeight="1">
      <c r="F294" s="13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</row>
    <row r="295" spans="6:37" ht="18.75" customHeight="1">
      <c r="F295" s="13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</row>
    <row r="296" spans="6:37" ht="18.75" customHeight="1">
      <c r="F296" s="13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</row>
    <row r="297" spans="6:37" ht="18.75" customHeight="1">
      <c r="F297" s="13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</row>
    <row r="298" spans="6:37" ht="18.75" customHeight="1">
      <c r="F298" s="13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</row>
    <row r="299" spans="6:37" ht="18.75" customHeight="1">
      <c r="F299" s="13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</row>
    <row r="300" spans="6:37" ht="18.75" customHeight="1">
      <c r="F300" s="13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</row>
    <row r="301" spans="6:37" ht="18.75" customHeight="1">
      <c r="F301" s="13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</row>
    <row r="302" spans="6:37" ht="18.75" customHeight="1">
      <c r="F302" s="13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</row>
    <row r="303" spans="6:37" ht="18.75" customHeight="1">
      <c r="F303" s="13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</row>
    <row r="304" spans="6:37" ht="18.75" customHeight="1">
      <c r="F304" s="13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</row>
    <row r="305" spans="6:37" ht="18.75" customHeight="1">
      <c r="F305" s="13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</row>
    <row r="306" spans="6:37" ht="18.75" customHeight="1">
      <c r="F306" s="13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</row>
    <row r="307" spans="6:37" ht="18.75" customHeight="1">
      <c r="F307" s="13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</row>
    <row r="308" spans="6:37" ht="18.75" customHeight="1">
      <c r="F308" s="13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</row>
    <row r="309" spans="6:37" ht="18.75" customHeight="1">
      <c r="F309" s="13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</row>
    <row r="310" spans="6:37" ht="18.75" customHeight="1">
      <c r="F310" s="13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</row>
    <row r="311" spans="6:37" ht="18.75" customHeight="1">
      <c r="F311" s="13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</row>
    <row r="312" spans="6:37" ht="18.75" customHeight="1">
      <c r="F312" s="13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</row>
    <row r="313" spans="6:37" ht="18.75" customHeight="1">
      <c r="F313" s="13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</row>
    <row r="314" spans="6:37" ht="18.75" customHeight="1">
      <c r="F314" s="13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</row>
    <row r="315" spans="6:37" ht="18.75" customHeight="1">
      <c r="F315" s="13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</row>
    <row r="316" spans="6:37" ht="18.75" customHeight="1">
      <c r="F316" s="13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</row>
    <row r="317" spans="6:37" ht="18.75" customHeight="1">
      <c r="F317" s="13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</row>
    <row r="318" spans="6:37" ht="18.75" customHeight="1">
      <c r="F318" s="13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</row>
    <row r="319" spans="6:37" ht="18.75" customHeight="1">
      <c r="F319" s="13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</row>
    <row r="320" spans="6:37" ht="18.75" customHeight="1">
      <c r="F320" s="13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</row>
    <row r="321" spans="6:37" ht="18.75" customHeight="1">
      <c r="F321" s="13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</row>
    <row r="322" spans="6:37" ht="18.75" customHeight="1">
      <c r="F322" s="13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</row>
    <row r="323" spans="6:37" ht="18.75" customHeight="1">
      <c r="F323" s="13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</row>
    <row r="324" spans="6:37" ht="18.75" customHeight="1">
      <c r="F324" s="13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</row>
    <row r="325" spans="6:37" ht="18.75" customHeight="1">
      <c r="F325" s="13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</row>
    <row r="326" spans="6:37" ht="18.75" customHeight="1">
      <c r="F326" s="13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</row>
    <row r="327" spans="6:37" ht="18.75" customHeight="1">
      <c r="F327" s="13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</row>
    <row r="328" spans="6:37" ht="18.75" customHeight="1">
      <c r="F328" s="13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</row>
    <row r="329" spans="6:37" ht="18.75" customHeight="1">
      <c r="F329" s="13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</row>
    <row r="330" spans="6:37" ht="18.75" customHeight="1">
      <c r="F330" s="13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</row>
    <row r="331" spans="6:37" ht="18.75" customHeight="1">
      <c r="F331" s="13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</row>
    <row r="332" spans="6:37" ht="18.75" customHeight="1">
      <c r="F332" s="13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</row>
    <row r="333" spans="6:37" ht="18.75" customHeight="1">
      <c r="F333" s="13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</row>
    <row r="334" spans="6:37" ht="18.75" customHeight="1">
      <c r="F334" s="13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</row>
    <row r="335" spans="6:37" ht="18.75" customHeight="1">
      <c r="F335" s="13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</row>
    <row r="336" spans="6:37" ht="18.75" customHeight="1">
      <c r="F336" s="13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</row>
    <row r="337" spans="6:37" ht="18.75" customHeight="1">
      <c r="F337" s="13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</row>
    <row r="338" spans="6:37" ht="18.75" customHeight="1">
      <c r="F338" s="13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</row>
    <row r="339" spans="6:37" ht="18.75" customHeight="1">
      <c r="F339" s="13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</row>
    <row r="340" spans="6:37" ht="18.75" customHeight="1">
      <c r="F340" s="13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</row>
    <row r="341" spans="6:37" ht="18.75" customHeight="1">
      <c r="F341" s="13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</row>
    <row r="342" spans="6:37" ht="18.75" customHeight="1">
      <c r="F342" s="13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</row>
    <row r="343" spans="6:37" ht="18.75" customHeight="1">
      <c r="F343" s="13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</row>
    <row r="344" spans="6:37" ht="18.75" customHeight="1">
      <c r="F344" s="13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</row>
    <row r="345" spans="6:37" ht="18.75" customHeight="1">
      <c r="F345" s="13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</row>
    <row r="346" spans="6:37" ht="18.75" customHeight="1">
      <c r="F346" s="13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</row>
    <row r="347" spans="6:37" ht="18.75" customHeight="1">
      <c r="F347" s="13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</row>
    <row r="348" spans="6:37" ht="18.75" customHeight="1">
      <c r="F348" s="13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</row>
    <row r="349" spans="6:37" ht="18.75" customHeight="1">
      <c r="F349" s="13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</row>
    <row r="350" spans="6:37" ht="18.75" customHeight="1">
      <c r="F350" s="13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</row>
    <row r="351" spans="6:37" ht="18.75" customHeight="1">
      <c r="F351" s="13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</row>
    <row r="352" spans="6:37" ht="18.75" customHeight="1">
      <c r="F352" s="13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</row>
    <row r="353" spans="6:37" ht="18.75" customHeight="1">
      <c r="F353" s="13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</row>
    <row r="354" spans="6:37" ht="18.75" customHeight="1">
      <c r="F354" s="13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</row>
    <row r="355" spans="6:37" ht="18.75" customHeight="1">
      <c r="F355" s="13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</row>
    <row r="356" spans="6:37" ht="18.75" customHeight="1">
      <c r="F356" s="13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</row>
    <row r="357" spans="6:37" ht="18.75" customHeight="1">
      <c r="F357" s="13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</row>
    <row r="358" spans="6:37" ht="18.75" customHeight="1">
      <c r="F358" s="13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</row>
    <row r="359" spans="6:37" ht="18.75" customHeight="1">
      <c r="F359" s="13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</row>
    <row r="360" spans="6:37" ht="18.75" customHeight="1">
      <c r="F360" s="13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</row>
    <row r="361" spans="6:37" ht="18.75" customHeight="1">
      <c r="F361" s="13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</row>
    <row r="362" spans="6:37" ht="18.75" customHeight="1">
      <c r="F362" s="13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</row>
    <row r="363" spans="6:37" ht="18.75" customHeight="1">
      <c r="F363" s="13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</row>
    <row r="364" spans="6:37" ht="18.75" customHeight="1">
      <c r="F364" s="13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</row>
    <row r="365" spans="6:37" ht="18.75" customHeight="1">
      <c r="F365" s="13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</row>
    <row r="366" spans="6:37" ht="18.75" customHeight="1">
      <c r="F366" s="13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</row>
    <row r="367" spans="6:37" ht="18.75" customHeight="1">
      <c r="F367" s="13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</row>
    <row r="368" spans="6:37" ht="18.75" customHeight="1">
      <c r="F368" s="13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</row>
    <row r="369" spans="6:37" ht="18.75" customHeight="1">
      <c r="F369" s="13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</row>
    <row r="370" spans="6:37" ht="18.75" customHeight="1">
      <c r="F370" s="13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</row>
    <row r="371" spans="6:37" ht="18.75" customHeight="1">
      <c r="F371" s="13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</row>
    <row r="372" spans="6:37" ht="18.75" customHeight="1">
      <c r="F372" s="13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</row>
    <row r="373" spans="6:37" ht="18.75" customHeight="1">
      <c r="F373" s="13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</row>
    <row r="374" spans="6:37" ht="18.75" customHeight="1">
      <c r="F374" s="13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</row>
    <row r="375" spans="6:37" ht="18.75" customHeight="1">
      <c r="F375" s="13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</row>
    <row r="376" spans="6:37" ht="18.75" customHeight="1">
      <c r="F376" s="13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</row>
    <row r="377" spans="6:37" ht="18.75" customHeight="1">
      <c r="F377" s="13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</row>
    <row r="378" spans="6:37" ht="18.75" customHeight="1">
      <c r="F378" s="13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</row>
    <row r="379" spans="6:37" ht="18.75" customHeight="1">
      <c r="F379" s="13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</row>
    <row r="380" spans="6:37" ht="18.75" customHeight="1">
      <c r="F380" s="13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</row>
    <row r="381" spans="6:37" ht="18.75" customHeight="1">
      <c r="F381" s="13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</row>
    <row r="382" spans="6:37" ht="18.75" customHeight="1">
      <c r="F382" s="13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</row>
    <row r="383" spans="6:37" ht="18.75" customHeight="1">
      <c r="F383" s="13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</row>
    <row r="384" spans="6:37" ht="18.75" customHeight="1">
      <c r="F384" s="13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</row>
    <row r="385" spans="6:37" ht="18.75" customHeight="1">
      <c r="F385" s="13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</row>
    <row r="386" spans="6:37" ht="18.75" customHeight="1">
      <c r="F386" s="13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</row>
    <row r="387" spans="6:37" ht="18.75" customHeight="1">
      <c r="F387" s="13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</row>
    <row r="388" spans="6:37" ht="18.75" customHeight="1">
      <c r="F388" s="13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</row>
    <row r="389" spans="6:37" ht="18.75" customHeight="1">
      <c r="F389" s="13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</row>
    <row r="390" spans="6:37" ht="18.75" customHeight="1">
      <c r="F390" s="13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</row>
    <row r="391" spans="6:37" ht="18.75" customHeight="1">
      <c r="F391" s="13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</row>
    <row r="392" spans="6:37" ht="18.75" customHeight="1">
      <c r="F392" s="13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</row>
    <row r="393" spans="6:37" ht="18.75" customHeight="1">
      <c r="F393" s="13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</row>
    <row r="394" spans="6:37" ht="18.75" customHeight="1">
      <c r="F394" s="13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</row>
    <row r="395" spans="6:37" ht="18.75" customHeight="1">
      <c r="F395" s="13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</row>
    <row r="396" spans="6:37" ht="18.75" customHeight="1">
      <c r="F396" s="13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</row>
    <row r="397" spans="6:37" ht="18.75" customHeight="1">
      <c r="F397" s="13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</row>
    <row r="398" spans="6:37" ht="18.75" customHeight="1">
      <c r="F398" s="13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</row>
    <row r="399" spans="6:37" ht="18.75" customHeight="1">
      <c r="F399" s="13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</row>
    <row r="400" spans="6:37" ht="18.75" customHeight="1">
      <c r="F400" s="13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</row>
    <row r="401" spans="6:37" ht="18.75" customHeight="1">
      <c r="F401" s="13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</row>
    <row r="402" spans="6:37" ht="18.75" customHeight="1">
      <c r="F402" s="13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</row>
    <row r="403" spans="6:37" ht="18.75" customHeight="1">
      <c r="F403" s="13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</row>
    <row r="404" spans="6:37" ht="18.75" customHeight="1">
      <c r="F404" s="13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</row>
    <row r="405" spans="6:37" ht="18.75" customHeight="1">
      <c r="F405" s="13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</row>
    <row r="406" spans="6:37" ht="18.75" customHeight="1">
      <c r="F406" s="13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</row>
    <row r="407" spans="6:37" ht="18.75" customHeight="1">
      <c r="F407" s="13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</row>
    <row r="408" spans="6:37" ht="18.75" customHeight="1">
      <c r="F408" s="13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</row>
    <row r="409" spans="6:37" ht="18.75" customHeight="1">
      <c r="F409" s="13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</row>
    <row r="410" spans="6:37" ht="18.75" customHeight="1">
      <c r="F410" s="13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</row>
    <row r="411" spans="6:37" ht="18.75" customHeight="1">
      <c r="F411" s="13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</row>
    <row r="412" spans="6:37" ht="18.75" customHeight="1">
      <c r="F412" s="13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</row>
    <row r="413" spans="6:37" ht="18.75" customHeight="1">
      <c r="F413" s="13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</row>
    <row r="414" spans="6:37" ht="18.75" customHeight="1">
      <c r="F414" s="13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</row>
    <row r="415" spans="6:37" ht="18.75" customHeight="1">
      <c r="F415" s="13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</row>
    <row r="416" spans="6:37" ht="18.75" customHeight="1">
      <c r="F416" s="13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</row>
    <row r="417" spans="6:37" ht="18.75" customHeight="1">
      <c r="F417" s="13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</row>
    <row r="418" spans="6:37" ht="18.75" customHeight="1">
      <c r="F418" s="13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</row>
    <row r="419" spans="6:37" ht="18.75" customHeight="1">
      <c r="F419" s="13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</row>
    <row r="420" spans="6:37" ht="18.75" customHeight="1">
      <c r="F420" s="13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</row>
    <row r="421" spans="6:37" ht="18.75" customHeight="1">
      <c r="F421" s="13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</row>
    <row r="422" spans="6:37" ht="18.75" customHeight="1">
      <c r="F422" s="13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</row>
    <row r="423" spans="6:37" ht="18.75" customHeight="1">
      <c r="F423" s="13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</row>
    <row r="424" spans="6:37" ht="18.75" customHeight="1">
      <c r="F424" s="13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</row>
    <row r="425" spans="6:37" ht="18.75" customHeight="1">
      <c r="F425" s="13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</row>
    <row r="426" spans="6:37" ht="18.75" customHeight="1">
      <c r="F426" s="13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</row>
    <row r="427" spans="6:37" ht="18.75" customHeight="1">
      <c r="F427" s="13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</row>
    <row r="428" spans="6:37" ht="18.75" customHeight="1">
      <c r="F428" s="13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</row>
    <row r="429" spans="6:37" ht="18.75" customHeight="1">
      <c r="F429" s="13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</row>
    <row r="430" spans="6:37" ht="18.75" customHeight="1">
      <c r="F430" s="13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</row>
    <row r="431" spans="6:37" ht="18.75" customHeight="1">
      <c r="F431" s="13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</row>
    <row r="432" spans="6:37" ht="18.75" customHeight="1">
      <c r="F432" s="13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</row>
    <row r="433" spans="6:37" ht="18.75" customHeight="1">
      <c r="F433" s="13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</row>
    <row r="434" spans="6:37" ht="18.75" customHeight="1">
      <c r="F434" s="13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</row>
    <row r="435" spans="6:37" ht="18.75" customHeight="1">
      <c r="F435" s="13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</row>
    <row r="436" spans="6:37" ht="18.75" customHeight="1">
      <c r="F436" s="13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</row>
    <row r="437" spans="6:37" ht="18.75" customHeight="1">
      <c r="F437" s="13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</row>
    <row r="438" spans="6:37" ht="18.75" customHeight="1">
      <c r="F438" s="13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</row>
    <row r="439" spans="6:37" ht="18.75" customHeight="1">
      <c r="F439" s="13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</row>
    <row r="440" spans="6:37" ht="18.75" customHeight="1">
      <c r="F440" s="13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</row>
    <row r="441" spans="6:37" ht="18.75" customHeight="1">
      <c r="F441" s="13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</row>
    <row r="442" spans="6:37" ht="18.75" customHeight="1">
      <c r="F442" s="13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</row>
    <row r="443" spans="6:37" ht="18.75" customHeight="1">
      <c r="F443" s="13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</row>
    <row r="444" spans="6:37" ht="18.75" customHeight="1">
      <c r="F444" s="13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</row>
    <row r="445" spans="6:37" ht="18.75" customHeight="1">
      <c r="F445" s="13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</row>
    <row r="446" spans="6:37" ht="18.75" customHeight="1">
      <c r="F446" s="13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</row>
    <row r="447" spans="6:37" ht="18.75" customHeight="1">
      <c r="F447" s="13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</row>
    <row r="448" spans="6:37" ht="18.75" customHeight="1">
      <c r="F448" s="13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</row>
    <row r="449" spans="6:37" ht="18.75" customHeight="1">
      <c r="F449" s="13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</row>
    <row r="450" spans="6:37" ht="18.75" customHeight="1">
      <c r="F450" s="13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</row>
    <row r="451" spans="6:37" ht="18.75" customHeight="1">
      <c r="F451" s="13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</row>
    <row r="452" spans="6:37" ht="18.75" customHeight="1">
      <c r="F452" s="13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</row>
    <row r="453" spans="6:37" ht="18.75" customHeight="1">
      <c r="F453" s="13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</row>
    <row r="454" spans="6:37" ht="18.75" customHeight="1">
      <c r="F454" s="13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</row>
    <row r="455" spans="6:37" ht="18.75" customHeight="1">
      <c r="F455" s="13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</row>
    <row r="456" spans="6:37" ht="18.75" customHeight="1">
      <c r="F456" s="13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</row>
    <row r="457" spans="6:37" ht="18.75" customHeight="1">
      <c r="F457" s="13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</row>
    <row r="458" spans="6:37" ht="18.75" customHeight="1">
      <c r="F458" s="13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</row>
    <row r="459" spans="6:37" ht="18.75" customHeight="1">
      <c r="F459" s="13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</row>
    <row r="460" spans="6:37" ht="18.75" customHeight="1">
      <c r="F460" s="13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</row>
    <row r="461" spans="6:37" ht="18.75" customHeight="1">
      <c r="F461" s="13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</row>
    <row r="462" spans="6:37" ht="18.75" customHeight="1">
      <c r="F462" s="13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</row>
    <row r="463" spans="6:37" ht="18.75" customHeight="1">
      <c r="F463" s="13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</row>
    <row r="464" spans="6:37" ht="18.75" customHeight="1">
      <c r="F464" s="13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</row>
    <row r="465" spans="6:37" ht="18.75" customHeight="1">
      <c r="F465" s="13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</row>
    <row r="466" spans="6:37" ht="18.75" customHeight="1">
      <c r="F466" s="13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</row>
    <row r="467" spans="6:37" ht="18.75" customHeight="1">
      <c r="F467" s="13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</row>
    <row r="468" spans="6:37" ht="18.75" customHeight="1">
      <c r="F468" s="13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</row>
    <row r="469" spans="6:37" ht="18.75" customHeight="1">
      <c r="F469" s="13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</row>
    <row r="470" spans="6:37" ht="18.75" customHeight="1">
      <c r="F470" s="13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</row>
    <row r="471" spans="6:37" ht="18.75" customHeight="1">
      <c r="F471" s="13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</row>
    <row r="472" spans="6:37" ht="18.75" customHeight="1">
      <c r="F472" s="13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</row>
    <row r="473" spans="6:37" ht="18.75" customHeight="1">
      <c r="F473" s="13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</row>
    <row r="474" spans="6:37" ht="18.75" customHeight="1">
      <c r="F474" s="13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</row>
    <row r="475" spans="6:37" ht="18.75" customHeight="1">
      <c r="F475" s="13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</row>
    <row r="476" spans="6:37" ht="18.75" customHeight="1">
      <c r="F476" s="13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</row>
    <row r="477" spans="6:37" ht="18.75" customHeight="1">
      <c r="F477" s="13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</row>
    <row r="478" spans="6:37" ht="18.75" customHeight="1">
      <c r="F478" s="13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</row>
    <row r="479" spans="6:37" ht="18.75" customHeight="1">
      <c r="F479" s="13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</row>
    <row r="480" spans="6:37" ht="18.75" customHeight="1">
      <c r="F480" s="13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</row>
    <row r="481" spans="6:37" ht="18.75" customHeight="1">
      <c r="F481" s="13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</row>
    <row r="482" spans="6:37" ht="18.75" customHeight="1">
      <c r="F482" s="13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</row>
    <row r="483" spans="6:37" ht="18.75" customHeight="1">
      <c r="F483" s="13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</row>
    <row r="484" spans="6:37" ht="18.75" customHeight="1">
      <c r="F484" s="13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</row>
    <row r="485" spans="6:37" ht="18.75" customHeight="1">
      <c r="F485" s="13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</row>
    <row r="486" spans="6:37" ht="18.75" customHeight="1">
      <c r="F486" s="13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</row>
    <row r="487" spans="6:37" ht="18.75" customHeight="1">
      <c r="F487" s="13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</row>
    <row r="488" spans="6:37" ht="18.75" customHeight="1">
      <c r="F488" s="13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</row>
    <row r="489" spans="6:37" ht="18.75" customHeight="1">
      <c r="F489" s="13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</row>
    <row r="490" spans="6:37" ht="18.75" customHeight="1">
      <c r="F490" s="13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</row>
    <row r="491" spans="6:37" ht="18.75" customHeight="1">
      <c r="F491" s="13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</row>
    <row r="492" spans="6:37" ht="18.75" customHeight="1">
      <c r="F492" s="13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</row>
    <row r="493" spans="6:37" ht="18.75" customHeight="1">
      <c r="F493" s="13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</row>
    <row r="494" spans="6:37" ht="18.75" customHeight="1">
      <c r="F494" s="13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</row>
    <row r="495" spans="6:37" ht="18.75" customHeight="1">
      <c r="F495" s="13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</row>
    <row r="496" spans="6:37" ht="18.75" customHeight="1">
      <c r="F496" s="13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</row>
    <row r="497" spans="6:37" ht="18.75" customHeight="1">
      <c r="F497" s="13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</row>
    <row r="498" spans="6:37" ht="18.75" customHeight="1">
      <c r="F498" s="13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</row>
    <row r="499" spans="6:37" ht="18.75" customHeight="1">
      <c r="F499" s="13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</row>
    <row r="500" spans="6:37" ht="18.75" customHeight="1">
      <c r="F500" s="13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</row>
    <row r="501" spans="6:37" ht="18.75" customHeight="1">
      <c r="F501" s="13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</row>
    <row r="502" spans="6:37" ht="18.75" customHeight="1">
      <c r="F502" s="13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</row>
    <row r="503" spans="6:37" ht="18.75" customHeight="1">
      <c r="F503" s="13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</row>
    <row r="504" spans="6:37" ht="18.75" customHeight="1">
      <c r="F504" s="13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</row>
    <row r="505" spans="6:37" ht="18.75" customHeight="1">
      <c r="F505" s="13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</row>
    <row r="506" spans="6:37" ht="18.75" customHeight="1">
      <c r="F506" s="13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</row>
    <row r="507" spans="6:37" ht="18.75" customHeight="1">
      <c r="F507" s="13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</row>
    <row r="508" spans="6:37" ht="18.75" customHeight="1">
      <c r="F508" s="13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</row>
    <row r="509" spans="6:37" ht="18.75" customHeight="1">
      <c r="F509" s="13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</row>
    <row r="510" spans="6:37" ht="18.75" customHeight="1">
      <c r="F510" s="13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</row>
    <row r="511" spans="6:37" ht="18.75" customHeight="1">
      <c r="F511" s="13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</row>
    <row r="512" spans="6:37" ht="18.75" customHeight="1">
      <c r="F512" s="13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</row>
    <row r="513" spans="6:37" ht="18.75" customHeight="1">
      <c r="F513" s="13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</row>
    <row r="514" spans="6:37" ht="18.75" customHeight="1">
      <c r="F514" s="13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</row>
    <row r="515" spans="6:37" ht="18.75" customHeight="1">
      <c r="F515" s="13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</row>
    <row r="516" spans="6:37" ht="18.75" customHeight="1">
      <c r="F516" s="13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</row>
    <row r="517" spans="6:37" ht="18.75" customHeight="1">
      <c r="F517" s="13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</row>
    <row r="518" spans="6:37" ht="18.75" customHeight="1">
      <c r="F518" s="13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</row>
    <row r="519" spans="6:37" ht="18.75" customHeight="1">
      <c r="F519" s="13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</row>
    <row r="520" spans="6:37" ht="18.75" customHeight="1">
      <c r="F520" s="13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</row>
    <row r="521" spans="6:37" ht="18.75" customHeight="1">
      <c r="F521" s="13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</row>
    <row r="522" spans="6:37" ht="18.75" customHeight="1">
      <c r="F522" s="13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</row>
    <row r="523" spans="6:37" ht="18.75" customHeight="1">
      <c r="F523" s="13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</row>
    <row r="524" spans="6:37" ht="18.75" customHeight="1">
      <c r="F524" s="13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</row>
    <row r="525" spans="6:37" ht="18.75" customHeight="1">
      <c r="F525" s="13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</row>
    <row r="526" spans="6:37" ht="18.75" customHeight="1">
      <c r="F526" s="13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</row>
    <row r="527" spans="6:37" ht="18.75" customHeight="1">
      <c r="F527" s="13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</row>
    <row r="528" spans="6:37" ht="18.75" customHeight="1">
      <c r="F528" s="13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</row>
    <row r="529" spans="6:37" ht="18.75" customHeight="1">
      <c r="F529" s="13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</row>
    <row r="530" spans="6:37" ht="18.75" customHeight="1">
      <c r="F530" s="13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</row>
    <row r="531" spans="6:37" ht="18.75" customHeight="1">
      <c r="F531" s="13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</row>
    <row r="532" spans="6:37" ht="18.75" customHeight="1">
      <c r="F532" s="13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</row>
    <row r="533" spans="6:37" ht="18.75" customHeight="1">
      <c r="F533" s="13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</row>
    <row r="534" spans="6:37" ht="18.75" customHeight="1">
      <c r="F534" s="13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</row>
    <row r="535" spans="6:37" ht="18.75" customHeight="1">
      <c r="F535" s="13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</row>
    <row r="536" spans="6:37" ht="18.75" customHeight="1">
      <c r="F536" s="13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</row>
    <row r="537" spans="6:37" ht="18.75" customHeight="1">
      <c r="F537" s="13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</row>
    <row r="538" spans="6:37" ht="18.75" customHeight="1">
      <c r="F538" s="13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</row>
    <row r="539" spans="6:37" ht="18.75" customHeight="1">
      <c r="F539" s="13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</row>
    <row r="540" spans="6:37" ht="18.75" customHeight="1">
      <c r="F540" s="13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</row>
    <row r="541" spans="6:37" ht="18.75" customHeight="1">
      <c r="F541" s="13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</row>
    <row r="542" spans="6:37" ht="18.75" customHeight="1">
      <c r="F542" s="13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</row>
    <row r="543" spans="6:37" ht="18.75" customHeight="1">
      <c r="F543" s="13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</row>
    <row r="544" spans="6:37" ht="18.75" customHeight="1">
      <c r="F544" s="13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</row>
    <row r="545" spans="6:37" ht="18.75" customHeight="1">
      <c r="F545" s="13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</row>
    <row r="546" spans="6:37" ht="18.75" customHeight="1">
      <c r="F546" s="13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</row>
    <row r="547" spans="6:37" ht="18.75" customHeight="1">
      <c r="F547" s="13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</row>
    <row r="548" spans="6:37" ht="18.75" customHeight="1">
      <c r="F548" s="13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</row>
    <row r="549" spans="6:37" ht="18.75" customHeight="1">
      <c r="F549" s="13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</row>
    <row r="550" spans="6:37" ht="18.75" customHeight="1">
      <c r="F550" s="13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</row>
    <row r="551" spans="6:37" ht="18.75" customHeight="1">
      <c r="F551" s="13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</row>
    <row r="552" spans="6:37" ht="18.75" customHeight="1">
      <c r="F552" s="13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</row>
    <row r="553" spans="6:37" ht="18.75" customHeight="1">
      <c r="F553" s="13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</row>
    <row r="554" spans="6:37" ht="18.75" customHeight="1">
      <c r="F554" s="13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</row>
    <row r="555" spans="6:37" ht="18.75" customHeight="1">
      <c r="F555" s="13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</row>
    <row r="556" spans="6:37" ht="18.75" customHeight="1">
      <c r="F556" s="13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</row>
    <row r="557" spans="6:37" ht="18.75" customHeight="1">
      <c r="F557" s="13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</row>
    <row r="558" spans="6:37" ht="18.75" customHeight="1">
      <c r="F558" s="13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</row>
    <row r="559" spans="6:37" ht="18.75" customHeight="1">
      <c r="F559" s="13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</row>
    <row r="560" spans="6:37" ht="18.75" customHeight="1">
      <c r="F560" s="13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</row>
    <row r="561" spans="6:37" ht="18.75" customHeight="1">
      <c r="F561" s="13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</row>
    <row r="562" spans="6:37" ht="18.75" customHeight="1">
      <c r="F562" s="13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</row>
    <row r="563" spans="6:37" ht="18.75" customHeight="1">
      <c r="F563" s="13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</row>
    <row r="564" spans="6:37" ht="18.75" customHeight="1">
      <c r="F564" s="13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</row>
    <row r="565" spans="6:37" ht="18.75" customHeight="1">
      <c r="F565" s="13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</row>
    <row r="566" spans="6:37" ht="18.75" customHeight="1">
      <c r="F566" s="13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</row>
    <row r="567" spans="6:37" ht="18.75" customHeight="1">
      <c r="F567" s="13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</row>
    <row r="568" spans="6:37" ht="18.75" customHeight="1">
      <c r="F568" s="13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</row>
    <row r="569" spans="6:37" ht="18.75" customHeight="1">
      <c r="F569" s="13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</row>
    <row r="570" spans="6:37" ht="18.75" customHeight="1">
      <c r="F570" s="13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</row>
    <row r="571" spans="6:37" ht="18.75" customHeight="1">
      <c r="F571" s="13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</row>
    <row r="572" spans="6:37" ht="18.75" customHeight="1">
      <c r="F572" s="13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</row>
    <row r="573" spans="6:37" ht="18.75" customHeight="1">
      <c r="F573" s="13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</row>
    <row r="574" spans="6:37" ht="18.75" customHeight="1">
      <c r="F574" s="13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</row>
    <row r="575" spans="6:37" ht="18.75" customHeight="1">
      <c r="F575" s="13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</row>
    <row r="576" spans="6:37" ht="18.75" customHeight="1">
      <c r="F576" s="13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</row>
    <row r="577" spans="6:37" ht="18.75" customHeight="1">
      <c r="F577" s="13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</row>
    <row r="578" spans="6:37" ht="18.75" customHeight="1">
      <c r="F578" s="13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</row>
    <row r="579" spans="6:37" ht="18.75" customHeight="1">
      <c r="F579" s="13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</row>
    <row r="580" spans="6:37" ht="18.75" customHeight="1">
      <c r="F580" s="13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</row>
    <row r="581" spans="6:37" ht="18.75" customHeight="1">
      <c r="F581" s="13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</row>
    <row r="582" spans="6:37" ht="18.75" customHeight="1">
      <c r="F582" s="13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</row>
    <row r="583" spans="6:37" ht="18.75" customHeight="1">
      <c r="F583" s="13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</row>
    <row r="584" spans="6:37" ht="18.75" customHeight="1">
      <c r="F584" s="13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</row>
    <row r="585" spans="6:37" ht="18.75" customHeight="1">
      <c r="F585" s="13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</row>
    <row r="586" spans="6:37" ht="18.75" customHeight="1">
      <c r="F586" s="13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</row>
    <row r="587" spans="6:37" ht="18.75" customHeight="1">
      <c r="F587" s="13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</row>
    <row r="588" spans="6:37" ht="18.75" customHeight="1">
      <c r="F588" s="13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</row>
    <row r="589" spans="6:37" ht="18.75" customHeight="1">
      <c r="F589" s="13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</row>
    <row r="590" spans="6:37" ht="18.75" customHeight="1">
      <c r="F590" s="13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</row>
    <row r="591" spans="6:37" ht="18.75" customHeight="1">
      <c r="F591" s="13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</row>
    <row r="592" spans="6:37" ht="18.75" customHeight="1">
      <c r="F592" s="13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</row>
    <row r="593" spans="6:37" ht="18.75" customHeight="1">
      <c r="F593" s="13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</row>
    <row r="594" spans="6:37" ht="18.75" customHeight="1">
      <c r="F594" s="13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</row>
    <row r="595" spans="6:37" ht="18.75" customHeight="1">
      <c r="F595" s="13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</row>
  </sheetData>
  <mergeCells count="11">
    <mergeCell ref="A29:E31"/>
    <mergeCell ref="AB4:AH4"/>
    <mergeCell ref="AI4:AO4"/>
    <mergeCell ref="B6:E6"/>
    <mergeCell ref="A10:A24"/>
    <mergeCell ref="A25:A28"/>
    <mergeCell ref="B4:E5"/>
    <mergeCell ref="F4:F7"/>
    <mergeCell ref="G4:M4"/>
    <mergeCell ref="N4:T4"/>
    <mergeCell ref="U4:AA4"/>
  </mergeCells>
  <conditionalFormatting sqref="A4:AO4 B5:AO5 A23:A28 F23:AO28 A29:AO31">
    <cfRule type="expression" dxfId="220" priority="49">
      <formula>OR(ISNUMBER(SEARCH("PPP 1",A4)),ISNUMBER(SEARCH("PPP 2",A4)))</formula>
    </cfRule>
    <cfRule type="expression" dxfId="219" priority="50">
      <formula>ISNUMBER(SEARCH("FORM",A4))</formula>
    </cfRule>
    <cfRule type="expression" dxfId="218" priority="51">
      <formula>ISNUMBER(SEARCH("ASA",A4))</formula>
    </cfRule>
    <cfRule type="expression" dxfId="217" priority="52">
      <formula>OR(ISNUMBER(SEARCH("ATM",A4)),ISNUMBER(SEARCH("ATA",A4)))</formula>
    </cfRule>
    <cfRule type="expression" dxfId="216" priority="53">
      <formula>ISNUMBER(SEARCH("TP",A4))</formula>
    </cfRule>
    <cfRule type="expression" dxfId="215" priority="54">
      <formula>ISNUMBER(SEARCH("CSE",A4))</formula>
    </cfRule>
    <cfRule type="expression" dxfId="214" priority="55">
      <formula>ISNUMBER(SEARCH("JOK",A4))</formula>
    </cfRule>
  </conditionalFormatting>
  <conditionalFormatting sqref="A4:AO4 B5:AO5 F23:AO28 A29:AO31 A23:A28">
    <cfRule type="expression" dxfId="213" priority="48">
      <formula>ISNUMBER(SEARCH("JOK",A4))</formula>
    </cfRule>
  </conditionalFormatting>
  <conditionalFormatting sqref="A6:AO22 N6:N24 F8:M24 O14:AH24 AM21:AO24 AI23:AL24 F25:AH31">
    <cfRule type="expression" dxfId="212" priority="190">
      <formula>OR(ISNUMBER(SEARCH("PPP 1",A6)),ISNUMBER(SEARCH("PPP 2",A6)))</formula>
    </cfRule>
    <cfRule type="expression" dxfId="211" priority="191">
      <formula>ISNUMBER(SEARCH("FORM",A6))</formula>
    </cfRule>
    <cfRule type="expression" dxfId="210" priority="192">
      <formula>ISNUMBER(SEARCH("ASA",A6))</formula>
    </cfRule>
    <cfRule type="expression" dxfId="209" priority="193">
      <formula>OR(ISNUMBER(SEARCH("ATM",A6)),ISNUMBER(SEARCH("ATA",A6)))</formula>
    </cfRule>
    <cfRule type="expression" dxfId="208" priority="194">
      <formula>ISNUMBER(SEARCH("TP",A6))</formula>
    </cfRule>
    <cfRule type="expression" dxfId="207" priority="195">
      <formula>ISNUMBER(SEARCH("CSE",A6))</formula>
    </cfRule>
  </conditionalFormatting>
  <conditionalFormatting sqref="B8:E28">
    <cfRule type="expression" dxfId="206" priority="45">
      <formula>ISNUMBER(SEARCH("MRP",$B8))</formula>
    </cfRule>
  </conditionalFormatting>
  <conditionalFormatting sqref="F25:AH31 A6:AO22 N6:N24 F8:M24 O14:AH24 AM21:AO24 AI23:AL24">
    <cfRule type="expression" dxfId="205" priority="189">
      <formula>ISNUMBER(SEARCH("JOK",A6))</formula>
    </cfRule>
  </conditionalFormatting>
  <conditionalFormatting sqref="G27:K27">
    <cfRule type="expression" dxfId="204" priority="203">
      <formula>OR(ISNUMBER(SEARCH("PPP 1",G27)),ISNUMBER(SEARCH("PPP 2",G27)))</formula>
    </cfRule>
    <cfRule type="expression" dxfId="203" priority="204">
      <formula>ISNUMBER(SEARCH("FORM",G27))</formula>
    </cfRule>
    <cfRule type="expression" dxfId="202" priority="205">
      <formula>ISNUMBER(SEARCH("ASA",G27))</formula>
    </cfRule>
    <cfRule type="expression" dxfId="201" priority="206">
      <formula>OR(ISNUMBER(SEARCH("ATM",G27)),ISNUMBER(SEARCH("ATA",G27)))</formula>
    </cfRule>
    <cfRule type="expression" dxfId="200" priority="207">
      <formula>ISNUMBER(SEARCH("TP",G27))</formula>
    </cfRule>
    <cfRule type="expression" dxfId="199" priority="208">
      <formula>ISNUMBER(SEARCH("CSE",G27))</formula>
    </cfRule>
    <cfRule type="expression" dxfId="198" priority="209">
      <formula>OR(ISNUMBER(SEARCH("CA",G27)),ISNUMBER(SEARCH("RC",G27)))</formula>
    </cfRule>
  </conditionalFormatting>
  <conditionalFormatting sqref="G25:AH28 N6:N24 F8:M24 O8:AH24 AM21:AO24 AI23:AL24 L29:M29 S29:T29 V29:V31">
    <cfRule type="expression" dxfId="197" priority="217">
      <formula>OR(ISNUMBER(SEARCH("PPP 1",F6)),ISNUMBER(SEARCH("PPP 2",F6)))</formula>
    </cfRule>
  </conditionalFormatting>
  <conditionalFormatting sqref="G4:AO31 F25:AH31 F8:M24">
    <cfRule type="expression" dxfId="196" priority="210">
      <formula>OR(ISNUMBER(SEARCH("CA",F4)),ISNUMBER(SEARCH("RC",F4)))</formula>
    </cfRule>
  </conditionalFormatting>
  <conditionalFormatting sqref="G4:AO31">
    <cfRule type="expression" dxfId="195" priority="46">
      <formula>ISNUMBER(SEARCH("CA/RC ?",G4))</formula>
    </cfRule>
  </conditionalFormatting>
  <conditionalFormatting sqref="G40:AO40">
    <cfRule type="iconSet" priority="47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L7">
    <cfRule type="expression" dxfId="194" priority="56">
      <formula>OR(ISNUMBER(SEARCH("PPP 1",L7)),ISNUMBER(SEARCH("PPP 2",L7)))</formula>
    </cfRule>
    <cfRule type="expression" dxfId="193" priority="57">
      <formula>ISNUMBER(SEARCH("FORM",L7))</formula>
    </cfRule>
    <cfRule type="expression" dxfId="192" priority="58">
      <formula>ISNUMBER(SEARCH("ASA",L7))</formula>
    </cfRule>
    <cfRule type="expression" dxfId="191" priority="59">
      <formula>OR(ISNUMBER(SEARCH("ATM",L7)),ISNUMBER(SEARCH("ATA",L7)))</formula>
    </cfRule>
    <cfRule type="expression" dxfId="190" priority="60">
      <formula>ISNUMBER(SEARCH("TP",L7))</formula>
    </cfRule>
    <cfRule type="expression" dxfId="189" priority="61">
      <formula>ISNUMBER(SEARCH("CSE",L7))</formula>
    </cfRule>
    <cfRule type="expression" dxfId="188" priority="62">
      <formula>OR(ISNUMBER(SEARCH("CA",L7)),ISNUMBER(SEARCH("RC",L7)))</formula>
    </cfRule>
    <cfRule type="expression" dxfId="187" priority="63">
      <formula>OR(ISNUMBER(SEARCH("PPP 1",L7)),ISNUMBER(SEARCH("PPP 2",L7)))</formula>
    </cfRule>
    <cfRule type="expression" dxfId="186" priority="64">
      <formula>ISNUMBER(SEARCH("FORM",L7))</formula>
    </cfRule>
    <cfRule type="expression" dxfId="185" priority="65">
      <formula>ISNUMBER(SEARCH("ASA",L7))</formula>
    </cfRule>
    <cfRule type="expression" dxfId="184" priority="66">
      <formula>OR(ISNUMBER(SEARCH("ATM",L7)),ISNUMBER(SEARCH("ATA",L7)))</formula>
    </cfRule>
    <cfRule type="expression" dxfId="183" priority="67">
      <formula>ISNUMBER(SEARCH("TP",L7))</formula>
    </cfRule>
    <cfRule type="expression" dxfId="182" priority="68">
      <formula>ISNUMBER(SEARCH("CSE",L7))</formula>
    </cfRule>
    <cfRule type="expression" dxfId="181" priority="69">
      <formula>OR(ISNUMBER(SEARCH("CA",L7)),ISNUMBER(SEARCH("RC",L7)))</formula>
    </cfRule>
  </conditionalFormatting>
  <conditionalFormatting sqref="L25:M25 L29:M29">
    <cfRule type="expression" dxfId="180" priority="77">
      <formula>OR(ISNUMBER(SEARCH("PPP 1",L25)),ISNUMBER(SEARCH("PPP 2",L25)))</formula>
    </cfRule>
    <cfRule type="expression" dxfId="179" priority="78">
      <formula>ISNUMBER(SEARCH("FORM",L25))</formula>
    </cfRule>
    <cfRule type="expression" dxfId="178" priority="79">
      <formula>ISNUMBER(SEARCH("ASA",L25))</formula>
    </cfRule>
    <cfRule type="expression" dxfId="177" priority="80">
      <formula>OR(ISNUMBER(SEARCH("ATM",L25)),ISNUMBER(SEARCH("ATA",L25)))</formula>
    </cfRule>
    <cfRule type="expression" dxfId="176" priority="81">
      <formula>ISNUMBER(SEARCH("TP",L25))</formula>
    </cfRule>
    <cfRule type="expression" dxfId="175" priority="82">
      <formula>ISNUMBER(SEARCH("CSE",L25))</formula>
    </cfRule>
    <cfRule type="expression" dxfId="174" priority="83">
      <formula>OR(ISNUMBER(SEARCH("CA",L25)),ISNUMBER(SEARCH("RC",L25)))</formula>
    </cfRule>
  </conditionalFormatting>
  <conditionalFormatting sqref="L27:M27">
    <cfRule type="expression" dxfId="173" priority="126">
      <formula>OR(ISNUMBER(SEARCH("PPP 1",L27)),ISNUMBER(SEARCH("PPP 2",L27)))</formula>
    </cfRule>
    <cfRule type="expression" dxfId="172" priority="127">
      <formula>ISNUMBER(SEARCH("FORM",L27))</formula>
    </cfRule>
    <cfRule type="expression" dxfId="171" priority="128">
      <formula>ISNUMBER(SEARCH("ASA",L27))</formula>
    </cfRule>
    <cfRule type="expression" dxfId="170" priority="129">
      <formula>OR(ISNUMBER(SEARCH("ATM",L27)),ISNUMBER(SEARCH("ATA",L27)))</formula>
    </cfRule>
    <cfRule type="expression" dxfId="169" priority="130">
      <formula>ISNUMBER(SEARCH("TP",L27))</formula>
    </cfRule>
    <cfRule type="expression" dxfId="168" priority="131">
      <formula>ISNUMBER(SEARCH("CSE",L27))</formula>
    </cfRule>
    <cfRule type="expression" dxfId="167" priority="132">
      <formula>OR(ISNUMBER(SEARCH("CA",L27)),ISNUMBER(SEARCH("RC",L27)))</formula>
    </cfRule>
  </conditionalFormatting>
  <conditionalFormatting sqref="L28:M28">
    <cfRule type="expression" dxfId="166" priority="91">
      <formula>OR(ISNUMBER(SEARCH("PPP 1",L28)),ISNUMBER(SEARCH("PPP 2",L28)))</formula>
    </cfRule>
    <cfRule type="expression" dxfId="165" priority="92">
      <formula>ISNUMBER(SEARCH("FORM",L28))</formula>
    </cfRule>
    <cfRule type="expression" dxfId="164" priority="93">
      <formula>ISNUMBER(SEARCH("ASA",L28))</formula>
    </cfRule>
    <cfRule type="expression" dxfId="163" priority="94">
      <formula>OR(ISNUMBER(SEARCH("ATM",L28)),ISNUMBER(SEARCH("ATA",L28)))</formula>
    </cfRule>
    <cfRule type="expression" dxfId="162" priority="95">
      <formula>ISNUMBER(SEARCH("TP",L28))</formula>
    </cfRule>
    <cfRule type="expression" dxfId="161" priority="96">
      <formula>ISNUMBER(SEARCH("CSE",L28))</formula>
    </cfRule>
    <cfRule type="expression" dxfId="160" priority="97">
      <formula>OR(ISNUMBER(SEARCH("CA",L28)),ISNUMBER(SEARCH("RC",L28)))</formula>
    </cfRule>
  </conditionalFormatting>
  <conditionalFormatting sqref="L25:R25">
    <cfRule type="expression" dxfId="159" priority="182">
      <formula>OR(ISNUMBER(SEARCH("PPP 1",L25)),ISNUMBER(SEARCH("PPP 2",L25)))</formula>
    </cfRule>
    <cfRule type="expression" dxfId="158" priority="183">
      <formula>ISNUMBER(SEARCH("FORM",L25))</formula>
    </cfRule>
    <cfRule type="expression" dxfId="157" priority="184">
      <formula>ISNUMBER(SEARCH("ASA",L25))</formula>
    </cfRule>
    <cfRule type="expression" dxfId="156" priority="185">
      <formula>OR(ISNUMBER(SEARCH("ATM",L25)),ISNUMBER(SEARCH("ATA",L25)))</formula>
    </cfRule>
    <cfRule type="expression" dxfId="155" priority="186">
      <formula>ISNUMBER(SEARCH("TP",L25))</formula>
    </cfRule>
    <cfRule type="expression" dxfId="154" priority="187">
      <formula>ISNUMBER(SEARCH("CSE",L25))</formula>
    </cfRule>
    <cfRule type="expression" dxfId="153" priority="188">
      <formula>OR(ISNUMBER(SEARCH("CA",L25)),ISNUMBER(SEARCH("RC",L25)))</formula>
    </cfRule>
  </conditionalFormatting>
  <conditionalFormatting sqref="M25:M26 M29">
    <cfRule type="expression" dxfId="152" priority="70">
      <formula>OR(ISNUMBER(SEARCH("PPP 1",M25)),ISNUMBER(SEARCH("PPP 2",M25)))</formula>
    </cfRule>
    <cfRule type="expression" dxfId="151" priority="71">
      <formula>ISNUMBER(SEARCH("FORM",M25))</formula>
    </cfRule>
    <cfRule type="expression" dxfId="150" priority="72">
      <formula>ISNUMBER(SEARCH("ASA",M25))</formula>
    </cfRule>
    <cfRule type="expression" dxfId="149" priority="73">
      <formula>OR(ISNUMBER(SEARCH("ATM",M25)),ISNUMBER(SEARCH("ATA",M25)))</formula>
    </cfRule>
    <cfRule type="expression" dxfId="148" priority="74">
      <formula>ISNUMBER(SEARCH("TP",M25))</formula>
    </cfRule>
    <cfRule type="expression" dxfId="147" priority="75">
      <formula>ISNUMBER(SEARCH("CSE",M25))</formula>
    </cfRule>
    <cfRule type="expression" dxfId="146" priority="76">
      <formula>OR(ISNUMBER(SEARCH("CA",M25)),ISNUMBER(SEARCH("RC",M25)))</formula>
    </cfRule>
  </conditionalFormatting>
  <conditionalFormatting sqref="M25:M27">
    <cfRule type="expression" dxfId="145" priority="161">
      <formula>OR(ISNUMBER(SEARCH("PPP 1",M25)),ISNUMBER(SEARCH("PPP 2",M25)))</formula>
    </cfRule>
    <cfRule type="expression" dxfId="144" priority="162">
      <formula>ISNUMBER(SEARCH("FORM",M25))</formula>
    </cfRule>
    <cfRule type="expression" dxfId="143" priority="163">
      <formula>ISNUMBER(SEARCH("ASA",M25))</formula>
    </cfRule>
    <cfRule type="expression" dxfId="142" priority="164">
      <formula>OR(ISNUMBER(SEARCH("ATM",M25)),ISNUMBER(SEARCH("ATA",M25)))</formula>
    </cfRule>
    <cfRule type="expression" dxfId="141" priority="165">
      <formula>ISNUMBER(SEARCH("TP",M25))</formula>
    </cfRule>
    <cfRule type="expression" dxfId="140" priority="166">
      <formula>ISNUMBER(SEARCH("CSE",M25))</formula>
    </cfRule>
    <cfRule type="expression" dxfId="139" priority="167">
      <formula>OR(ISNUMBER(SEARCH("CA",M25)),ISNUMBER(SEARCH("RC",M25)))</formula>
    </cfRule>
  </conditionalFormatting>
  <conditionalFormatting sqref="M27:M28">
    <cfRule type="expression" dxfId="138" priority="119">
      <formula>OR(ISNUMBER(SEARCH("PPP 1",M27)),ISNUMBER(SEARCH("PPP 2",M27)))</formula>
    </cfRule>
    <cfRule type="expression" dxfId="137" priority="120">
      <formula>ISNUMBER(SEARCH("FORM",M27))</formula>
    </cfRule>
    <cfRule type="expression" dxfId="136" priority="121">
      <formula>ISNUMBER(SEARCH("ASA",M27))</formula>
    </cfRule>
    <cfRule type="expression" dxfId="135" priority="122">
      <formula>OR(ISNUMBER(SEARCH("ATM",M27)),ISNUMBER(SEARCH("ATA",M27)))</formula>
    </cfRule>
    <cfRule type="expression" dxfId="134" priority="123">
      <formula>ISNUMBER(SEARCH("TP",M27))</formula>
    </cfRule>
    <cfRule type="expression" dxfId="133" priority="124">
      <formula>ISNUMBER(SEARCH("CSE",M27))</formula>
    </cfRule>
    <cfRule type="expression" dxfId="132" priority="125">
      <formula>OR(ISNUMBER(SEARCH("CA",M27)),ISNUMBER(SEARCH("RC",M27)))</formula>
    </cfRule>
  </conditionalFormatting>
  <conditionalFormatting sqref="M28:M29">
    <cfRule type="expression" dxfId="131" priority="84">
      <formula>OR(ISNUMBER(SEARCH("PPP 1",M28)),ISNUMBER(SEARCH("PPP 2",M28)))</formula>
    </cfRule>
    <cfRule type="expression" dxfId="130" priority="85">
      <formula>ISNUMBER(SEARCH("FORM",M28))</formula>
    </cfRule>
    <cfRule type="expression" dxfId="129" priority="86">
      <formula>ISNUMBER(SEARCH("ASA",M28))</formula>
    </cfRule>
    <cfRule type="expression" dxfId="128" priority="87">
      <formula>OR(ISNUMBER(SEARCH("ATM",M28)),ISNUMBER(SEARCH("ATA",M28)))</formula>
    </cfRule>
    <cfRule type="expression" dxfId="127" priority="88">
      <formula>ISNUMBER(SEARCH("TP",M28))</formula>
    </cfRule>
    <cfRule type="expression" dxfId="126" priority="89">
      <formula>ISNUMBER(SEARCH("CSE",M28))</formula>
    </cfRule>
    <cfRule type="expression" dxfId="125" priority="90">
      <formula>OR(ISNUMBER(SEARCH("CA",M28)),ISNUMBER(SEARCH("RC",M28)))</formula>
    </cfRule>
  </conditionalFormatting>
  <conditionalFormatting sqref="N6:N24 F8:M24 O8:AH24 AM21:AO24 AI23:AL24 G25:AH28 L29:M29 S29:T29 V29:V31">
    <cfRule type="expression" dxfId="124" priority="218">
      <formula>ISNUMBER(SEARCH("FORM",F6))</formula>
    </cfRule>
    <cfRule type="expression" dxfId="123" priority="219">
      <formula>ISNUMBER(SEARCH("ASA",F6))</formula>
    </cfRule>
    <cfRule type="expression" dxfId="122" priority="220">
      <formula>OR(ISNUMBER(SEARCH("ATM",F6)),ISNUMBER(SEARCH("ATA",F6)))</formula>
    </cfRule>
    <cfRule type="expression" dxfId="121" priority="221">
      <formula>ISNUMBER(SEARCH("TP",F6))</formula>
    </cfRule>
    <cfRule type="expression" dxfId="120" priority="222">
      <formula>ISNUMBER(SEARCH("CSE",F6))</formula>
    </cfRule>
    <cfRule type="expression" dxfId="119" priority="223">
      <formula>OR(ISNUMBER(SEARCH("CA",F6)),ISNUMBER(SEARCH("RC",F6)))</formula>
    </cfRule>
  </conditionalFormatting>
  <conditionalFormatting sqref="O26">
    <cfRule type="expression" dxfId="118" priority="154">
      <formula>OR(ISNUMBER(SEARCH("PPP 1",O26)),ISNUMBER(SEARCH("PPP 2",O26)))</formula>
    </cfRule>
    <cfRule type="expression" dxfId="117" priority="155">
      <formula>ISNUMBER(SEARCH("FORM",O26))</formula>
    </cfRule>
    <cfRule type="expression" dxfId="116" priority="156">
      <formula>ISNUMBER(SEARCH("ASA",O26))</formula>
    </cfRule>
    <cfRule type="expression" dxfId="115" priority="157">
      <formula>OR(ISNUMBER(SEARCH("ATM",O26)),ISNUMBER(SEARCH("ATA",O26)))</formula>
    </cfRule>
    <cfRule type="expression" dxfId="114" priority="158">
      <formula>ISNUMBER(SEARCH("TP",O26))</formula>
    </cfRule>
    <cfRule type="expression" dxfId="113" priority="159">
      <formula>ISNUMBER(SEARCH("CSE",O26))</formula>
    </cfRule>
    <cfRule type="expression" dxfId="112" priority="160">
      <formula>OR(ISNUMBER(SEARCH("CA",O26)),ISNUMBER(SEARCH("RC",O26)))</formula>
    </cfRule>
  </conditionalFormatting>
  <conditionalFormatting sqref="S27:T27">
    <cfRule type="expression" dxfId="111" priority="140">
      <formula>OR(ISNUMBER(SEARCH("PPP 1",S27)),ISNUMBER(SEARCH("PPP 2",S27)))</formula>
    </cfRule>
    <cfRule type="expression" dxfId="110" priority="141">
      <formula>ISNUMBER(SEARCH("FORM",S27))</formula>
    </cfRule>
    <cfRule type="expression" dxfId="109" priority="142">
      <formula>ISNUMBER(SEARCH("ASA",S27))</formula>
    </cfRule>
    <cfRule type="expression" dxfId="108" priority="143">
      <formula>OR(ISNUMBER(SEARCH("ATM",S27)),ISNUMBER(SEARCH("ATA",S27)))</formula>
    </cfRule>
    <cfRule type="expression" dxfId="107" priority="144">
      <formula>ISNUMBER(SEARCH("TP",S27))</formula>
    </cfRule>
    <cfRule type="expression" dxfId="106" priority="145">
      <formula>ISNUMBER(SEARCH("CSE",S27))</formula>
    </cfRule>
    <cfRule type="expression" dxfId="105" priority="146">
      <formula>OR(ISNUMBER(SEARCH("CA",S27)),ISNUMBER(SEARCH("RC",S27)))</formula>
    </cfRule>
  </conditionalFormatting>
  <conditionalFormatting sqref="S28:T28">
    <cfRule type="expression" dxfId="104" priority="112">
      <formula>OR(ISNUMBER(SEARCH("PPP 1",S28)),ISNUMBER(SEARCH("PPP 2",S28)))</formula>
    </cfRule>
    <cfRule type="expression" dxfId="103" priority="113">
      <formula>ISNUMBER(SEARCH("FORM",S28))</formula>
    </cfRule>
    <cfRule type="expression" dxfId="102" priority="114">
      <formula>ISNUMBER(SEARCH("ASA",S28))</formula>
    </cfRule>
    <cfRule type="expression" dxfId="101" priority="115">
      <formula>OR(ISNUMBER(SEARCH("ATM",S28)),ISNUMBER(SEARCH("ATA",S28)))</formula>
    </cfRule>
    <cfRule type="expression" dxfId="100" priority="116">
      <formula>ISNUMBER(SEARCH("TP",S28))</formula>
    </cfRule>
    <cfRule type="expression" dxfId="99" priority="117">
      <formula>ISNUMBER(SEARCH("CSE",S28))</formula>
    </cfRule>
    <cfRule type="expression" dxfId="98" priority="118">
      <formula>OR(ISNUMBER(SEARCH("CA",S28)),ISNUMBER(SEARCH("RC",S28)))</formula>
    </cfRule>
  </conditionalFormatting>
  <conditionalFormatting sqref="T25">
    <cfRule type="expression" dxfId="97" priority="105">
      <formula>OR(ISNUMBER(SEARCH("PPP 1",T25)),ISNUMBER(SEARCH("PPP 2",T25)))</formula>
    </cfRule>
    <cfRule type="expression" dxfId="96" priority="106">
      <formula>ISNUMBER(SEARCH("FORM",T25))</formula>
    </cfRule>
    <cfRule type="expression" dxfId="95" priority="107">
      <formula>ISNUMBER(SEARCH("ASA",T25))</formula>
    </cfRule>
    <cfRule type="expression" dxfId="94" priority="108">
      <formula>OR(ISNUMBER(SEARCH("ATM",T25)),ISNUMBER(SEARCH("ATA",T25)))</formula>
    </cfRule>
    <cfRule type="expression" dxfId="93" priority="109">
      <formula>ISNUMBER(SEARCH("TP",T25))</formula>
    </cfRule>
    <cfRule type="expression" dxfId="92" priority="110">
      <formula>ISNUMBER(SEARCH("CSE",T25))</formula>
    </cfRule>
    <cfRule type="expression" dxfId="91" priority="111">
      <formula>OR(ISNUMBER(SEARCH("CA",T25)),ISNUMBER(SEARCH("RC",T25)))</formula>
    </cfRule>
  </conditionalFormatting>
  <conditionalFormatting sqref="T27:T28">
    <cfRule type="expression" dxfId="90" priority="133">
      <formula>OR(ISNUMBER(SEARCH("PPP 1",T27)),ISNUMBER(SEARCH("PPP 2",T27)))</formula>
    </cfRule>
    <cfRule type="expression" dxfId="89" priority="134">
      <formula>ISNUMBER(SEARCH("FORM",T27))</formula>
    </cfRule>
    <cfRule type="expression" dxfId="88" priority="135">
      <formula>ISNUMBER(SEARCH("ASA",T27))</formula>
    </cfRule>
    <cfRule type="expression" dxfId="87" priority="136">
      <formula>OR(ISNUMBER(SEARCH("ATM",T27)),ISNUMBER(SEARCH("ATA",T27)))</formula>
    </cfRule>
    <cfRule type="expression" dxfId="86" priority="137">
      <formula>ISNUMBER(SEARCH("TP",T27))</formula>
    </cfRule>
    <cfRule type="expression" dxfId="85" priority="138">
      <formula>ISNUMBER(SEARCH("CSE",T27))</formula>
    </cfRule>
    <cfRule type="expression" dxfId="84" priority="139">
      <formula>OR(ISNUMBER(SEARCH("CA",T27)),ISNUMBER(SEARCH("RC",T27)))</formula>
    </cfRule>
  </conditionalFormatting>
  <conditionalFormatting sqref="T28:T29">
    <cfRule type="expression" dxfId="83" priority="98">
      <formula>OR(ISNUMBER(SEARCH("PPP 1",T28)),ISNUMBER(SEARCH("PPP 2",T28)))</formula>
    </cfRule>
    <cfRule type="expression" dxfId="82" priority="99">
      <formula>ISNUMBER(SEARCH("FORM",T28))</formula>
    </cfRule>
    <cfRule type="expression" dxfId="81" priority="100">
      <formula>ISNUMBER(SEARCH("ASA",T28))</formula>
    </cfRule>
    <cfRule type="expression" dxfId="80" priority="101">
      <formula>OR(ISNUMBER(SEARCH("ATM",T28)),ISNUMBER(SEARCH("ATA",T28)))</formula>
    </cfRule>
    <cfRule type="expression" dxfId="79" priority="102">
      <formula>ISNUMBER(SEARCH("TP",T28))</formula>
    </cfRule>
    <cfRule type="expression" dxfId="78" priority="103">
      <formula>ISNUMBER(SEARCH("CSE",T28))</formula>
    </cfRule>
    <cfRule type="expression" dxfId="77" priority="104">
      <formula>OR(ISNUMBER(SEARCH("CA",T28)),ISNUMBER(SEARCH("RC",T28)))</formula>
    </cfRule>
  </conditionalFormatting>
  <conditionalFormatting sqref="Z25:AA25">
    <cfRule type="expression" dxfId="76" priority="175">
      <formula>OR(ISNUMBER(SEARCH("PPP 1",Z25)),ISNUMBER(SEARCH("PPP 2",Z25)))</formula>
    </cfRule>
    <cfRule type="expression" dxfId="75" priority="176">
      <formula>ISNUMBER(SEARCH("FORM",Z25))</formula>
    </cfRule>
    <cfRule type="expression" dxfId="74" priority="177">
      <formula>ISNUMBER(SEARCH("ASA",Z25))</formula>
    </cfRule>
    <cfRule type="expression" dxfId="73" priority="178">
      <formula>OR(ISNUMBER(SEARCH("ATM",Z25)),ISNUMBER(SEARCH("ATA",Z25)))</formula>
    </cfRule>
    <cfRule type="expression" dxfId="72" priority="179">
      <formula>ISNUMBER(SEARCH("TP",Z25))</formula>
    </cfRule>
    <cfRule type="expression" dxfId="71" priority="180">
      <formula>ISNUMBER(SEARCH("CSE",Z25))</formula>
    </cfRule>
    <cfRule type="expression" dxfId="70" priority="181">
      <formula>OR(ISNUMBER(SEARCH("CA",Z25)),ISNUMBER(SEARCH("RC",Z25)))</formula>
    </cfRule>
  </conditionalFormatting>
  <conditionalFormatting sqref="AA25:AA26">
    <cfRule type="expression" dxfId="69" priority="168">
      <formula>OR(ISNUMBER(SEARCH("PPP 1",AA25)),ISNUMBER(SEARCH("PPP 2",AA25)))</formula>
    </cfRule>
    <cfRule type="expression" dxfId="68" priority="169">
      <formula>ISNUMBER(SEARCH("FORM",AA25))</formula>
    </cfRule>
    <cfRule type="expression" dxfId="67" priority="170">
      <formula>ISNUMBER(SEARCH("ASA",AA25))</formula>
    </cfRule>
    <cfRule type="expression" dxfId="66" priority="171">
      <formula>OR(ISNUMBER(SEARCH("ATM",AA25)),ISNUMBER(SEARCH("ATA",AA25)))</formula>
    </cfRule>
    <cfRule type="expression" dxfId="65" priority="172">
      <formula>ISNUMBER(SEARCH("TP",AA25))</formula>
    </cfRule>
    <cfRule type="expression" dxfId="64" priority="173">
      <formula>ISNUMBER(SEARCH("CSE",AA25))</formula>
    </cfRule>
    <cfRule type="expression" dxfId="63" priority="174">
      <formula>OR(ISNUMBER(SEARCH("CA",AA25)),ISNUMBER(SEARCH("RC",AA25)))</formula>
    </cfRule>
  </conditionalFormatting>
  <conditionalFormatting sqref="AB25:AC25">
    <cfRule type="expression" dxfId="62" priority="211">
      <formula>OR(ISNUMBER(SEARCH("PPP 1",AB25)),ISNUMBER(SEARCH("PPP 2",AB25)))</formula>
    </cfRule>
    <cfRule type="expression" dxfId="61" priority="212">
      <formula>ISNUMBER(SEARCH("ASA",AB25))</formula>
    </cfRule>
    <cfRule type="expression" dxfId="60" priority="213">
      <formula>OR(ISNUMBER(SEARCH("ATM",AB25)),ISNUMBER(SEARCH("ATA",AB25)))</formula>
    </cfRule>
    <cfRule type="expression" dxfId="59" priority="214">
      <formula>ISNUMBER(SEARCH("TP",AB25))</formula>
    </cfRule>
    <cfRule type="expression" dxfId="58" priority="215">
      <formula>ISNUMBER(SEARCH("CSE",AB25))</formula>
    </cfRule>
    <cfRule type="expression" dxfId="57" priority="216">
      <formula>OR(ISNUMBER(SEARCH("CA",AB25)),ISNUMBER(SEARCH("RC",AB25)))</formula>
    </cfRule>
  </conditionalFormatting>
  <conditionalFormatting sqref="AB27:AC27">
    <cfRule type="expression" dxfId="56" priority="147">
      <formula>OR(ISNUMBER(SEARCH("PPP 1",AB27)),ISNUMBER(SEARCH("PPP 2",AB27)))</formula>
    </cfRule>
    <cfRule type="expression" dxfId="55" priority="148">
      <formula>ISNUMBER(SEARCH("FORM",AB27))</formula>
    </cfRule>
    <cfRule type="expression" dxfId="54" priority="149">
      <formula>ISNUMBER(SEARCH("ASA",AB27))</formula>
    </cfRule>
    <cfRule type="expression" dxfId="53" priority="150">
      <formula>OR(ISNUMBER(SEARCH("ATM",AB27)),ISNUMBER(SEARCH("ATA",AB27)))</formula>
    </cfRule>
    <cfRule type="expression" dxfId="52" priority="151">
      <formula>ISNUMBER(SEARCH("TP",AB27))</formula>
    </cfRule>
    <cfRule type="expression" dxfId="51" priority="152">
      <formula>ISNUMBER(SEARCH("CSE",AB27))</formula>
    </cfRule>
    <cfRule type="expression" dxfId="50" priority="153">
      <formula>OR(ISNUMBER(SEARCH("CA",AB27)),ISNUMBER(SEARCH("RC",AB27)))</formula>
    </cfRule>
  </conditionalFormatting>
  <conditionalFormatting sqref="AB19:AD19">
    <cfRule type="expression" dxfId="49" priority="2">
      <formula>ISNUMBER(SEARCH("JOK",AB19))</formula>
    </cfRule>
    <cfRule type="expression" dxfId="48" priority="3">
      <formula>OR(ISNUMBER(SEARCH("PPP 1",AB19)),ISNUMBER(SEARCH("PPP 2",AB19)))</formula>
    </cfRule>
    <cfRule type="expression" dxfId="47" priority="4">
      <formula>ISNUMBER(SEARCH("FORM",AB19))</formula>
    </cfRule>
    <cfRule type="expression" dxfId="46" priority="5">
      <formula>ISNUMBER(SEARCH("ASA",AB19))</formula>
    </cfRule>
    <cfRule type="expression" dxfId="45" priority="6">
      <formula>OR(ISNUMBER(SEARCH("ATM",AB19)),ISNUMBER(SEARCH("ATA",AB19)))</formula>
    </cfRule>
    <cfRule type="expression" dxfId="44" priority="7">
      <formula>ISNUMBER(SEARCH("TP",AB19))</formula>
    </cfRule>
    <cfRule type="expression" dxfId="43" priority="8">
      <formula>ISNUMBER(SEARCH("CSE",AB19))</formula>
    </cfRule>
    <cfRule type="expression" dxfId="42" priority="9">
      <formula>OR(ISNUMBER(SEARCH("PPP 1",AB19)),ISNUMBER(SEARCH("PPP 2",AB19)))</formula>
    </cfRule>
    <cfRule type="expression" dxfId="41" priority="10">
      <formula>ISNUMBER(SEARCH("FORM",AB19))</formula>
    </cfRule>
    <cfRule type="expression" dxfId="40" priority="11">
      <formula>ISNUMBER(SEARCH("ASA",AB19))</formula>
    </cfRule>
    <cfRule type="expression" dxfId="39" priority="12">
      <formula>OR(ISNUMBER(SEARCH("ATM",AB19)),ISNUMBER(SEARCH("ATA",AB19)))</formula>
    </cfRule>
    <cfRule type="expression" dxfId="38" priority="13">
      <formula>ISNUMBER(SEARCH("TP",AB19))</formula>
    </cfRule>
    <cfRule type="expression" dxfId="37" priority="14">
      <formula>ISNUMBER(SEARCH("CSE",AB19))</formula>
    </cfRule>
  </conditionalFormatting>
  <conditionalFormatting sqref="AD27:AF27">
    <cfRule type="expression" dxfId="36" priority="196">
      <formula>OR(ISNUMBER(SEARCH("PPP 1",AD27)),ISNUMBER(SEARCH("PPP 2",AD27)))</formula>
    </cfRule>
    <cfRule type="expression" dxfId="35" priority="197">
      <formula>ISNUMBER(SEARCH("FORM",AD27))</formula>
    </cfRule>
    <cfRule type="expression" dxfId="34" priority="198">
      <formula>ISNUMBER(SEARCH("ASA",AD27))</formula>
    </cfRule>
    <cfRule type="expression" dxfId="33" priority="199">
      <formula>OR(ISNUMBER(SEARCH("ATM",AD27)),ISNUMBER(SEARCH("ATA",AD27)))</formula>
    </cfRule>
    <cfRule type="expression" dxfId="32" priority="200">
      <formula>ISNUMBER(SEARCH("TP",AD27))</formula>
    </cfRule>
    <cfRule type="expression" dxfId="31" priority="201">
      <formula>ISNUMBER(SEARCH("CSE",AD27))</formula>
    </cfRule>
    <cfRule type="expression" dxfId="30" priority="202">
      <formula>OR(ISNUMBER(SEARCH("CA",AD27)),ISNUMBER(SEARCH("RC",AD27)))</formula>
    </cfRule>
  </conditionalFormatting>
  <conditionalFormatting sqref="AI19:AL19">
    <cfRule type="expression" dxfId="29" priority="15">
      <formula>ISNUMBER(SEARCH("JOK",AI19))</formula>
    </cfRule>
    <cfRule type="expression" dxfId="28" priority="16">
      <formula>OR(ISNUMBER(SEARCH("PPP 1",AI19)),ISNUMBER(SEARCH("PPP 2",AI19)))</formula>
    </cfRule>
    <cfRule type="expression" dxfId="27" priority="17">
      <formula>ISNUMBER(SEARCH("FORM",AI19))</formula>
    </cfRule>
    <cfRule type="expression" dxfId="26" priority="18">
      <formula>ISNUMBER(SEARCH("ASA",AI19))</formula>
    </cfRule>
    <cfRule type="expression" dxfId="25" priority="19">
      <formula>OR(ISNUMBER(SEARCH("ATM",AI19)),ISNUMBER(SEARCH("ATA",AI19)))</formula>
    </cfRule>
    <cfRule type="expression" dxfId="24" priority="20">
      <formula>ISNUMBER(SEARCH("TP",AI19))</formula>
    </cfRule>
    <cfRule type="expression" dxfId="23" priority="21">
      <formula>ISNUMBER(SEARCH("CSE",AI19))</formula>
    </cfRule>
    <cfRule type="expression" dxfId="22" priority="22">
      <formula>OR(ISNUMBER(SEARCH("CA",AI19)),ISNUMBER(SEARCH("RC",AI19)))</formula>
    </cfRule>
    <cfRule type="expression" dxfId="21" priority="23">
      <formula>OR(ISNUMBER(SEARCH("PPP 1",AI19)),ISNUMBER(SEARCH("PPP 2",AI19)))</formula>
    </cfRule>
    <cfRule type="expression" dxfId="20" priority="24">
      <formula>ISNUMBER(SEARCH("FORM",AI19))</formula>
    </cfRule>
    <cfRule type="expression" dxfId="19" priority="25">
      <formula>ISNUMBER(SEARCH("ASA",AI19))</formula>
    </cfRule>
    <cfRule type="expression" dxfId="18" priority="26">
      <formula>OR(ISNUMBER(SEARCH("ATM",AI19)),ISNUMBER(SEARCH("ATA",AI19)))</formula>
    </cfRule>
    <cfRule type="expression" dxfId="17" priority="27">
      <formula>ISNUMBER(SEARCH("TP",AI19))</formula>
    </cfRule>
    <cfRule type="expression" dxfId="16" priority="28">
      <formula>ISNUMBER(SEARCH("CSE",AI19))</formula>
    </cfRule>
    <cfRule type="expression" dxfId="15" priority="29">
      <formula>OR(ISNUMBER(SEARCH("CA",AI19)),ISNUMBER(SEARCH("RC",AI19)))</formula>
    </cfRule>
  </conditionalFormatting>
  <conditionalFormatting sqref="AM25:AM26">
    <cfRule type="expression" dxfId="14" priority="30">
      <formula>ISNUMBER(SEARCH("JOK",AM25))</formula>
    </cfRule>
    <cfRule type="expression" dxfId="13" priority="31">
      <formula>OR(ISNUMBER(SEARCH("PPP 1",AM25)),ISNUMBER(SEARCH("PPP 2",AM25)))</formula>
    </cfRule>
    <cfRule type="expression" dxfId="12" priority="32">
      <formula>ISNUMBER(SEARCH("FORM",AM25))</formula>
    </cfRule>
    <cfRule type="expression" dxfId="11" priority="33">
      <formula>ISNUMBER(SEARCH("ASA",AM25))</formula>
    </cfRule>
    <cfRule type="expression" dxfId="10" priority="34">
      <formula>OR(ISNUMBER(SEARCH("ATM",AM25)),ISNUMBER(SEARCH("ATA",AM25)))</formula>
    </cfRule>
    <cfRule type="expression" dxfId="9" priority="35">
      <formula>ISNUMBER(SEARCH("TP",AM25))</formula>
    </cfRule>
    <cfRule type="expression" dxfId="8" priority="36">
      <formula>ISNUMBER(SEARCH("CSE",AM25))</formula>
    </cfRule>
    <cfRule type="expression" dxfId="7" priority="37">
      <formula>OR(ISNUMBER(SEARCH("CA",AM25)),ISNUMBER(SEARCH("RC",AM25)))</formula>
    </cfRule>
    <cfRule type="expression" dxfId="6" priority="38">
      <formula>OR(ISNUMBER(SEARCH("PPP 1",AM25)),ISNUMBER(SEARCH("PPP 2",AM25)))</formula>
    </cfRule>
    <cfRule type="expression" dxfId="5" priority="39">
      <formula>ISNUMBER(SEARCH("FORM",AM25))</formula>
    </cfRule>
    <cfRule type="expression" dxfId="4" priority="40">
      <formula>ISNUMBER(SEARCH("ASA",AM25))</formula>
    </cfRule>
    <cfRule type="expression" dxfId="3" priority="41">
      <formula>OR(ISNUMBER(SEARCH("ATM",AM25)),ISNUMBER(SEARCH("ATA",AM25)))</formula>
    </cfRule>
    <cfRule type="expression" dxfId="2" priority="42">
      <formula>ISNUMBER(SEARCH("TP",AM25))</formula>
    </cfRule>
    <cfRule type="expression" dxfId="1" priority="43">
      <formula>ISNUMBER(SEARCH("CSE",AM25))</formula>
    </cfRule>
    <cfRule type="expression" dxfId="0" priority="44">
      <formula>OR(ISNUMBER(SEARCH("CA",AM25)),ISNUMBER(SEARCH("RC",AM25)))</formula>
    </cfRule>
  </conditionalFormatting>
  <dataValidations count="1">
    <dataValidation allowBlank="1" showInputMessage="1" showErrorMessage="1" sqref="G9" xr:uid="{00000000-0002-0000-0C00-000000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23aadce-3a03-4352-8b28-a97e0f15772f" xsi:nil="true"/>
    <lcf76f155ced4ddcb4097134ff3c332f xmlns="c0d31e4f-e092-45e3-af39-c04cd2f28c0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A2F85075FDB74DBE1EDCFA2FF97341" ma:contentTypeVersion="11" ma:contentTypeDescription="Crée un document." ma:contentTypeScope="" ma:versionID="199366173ba1077c1eb06159041b3b13">
  <xsd:schema xmlns:xsd="http://www.w3.org/2001/XMLSchema" xmlns:xs="http://www.w3.org/2001/XMLSchema" xmlns:p="http://schemas.microsoft.com/office/2006/metadata/properties" xmlns:ns2="c0d31e4f-e092-45e3-af39-c04cd2f28c07" xmlns:ns3="b23aadce-3a03-4352-8b28-a97e0f15772f" targetNamespace="http://schemas.microsoft.com/office/2006/metadata/properties" ma:root="true" ma:fieldsID="fa3d2f898c4ff627b14c6df7464a57c9" ns2:_="" ns3:_="">
    <xsd:import namespace="c0d31e4f-e092-45e3-af39-c04cd2f28c07"/>
    <xsd:import namespace="b23aadce-3a03-4352-8b28-a97e0f1577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d31e4f-e092-45e3-af39-c04cd2f28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63e13a61-b2c7-4246-b1e6-f08b241a4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3aadce-3a03-4352-8b28-a97e0f15772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29a2922-4457-4b74-9dab-8987db47466c}" ma:internalName="TaxCatchAll" ma:showField="CatchAllData" ma:web="b23aadce-3a03-4352-8b28-a97e0f1577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AE68B1-C559-40D8-98D6-4FC646A802F0}"/>
</file>

<file path=customXml/itemProps2.xml><?xml version="1.0" encoding="utf-8"?>
<ds:datastoreItem xmlns:ds="http://schemas.openxmlformats.org/officeDocument/2006/customXml" ds:itemID="{85B67C70-A308-48F3-ACC6-BAA83E07BD52}"/>
</file>

<file path=customXml/itemProps3.xml><?xml version="1.0" encoding="utf-8"?>
<ds:datastoreItem xmlns:ds="http://schemas.openxmlformats.org/officeDocument/2006/customXml" ds:itemID="{D817D43B-CF69-4FFA-9CB1-CE5C43E858A6}"/>
</file>

<file path=docMetadata/LabelInfo.xml><?xml version="1.0" encoding="utf-8"?>
<clbl:labelList xmlns:clbl="http://schemas.microsoft.com/office/2020/mipLabelMetadata">
  <clbl:label id="{ee0428da-ac0f-4a84-a429-a80e20cb35de}" enabled="1" method="Standard" siteId="{80c03608-5f64-40bb-9c70-9394abe6011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 LENEVEU</dc:creator>
  <cp:keywords/>
  <dc:description/>
  <cp:lastModifiedBy>LENEVEU Nicolas</cp:lastModifiedBy>
  <cp:revision>1</cp:revision>
  <dcterms:created xsi:type="dcterms:W3CDTF">2023-05-12T09:38:28Z</dcterms:created>
  <dcterms:modified xsi:type="dcterms:W3CDTF">2026-04-21T08:40:43Z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0x01010056A2F85075FDB74DBE1EDCFA2FF97341</vt:lpwstr>
  </property>
  <property fmtid="{D5CDD505-2E9C-101B-9397-08002B2CF9AE}" pid="4" name="MSIP_Label_ee0428da-ac0f-4a84-a429-a80e20cb35de_ActionId">
    <vt:lpwstr>f52eed89-b340-438a-bbd7-ad93dfd125a8</vt:lpwstr>
  </property>
  <property fmtid="{D5CDD505-2E9C-101B-9397-08002B2CF9AE}" pid="5" name="MSIP_Label_ee0428da-ac0f-4a84-a429-a80e20cb35de_ContentBits">
    <vt:lpwstr>2</vt:lpwstr>
  </property>
  <property fmtid="{D5CDD505-2E9C-101B-9397-08002B2CF9AE}" pid="6" name="MSIP_Label_ee0428da-ac0f-4a84-a429-a80e20cb35de_Enabled">
    <vt:lpwstr>true</vt:lpwstr>
  </property>
  <property fmtid="{D5CDD505-2E9C-101B-9397-08002B2CF9AE}" pid="7" name="MSIP_Label_ee0428da-ac0f-4a84-a429-a80e20cb35de_Method">
    <vt:lpwstr>Standard</vt:lpwstr>
  </property>
  <property fmtid="{D5CDD505-2E9C-101B-9397-08002B2CF9AE}" pid="8" name="MSIP_Label_ee0428da-ac0f-4a84-a429-a80e20cb35de_Name">
    <vt:lpwstr>ee0428da-ac0f-4a84-a429-a80e20cb35de</vt:lpwstr>
  </property>
  <property fmtid="{D5CDD505-2E9C-101B-9397-08002B2CF9AE}" pid="9" name="MSIP_Label_ee0428da-ac0f-4a84-a429-a80e20cb35de_SetDate">
    <vt:lpwstr>2023-06-20T09:26:32Z</vt:lpwstr>
  </property>
  <property fmtid="{D5CDD505-2E9C-101B-9397-08002B2CF9AE}" pid="10" name="MSIP_Label_ee0428da-ac0f-4a84-a429-a80e20cb35de_SiteId">
    <vt:lpwstr>80c03608-5f64-40bb-9c70-9394abe6011c</vt:lpwstr>
  </property>
  <property fmtid="{D5CDD505-2E9C-101B-9397-08002B2CF9AE}" pid="11" name="MediaServiceImageTags">
    <vt:lpwstr/>
  </property>
  <property fmtid="{D5CDD505-2E9C-101B-9397-08002B2CF9AE}" pid="12" name="TemplateUrl">
    <vt:lpwstr/>
  </property>
  <property fmtid="{D5CDD505-2E9C-101B-9397-08002B2CF9AE}" pid="13" name="TriggerFlowInfo">
    <vt:lpwstr/>
  </property>
  <property fmtid="{D5CDD505-2E9C-101B-9397-08002B2CF9AE}" pid="14" name="_ExtendedDescription">
    <vt:lpwstr/>
  </property>
  <property fmtid="{D5CDD505-2E9C-101B-9397-08002B2CF9AE}" pid="15" name="xd_ProgID">
    <vt:lpwstr/>
  </property>
  <property fmtid="{D5CDD505-2E9C-101B-9397-08002B2CF9AE}" pid="16" name="xd_Signature">
    <vt:bool>false</vt:bool>
  </property>
</Properties>
</file>